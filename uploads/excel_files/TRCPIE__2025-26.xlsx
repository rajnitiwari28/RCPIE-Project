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CPIE(2025-26)" sheetId="1" r:id="rId4"/>
    <sheet state="visible" name="T(2025-26)" sheetId="2" r:id="rId5"/>
    <sheet state="visible" name="TRCPIE(2024-25)" sheetId="3" r:id="rId6"/>
    <sheet state="visible" name="TRCPIE(2023-24)" sheetId="4" r:id="rId7"/>
    <sheet state="visible" name="Copy of TRCPIE(2022-23)" sheetId="5" r:id="rId8"/>
    <sheet state="visible" name="Dept. Summary" sheetId="6" r:id="rId9"/>
  </sheets>
  <definedNames/>
  <calcPr/>
</workbook>
</file>

<file path=xl/sharedStrings.xml><?xml version="1.0" encoding="utf-8"?>
<sst xmlns="http://schemas.openxmlformats.org/spreadsheetml/2006/main" count="6364" uniqueCount="2230">
  <si>
    <r>
      <rPr>
        <rFont val="Times New Roman"/>
        <b/>
        <color rgb="FF0000FF"/>
        <sz val="10.0"/>
      </rPr>
      <t>Note:</t>
    </r>
    <r>
      <rPr>
        <rFont val="Times New Roman"/>
        <color theme="1"/>
        <sz val="10.0"/>
      </rPr>
      <t xml:space="preserve"> </t>
    </r>
    <r>
      <rPr>
        <rFont val="Times New Roman"/>
        <b/>
        <color rgb="FFCC0000"/>
        <sz val="10.0"/>
      </rPr>
      <t>Mandatory paper and patent to be counted from Jul.`25-Jun.`26</t>
    </r>
  </si>
  <si>
    <t>Jul.`25 - Dec.`25</t>
  </si>
  <si>
    <t>Jan.`26 - Jun.`26</t>
  </si>
  <si>
    <t>Jul.`25-Jun`26</t>
  </si>
  <si>
    <t>Odd Sem. 2025-26</t>
  </si>
  <si>
    <t>Even Sem. 2025-26</t>
  </si>
  <si>
    <t>2025-26</t>
  </si>
  <si>
    <t>Only RC Convenor can edit.</t>
  </si>
  <si>
    <t>FACULTY SHOULD UPLOAD THE PROOFS IN BELOW LINK ONLY</t>
  </si>
  <si>
    <t>Assigned Load</t>
  </si>
  <si>
    <t>Additional loads completed in last AY</t>
  </si>
  <si>
    <r>
      <rPr>
        <rFont val="Times New Roman"/>
        <b/>
        <color rgb="FFFF0000"/>
        <sz val="11.0"/>
      </rPr>
      <t xml:space="preserve">Total Target for AY 2025-26
</t>
    </r>
    <r>
      <rPr>
        <rFont val="Times New Roman"/>
        <b/>
        <color rgb="FF0000FF"/>
        <sz val="11.0"/>
      </rPr>
      <t>(calculated only based on odd sem. allotment)</t>
    </r>
  </si>
  <si>
    <t xml:space="preserve">Target Achieved </t>
  </si>
  <si>
    <t>Proofs to be uploaded by Faculty</t>
  </si>
  <si>
    <t>Transfer of Loads from other faculty</t>
  </si>
  <si>
    <t>Incentives</t>
  </si>
  <si>
    <t>#</t>
  </si>
  <si>
    <t>Faculty Name</t>
  </si>
  <si>
    <t>Dept.</t>
  </si>
  <si>
    <t>T</t>
  </si>
  <si>
    <t>R</t>
  </si>
  <si>
    <t>C</t>
  </si>
  <si>
    <t>P</t>
  </si>
  <si>
    <t>I</t>
  </si>
  <si>
    <t>E</t>
  </si>
  <si>
    <t>M
Paper</t>
  </si>
  <si>
    <t>M
 Patent</t>
  </si>
  <si>
    <t>M Paper</t>
  </si>
  <si>
    <t>M Patent</t>
  </si>
  <si>
    <t>M
 Paper</t>
  </si>
  <si>
    <t>M
Patent</t>
  </si>
  <si>
    <t>Remarks</t>
  </si>
  <si>
    <t>Rs. 2000/- Incentives Received (Yes/No)</t>
  </si>
  <si>
    <t>Rs. 8000/- Incentives Received (Yes/No)</t>
  </si>
  <si>
    <t>Q1/Q2/Q3/Q4 Incentives Count (Max-4)</t>
  </si>
  <si>
    <t>Core-1</t>
  </si>
  <si>
    <t>Core-2</t>
  </si>
  <si>
    <t>Core-3</t>
  </si>
  <si>
    <t>Core-4</t>
  </si>
  <si>
    <t>Extra</t>
  </si>
  <si>
    <t>Dr.Chitra K</t>
  </si>
  <si>
    <t>ECE</t>
  </si>
  <si>
    <t>https://drive.google.com/drive/folders/1tQMuSGE9VsRfNnFV3-twOHi-aCfDq9vM?usp=drive_link</t>
  </si>
  <si>
    <t>Dr.Pappa M</t>
  </si>
  <si>
    <t>Dr. Sharmila K P</t>
  </si>
  <si>
    <t>Dr.Meenakshi Patil</t>
  </si>
  <si>
    <t>Dr. K Venkateswaran</t>
  </si>
  <si>
    <t>Dr. Naveen Kumar G N</t>
  </si>
  <si>
    <t>Dr Eisha Akanksha</t>
  </si>
  <si>
    <t>Dr Sridhar N</t>
  </si>
  <si>
    <t>Dr.Susheel Kumar</t>
  </si>
  <si>
    <t>Dr. K Viji</t>
  </si>
  <si>
    <t>Dr.Mahesh Kumar Jha</t>
  </si>
  <si>
    <t>Dr.Sridevi S</t>
  </si>
  <si>
    <t>Dr. Abinash Panda</t>
  </si>
  <si>
    <t>Prof.Sunil Kumar K H</t>
  </si>
  <si>
    <t>Dr.Sutapa Sarkar</t>
  </si>
  <si>
    <t>Prof.Suganya Jeyaprakash</t>
  </si>
  <si>
    <t>Prof.Monika Singh</t>
  </si>
  <si>
    <t>Prof.Krishna Teja Yadav C H T</t>
  </si>
  <si>
    <t>Prof.Sachin Aralikatti</t>
  </si>
  <si>
    <t>Prof.Manjunath V Gudur</t>
  </si>
  <si>
    <t>Prof.Abhishek Javali</t>
  </si>
  <si>
    <t>Dr.Richa Tengshe</t>
  </si>
  <si>
    <t>Prof.Ashutosh Srivastava</t>
  </si>
  <si>
    <t>Prof.Sophiya S Susan</t>
  </si>
  <si>
    <t>Dr.Ananth Kumar M S</t>
  </si>
  <si>
    <t>Dr.Alamuru Susmitha</t>
  </si>
  <si>
    <t>Prof.Raveesh Hegde</t>
  </si>
  <si>
    <t>Dr.Niranjan</t>
  </si>
  <si>
    <t>Dr.Parthasarathy</t>
  </si>
  <si>
    <t>Dr.Venkatesh</t>
  </si>
  <si>
    <t>Dr.D.Kavitha</t>
  </si>
  <si>
    <t>Dr.Sushma T V</t>
  </si>
  <si>
    <t>Prof.Anju Das</t>
  </si>
  <si>
    <t>Prof.Keka Mukhopadhyay</t>
  </si>
  <si>
    <t>Prof.Kavitha Pillai</t>
  </si>
  <si>
    <t>Mr.Madhu G C</t>
  </si>
  <si>
    <t>Ms.Nandini Rao</t>
  </si>
  <si>
    <t>Dr.Rangeet Mitra</t>
  </si>
  <si>
    <t>Dr.Deepthi Mariam John</t>
  </si>
  <si>
    <t>Dr.Geetanjali P</t>
  </si>
  <si>
    <t>Prof.Sanitha Michail C</t>
  </si>
  <si>
    <t>Prof.Kashif Ahmed</t>
  </si>
  <si>
    <t>Prof.Ranjitha R</t>
  </si>
  <si>
    <t>Prof.Chithra M</t>
  </si>
  <si>
    <t>Prof.Sandeep</t>
  </si>
  <si>
    <t>Dr.Ruma Debnath</t>
  </si>
  <si>
    <t>Prof.Margret Mercy</t>
  </si>
  <si>
    <t>Prof.Deepika</t>
  </si>
  <si>
    <t>Prof.Rajesh K M</t>
  </si>
  <si>
    <t>Dr. Nitin Chaudhary</t>
  </si>
  <si>
    <t>Dr. Kesavamoorthy R.</t>
  </si>
  <si>
    <t>CSE</t>
  </si>
  <si>
    <t>Dr.Preethi Sheeba</t>
  </si>
  <si>
    <t>Dr.Sanchari Saha</t>
  </si>
  <si>
    <t>Dr.V N Manju</t>
  </si>
  <si>
    <t>Dr. Sumathi D</t>
  </si>
  <si>
    <t>Dr. Sagarika Behera</t>
  </si>
  <si>
    <t>Dr. Jayanthi N</t>
  </si>
  <si>
    <t>Dr. Sivashakthi</t>
  </si>
  <si>
    <t>Mrs.Sreedevi N</t>
  </si>
  <si>
    <t>Mrs. Savitha N J</t>
  </si>
  <si>
    <t>Mrs.Smitha N</t>
  </si>
  <si>
    <t>Mrs.Navaneetha M</t>
  </si>
  <si>
    <t>Mrs.Krishna Sowjanya K</t>
  </si>
  <si>
    <t>Mrs.Manjula Subramaniam</t>
  </si>
  <si>
    <t>Mrs. Paramita Mitra</t>
  </si>
  <si>
    <t>Mrs. Rajni Tiwari</t>
  </si>
  <si>
    <t>Mrs. ANN MATHEWS</t>
  </si>
  <si>
    <t>Mrs. Lynsha Pratheeba</t>
  </si>
  <si>
    <t>Mr. Arpit Sharma</t>
  </si>
  <si>
    <t>Mrs. Rajeshwari</t>
  </si>
  <si>
    <t>Ms. Ranjini K</t>
  </si>
  <si>
    <t>Ms. Pooja</t>
  </si>
  <si>
    <t>Mrs. Kavyashree</t>
  </si>
  <si>
    <t>Ms.Reshma R</t>
  </si>
  <si>
    <t>Mrs. Lini Oommen</t>
  </si>
  <si>
    <t>Mr. Kiran</t>
  </si>
  <si>
    <t>Mrs. Priti</t>
  </si>
  <si>
    <t>Mrs. Ayushi</t>
  </si>
  <si>
    <t>Mrs. Anjali Gupta</t>
  </si>
  <si>
    <t>Mrs. Bibi Annie Oommen</t>
  </si>
  <si>
    <t>Mrs. Dhivya K</t>
  </si>
  <si>
    <t>Ms Smruthi Nair</t>
  </si>
  <si>
    <t>Mrs Kuruva Sree Sowmya</t>
  </si>
  <si>
    <t>Dr. Jagadishwari V</t>
  </si>
  <si>
    <t>ISE</t>
  </si>
  <si>
    <t>Dr Senthil Velan S</t>
  </si>
  <si>
    <t>Dr Srividya R</t>
  </si>
  <si>
    <t>Dr S Seetha</t>
  </si>
  <si>
    <t>Dr. Susheelamma .K. H</t>
  </si>
  <si>
    <t>Mrs.Shilpa Pande</t>
  </si>
  <si>
    <t>Dr.Ciyamala Kushbu S</t>
  </si>
  <si>
    <t>Mr.Arvind R</t>
  </si>
  <si>
    <t>Ms Sugunadevi C</t>
  </si>
  <si>
    <t>Ms Nidhi Joshi Parsai</t>
  </si>
  <si>
    <t>Ms. Anaswara Venunadh</t>
  </si>
  <si>
    <t>K Komala devi</t>
  </si>
  <si>
    <t>Nivedita V S</t>
  </si>
  <si>
    <t>Ms.Varsha Jituri</t>
  </si>
  <si>
    <t>Ms.Poornima Manjunath</t>
  </si>
  <si>
    <t>Dr. SABA TAHSEEN</t>
  </si>
  <si>
    <t>Mrs.Deepa H</t>
  </si>
  <si>
    <t>Mrs.Manasa C H</t>
  </si>
  <si>
    <t>Mr.Rakesh Kumar</t>
  </si>
  <si>
    <t>Ms. Apurva Chaudhari</t>
  </si>
  <si>
    <t>Mrs.Jayashree.M</t>
  </si>
  <si>
    <t>Mrs M Vijaysanthi</t>
  </si>
  <si>
    <t>Dr. Suruchi</t>
  </si>
  <si>
    <t>Ms.Kavitha P</t>
  </si>
  <si>
    <t>Ms.Martha Simon</t>
  </si>
  <si>
    <t>MR.ABDUL KATHER</t>
  </si>
  <si>
    <t>P Kamaleswari</t>
  </si>
  <si>
    <t>Mr. Dinesh Kumaar.R</t>
  </si>
  <si>
    <t>Mou Datta</t>
  </si>
  <si>
    <t>Madhavi</t>
  </si>
  <si>
    <t>Rebecca</t>
  </si>
  <si>
    <t>Sridivya</t>
  </si>
  <si>
    <t>Sneha</t>
  </si>
  <si>
    <t>Dr.Shyam P. Joy</t>
  </si>
  <si>
    <t>AIML</t>
  </si>
  <si>
    <t>Prabhakara S</t>
  </si>
  <si>
    <t>Mitul P</t>
  </si>
  <si>
    <t>Novy Jacob</t>
  </si>
  <si>
    <t>Adarsh Benjamin</t>
  </si>
  <si>
    <t>Navya VK</t>
  </si>
  <si>
    <t>Jeevitha R</t>
  </si>
  <si>
    <t>Priyanka T</t>
  </si>
  <si>
    <t>Anshika Shukla</t>
  </si>
  <si>
    <t>Divyamani LS</t>
  </si>
  <si>
    <t>Divya Kumari</t>
  </si>
  <si>
    <t>Chandana KS</t>
  </si>
  <si>
    <t>Revathi S</t>
  </si>
  <si>
    <t>Shijili PT</t>
  </si>
  <si>
    <t>Laya N</t>
  </si>
  <si>
    <t>Sandhya Kumari</t>
  </si>
  <si>
    <t>Nishant Parashar</t>
  </si>
  <si>
    <t>Priya Trivedi</t>
  </si>
  <si>
    <t>Dr. Shalma H</t>
  </si>
  <si>
    <t>S Santhiya</t>
  </si>
  <si>
    <t>Swasthisudha Punyathuya</t>
  </si>
  <si>
    <t>Vinuta S.</t>
  </si>
  <si>
    <t>Sachin Kumar</t>
  </si>
  <si>
    <t>Saurav Kumar</t>
  </si>
  <si>
    <t>Manimala M</t>
  </si>
  <si>
    <t>Anupama Patila</t>
  </si>
  <si>
    <t>Meeta Dave</t>
  </si>
  <si>
    <t>Jhashuva Udayagiri</t>
  </si>
  <si>
    <t>Dr. Shanthi M. B.</t>
  </si>
  <si>
    <t>AI&amp;DS</t>
  </si>
  <si>
    <t>Dr. Sam Gilvine</t>
  </si>
  <si>
    <t>Prof. Vijay Anand</t>
  </si>
  <si>
    <t>Prof. Roma Kudale</t>
  </si>
  <si>
    <t>Dr. Rinisha Bagaria</t>
  </si>
  <si>
    <t>Prof. Pratimarani jena</t>
  </si>
  <si>
    <t>Prof. Anushree G.</t>
  </si>
  <si>
    <t>Prof. Rencita Maria Colaco</t>
  </si>
  <si>
    <t>Prof. Bhavana Thomas</t>
  </si>
  <si>
    <t>Prof. Abdul Jabbar</t>
  </si>
  <si>
    <t>Prof. Vedashree L. V.</t>
  </si>
  <si>
    <t>Prof. Vidhyavathi Kotha</t>
  </si>
  <si>
    <t>Prof. Anusha</t>
  </si>
  <si>
    <t>Prof. Sevanthy</t>
  </si>
  <si>
    <t>Prof. Anushree Paul</t>
  </si>
  <si>
    <t>Prof. Varun Khare</t>
  </si>
  <si>
    <t>Prof. Geluvaraj B</t>
  </si>
  <si>
    <t>Dr. Suganthi</t>
  </si>
  <si>
    <t>Prof. Swetha C</t>
  </si>
  <si>
    <t>Prof. Bhavana H.</t>
  </si>
  <si>
    <t>Prof. Prashanth Adhikari</t>
  </si>
  <si>
    <t>Prof. Prabh Jyoth</t>
  </si>
  <si>
    <t>Prof. Abdul Ashiq</t>
  </si>
  <si>
    <t>Prof. Keerthipriya</t>
  </si>
  <si>
    <t>Prof. Rekha Suresha</t>
  </si>
  <si>
    <t>Prof. Manjunatha Babu</t>
  </si>
  <si>
    <t>Prof. Udit</t>
  </si>
  <si>
    <t>Prof. Shrinidhi Hegde</t>
  </si>
  <si>
    <t>Prof. Apoorva G R</t>
  </si>
  <si>
    <t>Prof. Komal</t>
  </si>
  <si>
    <t>Dr. Gomathi T</t>
  </si>
  <si>
    <t>MCA</t>
  </si>
  <si>
    <t>Dr. Vakula Rani</t>
  </si>
  <si>
    <t>Dr. Ilango V</t>
  </si>
  <si>
    <t>Dr. Gnaneswari</t>
  </si>
  <si>
    <t>Dr. Kalaiselvi</t>
  </si>
  <si>
    <t>Dr.K.Rajalakshmi</t>
  </si>
  <si>
    <t>Prof. Moumita Roy</t>
  </si>
  <si>
    <t>Prof. Varsha P</t>
  </si>
  <si>
    <t>Prof. Pooja S</t>
  </si>
  <si>
    <t>Prof. Dhivya</t>
  </si>
  <si>
    <t>Prof. Daya Thummar</t>
  </si>
  <si>
    <t>Prof. Kiruthika</t>
  </si>
  <si>
    <t>Dr. Sandeep</t>
  </si>
  <si>
    <t>MBA</t>
  </si>
  <si>
    <t>Dr. Dr. Anbalagan Heroji</t>
  </si>
  <si>
    <t>Dr. N. Chandrika</t>
  </si>
  <si>
    <t>Dr. Rema</t>
  </si>
  <si>
    <t>Dr. Mohan</t>
  </si>
  <si>
    <t>Dr. Uma Lakshmi</t>
  </si>
  <si>
    <t>Dr. Asokan</t>
  </si>
  <si>
    <t>Dr. Murugesan</t>
  </si>
  <si>
    <t>Prof. Santosh</t>
  </si>
  <si>
    <t>Prof. Brijesh</t>
  </si>
  <si>
    <t>Prof. Bharatah C</t>
  </si>
  <si>
    <t>Dr. Rajesh</t>
  </si>
  <si>
    <t>Mr. Vivek Vijayan</t>
  </si>
  <si>
    <t>Mr. Shanu Rinkesh</t>
  </si>
  <si>
    <t>Dr. Raveesha K H</t>
  </si>
  <si>
    <t>PHY</t>
  </si>
  <si>
    <t>Dr. S.S. Hegde</t>
  </si>
  <si>
    <t>Dr. Rajesh Gopal</t>
  </si>
  <si>
    <t>Dr. M. A. Lilly Grace</t>
  </si>
  <si>
    <t>Prof. Sudarshana R</t>
  </si>
  <si>
    <t>Dr. A. Suvitha</t>
  </si>
  <si>
    <t>Dr. Ramdas Balan</t>
  </si>
  <si>
    <t>Dr. Vigneshwar S Bhat</t>
  </si>
  <si>
    <t>Dr K Meenakshi</t>
  </si>
  <si>
    <t>MATH</t>
  </si>
  <si>
    <t>Dr P V N Hanumantha Ravi</t>
  </si>
  <si>
    <t>Dr P Rajendra</t>
  </si>
  <si>
    <t>Dr Nidhi Vaishnaw</t>
  </si>
  <si>
    <t>Dr D Prathap</t>
  </si>
  <si>
    <t>Dr.Asha.K.N</t>
  </si>
  <si>
    <t>Prof.Uma Raju</t>
  </si>
  <si>
    <t>Dr Shivakumar B N</t>
  </si>
  <si>
    <t>Dr Bandaru Narasimha Rao</t>
  </si>
  <si>
    <t>Prof.Padmavathi Vadakkata</t>
  </si>
  <si>
    <t>Prof.Kishore K V</t>
  </si>
  <si>
    <t>Dr Balaji C</t>
  </si>
  <si>
    <t>Dr Dipansha Kumari</t>
  </si>
  <si>
    <t>Dr R Valarmathi</t>
  </si>
  <si>
    <t>Dr.Archie Thakur</t>
  </si>
  <si>
    <t>Dr. B. Rajendra Prasad Reddy</t>
  </si>
  <si>
    <t>BME</t>
  </si>
  <si>
    <t>Dr.Sagar.M Baligidad</t>
  </si>
  <si>
    <t>Dr. Harish P</t>
  </si>
  <si>
    <t>Dr.  Puneeth Kumar</t>
  </si>
  <si>
    <t>Dr. Venkatesh Naik</t>
  </si>
  <si>
    <t>Dr. Narendra N</t>
  </si>
  <si>
    <t>Mr. Shreyas P</t>
  </si>
  <si>
    <t>Dr. Fazlur Rahaman</t>
  </si>
  <si>
    <t>CHE</t>
  </si>
  <si>
    <t>Dr. Priti Gupta</t>
  </si>
  <si>
    <t>Dr. Prabhat Gautam</t>
  </si>
  <si>
    <t>Dr. Satyabrata Das</t>
  </si>
  <si>
    <t>Dr. Pakrudheen Iqbal</t>
  </si>
  <si>
    <t>Dr. Ayyappa Bathinapatla</t>
  </si>
  <si>
    <t>Dr. Dhananjay Dey</t>
  </si>
  <si>
    <t>Dr. Varsha B</t>
  </si>
  <si>
    <r>
      <rPr>
        <rFont val="Times New Roman"/>
        <b/>
        <color rgb="FF0000FF"/>
        <sz val="10.0"/>
      </rPr>
      <t>Note:</t>
    </r>
    <r>
      <rPr>
        <rFont val="Times New Roman"/>
        <color theme="1"/>
        <sz val="10.0"/>
      </rPr>
      <t xml:space="preserve"> </t>
    </r>
    <r>
      <rPr>
        <rFont val="Times New Roman"/>
        <b/>
        <color rgb="FFCC0000"/>
        <sz val="10.0"/>
      </rPr>
      <t>Mandatory paper and patent to be counted from Jul.`25-Jun.`26</t>
    </r>
  </si>
  <si>
    <t>Odd sem 2025-26</t>
  </si>
  <si>
    <t>Core 1 Type</t>
  </si>
  <si>
    <t>Core 1 Details</t>
  </si>
  <si>
    <t>Core 2 Type</t>
  </si>
  <si>
    <t>Core 2 Details</t>
  </si>
  <si>
    <t>Core 3 Type</t>
  </si>
  <si>
    <t>Core 3 Details</t>
  </si>
  <si>
    <t>Core 4 Type</t>
  </si>
  <si>
    <t>Core 4 Details</t>
  </si>
  <si>
    <t>Extra T Load assigned</t>
  </si>
  <si>
    <t>Extra T load Details</t>
  </si>
  <si>
    <t>Admin</t>
  </si>
  <si>
    <t>--</t>
  </si>
  <si>
    <t>0.3R 0.2P 0.3C 0.2I</t>
  </si>
  <si>
    <t>R -0.3, P -0.2, C -0.3, I -0.2</t>
  </si>
  <si>
    <t>1 T</t>
  </si>
  <si>
    <t>7 A - BEC702 - Computer Networks and Protocols</t>
  </si>
  <si>
    <t>3 C - BEC306C - Computer Organization and Architecture</t>
  </si>
  <si>
    <t>1 R</t>
  </si>
  <si>
    <t>R -1</t>
  </si>
  <si>
    <t>0.3P 0.4 C 0.3 E</t>
  </si>
  <si>
    <t>P - 0.3, C - 0.4 , E - 0.3</t>
  </si>
  <si>
    <t>7 A, B - BEC714B (Professional Elective) - Computer and Network Security</t>
  </si>
  <si>
    <t>5 A, B - BRMK557 - Research Methodology and IPR</t>
  </si>
  <si>
    <t>0.5 R 0.2 P 0.3 C</t>
  </si>
  <si>
    <t>R - 0.5, P - 0.2, C - 0.3</t>
  </si>
  <si>
    <t>0.8 I 0.2 E</t>
  </si>
  <si>
    <t>I - 0.8, E - 0.2</t>
  </si>
  <si>
    <t>7 A, B, C , D - BEC714D (Professional Elective) - RADAR Communications</t>
  </si>
  <si>
    <t>5 C - BEC501 - Technological Innovation and Management Entrepreneurship</t>
  </si>
  <si>
    <t>0.2 R 0.3 P 0.3 C 0.2 E</t>
  </si>
  <si>
    <t>R - 0.2, P - 0.3, C - 0.3, E - 0.2</t>
  </si>
  <si>
    <t>3 A - BEC302 - Digital System Design using Verilog</t>
  </si>
  <si>
    <t>3 C - BEC302 - Digital System Design using Verilog</t>
  </si>
  <si>
    <t>7 B, D - B1,B2,D1 - BEC701 - Microwave Engineering &amp; Antenna Theory Lab(IPCC Lab Component)</t>
  </si>
  <si>
    <t>0.5 R 0.3 C 0.2 E</t>
  </si>
  <si>
    <t>R - 0.5, C - 0.3, E - 0.2</t>
  </si>
  <si>
    <t>0.5 T</t>
  </si>
  <si>
    <t>1 M - 1BIDTL158 -Innovation and Design Thinking Lab (2 Slots)</t>
  </si>
  <si>
    <t>7 C - BEC702 - Computer Networks and Protocols</t>
  </si>
  <si>
    <t>7 A,B,C - A2,B1,C2-BEC702 - Computer Networks &amp; Protocols Lab(IPCC Component)</t>
  </si>
  <si>
    <t>7 C,D - C3,D1,D2 -BEC702 - Computer Networks &amp; Protocols Lab(IPCC Component)</t>
  </si>
  <si>
    <t>R - 0.5, P - 0.2, C - 0.3,</t>
  </si>
  <si>
    <t>7 CSML C - BEC755A - E-Waste Management(Open elective)</t>
  </si>
  <si>
    <t>5 B - BEC501 - Technological Innovation and Management Entrepreneurship</t>
  </si>
  <si>
    <t>7 A,B,C - A1,B3,C1 -BEC702 - Computer Networks &amp; Protocols Lab(IPCC Component)</t>
  </si>
  <si>
    <t>7 D - BEC703 - Wireless Communication Systems</t>
  </si>
  <si>
    <t>3 B - BEC306C - Computer Organization and Architecture</t>
  </si>
  <si>
    <t>R - 1</t>
  </si>
  <si>
    <t>7 CSE B - BEC755A - E-Waste Management(Open elective)</t>
  </si>
  <si>
    <t>3 B, C- B2, C1, C3 - BEC358A - LABVIEW Programming Lab (ABE Course)</t>
  </si>
  <si>
    <t>0.6 R 0.2 P 0.2 C</t>
  </si>
  <si>
    <t>R - 0.6, P - 0.2, C -0.2</t>
  </si>
  <si>
    <t>7 B - BEC703 - Wireless Communication Systems</t>
  </si>
  <si>
    <t>5 D - BEC501 - Technological Innovation and Management Entrepreneurship</t>
  </si>
  <si>
    <t>0.4 R 0.2 P 0.2 C 0.2 I</t>
  </si>
  <si>
    <t>R - 0.4, P - 0.2, C - 0.2, I - 0.2</t>
  </si>
  <si>
    <t>5 C, D - BRMK557 - Research Methodology and IPR</t>
  </si>
  <si>
    <t>3 B- BEC302 - Digital System Design using Verilog</t>
  </si>
  <si>
    <t>3 B, D - B1, B2, D3 - BEC302 - Digital System Design Using Verilog Lab (IPCC Lab Component)</t>
  </si>
  <si>
    <t>0.2 C 0.8 I</t>
  </si>
  <si>
    <t>C - 0.2, I - 0.8</t>
  </si>
  <si>
    <t>7 CSE C - BEC755A - E-Waste Management(Open elective)</t>
  </si>
  <si>
    <t>3 C - BEC303 - Electronic Principles and Circuits</t>
  </si>
  <si>
    <t>0.2 R 0.3 P 0.3 C 0.2 I</t>
  </si>
  <si>
    <t>R - 0.2, P - 0.3, C - 0.3, I - 0.2</t>
  </si>
  <si>
    <t>3 B - BEC304 - Network Analysis</t>
  </si>
  <si>
    <t>3 D - BEC304 - Network Analysis</t>
  </si>
  <si>
    <t>3 A, B, D- A1, B3, D1 - BECL305 - Analog and Digital System Design Lab</t>
  </si>
  <si>
    <t>0.67 T 0.33 R</t>
  </si>
  <si>
    <t>3 D - D2, D3 - BECL305 - Analog and Digital System Design Lab R - 0.33</t>
  </si>
  <si>
    <t>3 A - BEC306C - Computer Organization and Architecture</t>
  </si>
  <si>
    <t>5 D - D1,D2,D3 - BEC502 Digital Signal Processing Lab(IPCC Lab Component)</t>
  </si>
  <si>
    <t>3 A - A1,A2,A3 - BEC302 - Digital System Design Using Verilog Lab (IPCC Lab Component)</t>
  </si>
  <si>
    <t>3 C - C1,C2 - BEC302 - Digital System Design Using Verilog Lab (IPCC Lab Component) R - 0.33</t>
  </si>
  <si>
    <t>7 B - BEC701 - Microwave Engineering &amp; Antenna Theory</t>
  </si>
  <si>
    <t>7 D - BEC701 - Microwave Engineering &amp; Antenna Theory</t>
  </si>
  <si>
    <t>7 B - B1, B2, B3 - BEC701 - Microwave Engineering &amp; Antenna Theory Lab(IPCC Lab Component)</t>
  </si>
  <si>
    <t>5 B - BEC503 - Digital Communication</t>
  </si>
  <si>
    <t>5 D - BEC503 - Digital Communication</t>
  </si>
  <si>
    <t>5 A,B,C - A1,B3,C2 - BECL504 - Digital Communication Lab</t>
  </si>
  <si>
    <t>5 D - D1,D2 - BECL504 - Digital Communication Lab R - 0.33</t>
  </si>
  <si>
    <t>5 A - BEC502 - Digital Signal Processing</t>
  </si>
  <si>
    <t>5 C - BEC502 - Digital Signal Processing</t>
  </si>
  <si>
    <t>5 A,C - A2,C1,C2 - BEC502 - Digital Signal Processing (IPCC Lab Component)</t>
  </si>
  <si>
    <t>0.33 T 0.47 R 0.2 E</t>
  </si>
  <si>
    <t>5 C - C3 - BEC502 - Digital Signal Processing (IPCC Lab Component) R - 0.47, E - 0.2</t>
  </si>
  <si>
    <t>1 A - 1BESC104C - Introduction to Electronics and Communication Engineering</t>
  </si>
  <si>
    <t>1 B - 1BESC104C - Introduction to Electronics and Communication Engineering</t>
  </si>
  <si>
    <t>3 C - C1,C2,C3 -BECL305 - Analog and Digital System Design Lab</t>
  </si>
  <si>
    <t>0.33 T 0.47 R 0.2 P</t>
  </si>
  <si>
    <t>3 B - B1 -BECL305 - Analog and Digital System Design Lab R - 0.47, P - 0.2</t>
  </si>
  <si>
    <t>1 C - 1BESC104C - Introduction to Electronics and Communication Engineering</t>
  </si>
  <si>
    <t>1 D - 1BESC104C - Introduction to Electronics and Communication Engineering</t>
  </si>
  <si>
    <t>3 A,B - A1,A2,B2 -BECL305 - Analog and Digital System Design Lab</t>
  </si>
  <si>
    <t>7 A - BEC701 - Microwave Engineering &amp; Antenna Theory</t>
  </si>
  <si>
    <t>7 C - BEC701 - Microwave Engineering &amp; Antenna Theory</t>
  </si>
  <si>
    <t>7 A - A1,A2,A3 - BEC701 - Microwave Engineering &amp; Antenna Theory Lab(IPCC Lab Component)</t>
  </si>
  <si>
    <t>7 C - C1,C2,C3 - BEC701 - Microwave Engineering &amp; Antenna Theory Lab(IPCC Lab Component)</t>
  </si>
  <si>
    <t>5 A,B - BEC515A - Intelligent Systems and Machine Learning Algorithms(Professional Elective)</t>
  </si>
  <si>
    <t>7 C,D - BME755D - Non - Conventional Energy resources(Open Elective)</t>
  </si>
  <si>
    <t>5 B - B2,B3 -BEC502 - Digital Signal Processing Lab (IPCC Lab Component) R - 0.33</t>
  </si>
  <si>
    <t>0.6R 0.2P 0.2 C</t>
  </si>
  <si>
    <t>R - 0.6, P - 0.2, C - 0.2</t>
  </si>
  <si>
    <t>1 E - 1BESC104C - Introduction to Electronics and Communication Engineering</t>
  </si>
  <si>
    <t>1 F - 1BESC104C - Introduction to Electronics and Communication Engineering</t>
  </si>
  <si>
    <t>5 B,C - B2,B3,C2 - BECL504 - Digital Communication Lab</t>
  </si>
  <si>
    <t>5 C - C3 - BECL504 - Digital Communication Lab R - 0.47, E - 0.2</t>
  </si>
  <si>
    <t>1 N - 1BIDTL158 -Innovation and Design Thinking Lab (2 Slots)</t>
  </si>
  <si>
    <t>3 D - BEC306C - Computer Organization and Architecture</t>
  </si>
  <si>
    <t>7 A,B - A2, B1, B3 - BEC702 - Computer Networks &amp; Protocols Lab(IPCC Component)</t>
  </si>
  <si>
    <t>7 C - C1, C2, C3 - BEC702 - Computer Networks &amp; Protocols Lab(IPCC Component)</t>
  </si>
  <si>
    <t>7 D - D1, D2, D3 - BEC702 - Computer Networks &amp; Protocols Lab(IPCC Component)</t>
  </si>
  <si>
    <t>7 B - BEC702 - Computer Networks and Protocols</t>
  </si>
  <si>
    <t>7 D - BEC702 - Computer Networks and Protocols</t>
  </si>
  <si>
    <t>7 A, B - A1, A3, B2 - BEC702 - Computer Networks &amp; Protocols Lab(IPCC Component)</t>
  </si>
  <si>
    <t>7 D - D3 - BEC702 - Computer Networks &amp; Protocols Lab(IPCC Component) R - 0.47, P -0.2</t>
  </si>
  <si>
    <t>5 A - BEC503 - Digital Communication</t>
  </si>
  <si>
    <t>5 C - BEC503 - Digital Communication</t>
  </si>
  <si>
    <t>5 C - A2,B1,C1 - BECL504 - Digital Communication Lab</t>
  </si>
  <si>
    <t>5 C - C3 - BECL504 - Digital Communication Lab R - 0.47, P - 0.2</t>
  </si>
  <si>
    <t>3 B - TYL P2+ Python</t>
  </si>
  <si>
    <t>3 C - TYL P2+ Python</t>
  </si>
  <si>
    <t>3 D - TYL P2+ Python</t>
  </si>
  <si>
    <t>7 A, C , D - A3,C1, D3 - BEC701 - Microwave Engineering &amp; Antenna Theory Lab(IPCC Lab Component)</t>
  </si>
  <si>
    <t>7 B,C - BEC714B (Professional Elective) - Computer and Network Security</t>
  </si>
  <si>
    <t>5 A - BEC501 - Technological Innovation and Management Entrepreneurship</t>
  </si>
  <si>
    <t>7 A, B - A3, B2 - BEC702 - Computer Networks &amp; Protocols Lab(IPCC Component) R - 0.33</t>
  </si>
  <si>
    <t>0.6 R 0.2 C 0.2 E</t>
  </si>
  <si>
    <t>R - 0.6, C - 0.2, E - 0.2</t>
  </si>
  <si>
    <t>7 ISE A - BEC755A - E-Waste Management(Open elective)</t>
  </si>
  <si>
    <t>5 A, B - BEC515D -Satellite and Optical Communication(Professional Elective)</t>
  </si>
  <si>
    <t>0.33 T 0.67 R</t>
  </si>
  <si>
    <t>3 A - A2 - BECL305 - Analog and Digital System Design Lab R - 0.67</t>
  </si>
  <si>
    <t>0.4 R 0.2 P 0.2 I 0.2 E</t>
  </si>
  <si>
    <t>R - 0.4, P - 0.2, I - 0.2, E - 0.2</t>
  </si>
  <si>
    <t>7 ISE B - BEC755A - E-Waste Management(Open elective)</t>
  </si>
  <si>
    <t>5 B,C,D - BEC515D -Satellite and Optical Communication(Professional Elective)</t>
  </si>
  <si>
    <t>0.9 R 0.1 P</t>
  </si>
  <si>
    <t>R - 0.9, P - 0.1</t>
  </si>
  <si>
    <t>0.7 P 0.3 C</t>
  </si>
  <si>
    <t>P - 0.7, C - 0.3</t>
  </si>
  <si>
    <t>5 C, D - BEC515A - Intelligent Systems and Machine Learning Algorithms(Professional Elective)</t>
  </si>
  <si>
    <t>3 D - BEC302 - Digital System Design using Verilog</t>
  </si>
  <si>
    <t>3 B, D - B2, D2, D3 - BEC302 - Digital System Design Using Verilog Lab (IPCC Lab Component)</t>
  </si>
  <si>
    <t>0.6 R 0.2 P 0.2 E</t>
  </si>
  <si>
    <t>R - 0.6, P -0.2, E - 0.2</t>
  </si>
  <si>
    <t>1 G - 1BESC104C - Introduction to Electronics and Communication Engineering</t>
  </si>
  <si>
    <t>1 H - 1BESC104C - Introduction to Electronics and Communication Engineering</t>
  </si>
  <si>
    <t>5 A,B - A1,A2,B3 -BEC502 - Digital Signal Processing Lab (IPCC Lab Component)</t>
  </si>
  <si>
    <t>5 C - C2 -BEC502 - Digital Signal Processing Lab (IPCC Lab Component) R - 0.47 P - 0.2</t>
  </si>
  <si>
    <t>7 CSDS C - BEC755A - E-Waste Management(Open elective)</t>
  </si>
  <si>
    <t>3 A,B, C - A1, B3, C1- BEC303 - Electronic Principles and Circuits Lab (IPCC Lab Component)</t>
  </si>
  <si>
    <t>3 C,D - C2,C3,D1 - BEC303 - Electronic Principles and Circuits Lab (IPCC Lab Component)</t>
  </si>
  <si>
    <t>0.8 R 0.2 E</t>
  </si>
  <si>
    <t>R - 0.8, E - 0.2</t>
  </si>
  <si>
    <t>3 A - TYL P2+ Python</t>
  </si>
  <si>
    <t>3 ISE B - BCS302 - Digital Design and Computer Organization</t>
  </si>
  <si>
    <t>3 ISE B - B1,B2,B3 - BCS302 - Digital Design and Computer Organization Lab(IPCC Lab Component)</t>
  </si>
  <si>
    <t>3 ISE C - C1,C2,C3 - BCS302 - Digital Design and Computer Organization Lab(IPCC Lab Component)</t>
  </si>
  <si>
    <t>1 O - 1BIDTL158 -Innovation and Design Thinking Lab (2 Slots)</t>
  </si>
  <si>
    <t>7 AIML B - BEC755A - E-Waste Management(Open elective)</t>
  </si>
  <si>
    <t>5 A - A1,A2,A3 - BECL504 - Digital Communication Lab</t>
  </si>
  <si>
    <t>5 B,C - B1,B2,C1 - BECL504 - Digital Communication Lab</t>
  </si>
  <si>
    <t>5 D - D2,D3 - BECL504 - Digital Communication Lab R - 0.33</t>
  </si>
  <si>
    <t>7 D - BEC714B (Professional Elective) - Computer and Network Security</t>
  </si>
  <si>
    <t>3 A,B - A2,A3,B1 - BEC358A - LABVIEW Programming Lab (ABE Course)</t>
  </si>
  <si>
    <t>3 C,D - C1,C2,D2 - BEC358A - LABVIEW Programming Lab (ABE Course)</t>
  </si>
  <si>
    <t>3 A - BEC304 - Network Analysis</t>
  </si>
  <si>
    <t>3 C - BEC304 - Network Analysis</t>
  </si>
  <si>
    <t>3 B,C - B3,C1 - BEC302 - Digital System Design Using Verilog Lab (IPCC Lab Component) R - 0.33</t>
  </si>
  <si>
    <t>0.75 T 0.25 R</t>
  </si>
  <si>
    <t>5 A,B - BESK508 - Environmental Studies</t>
  </si>
  <si>
    <t>5 C,D - BESK508 - Environmental Studies</t>
  </si>
  <si>
    <t>5 A,D- A3,D1,D3 - BECL504 - Digital Communication Lab</t>
  </si>
  <si>
    <t>7 A - BEC703 - Wireless Communication Systems</t>
  </si>
  <si>
    <t>7 C - BEC703 - Wireless Communication Systems</t>
  </si>
  <si>
    <t>7 A,B,C - A1,B3,C2 - BEC701 - Microwave Engineering &amp; Antenna Theory Lab(IPCC Lab Component)</t>
  </si>
  <si>
    <t>7 C,D - C3,D1,D2- BEC701 - Microwave Engineering &amp; Antenna Theory Lab(IPCC Lab Component)</t>
  </si>
  <si>
    <t>7 A,B - BME755D - Non - Conventional Energy resources</t>
  </si>
  <si>
    <t>1 L - 1BESC104B - Introduction to Electrical Engineering</t>
  </si>
  <si>
    <t>3 B, C - B1, C2, C3 - BEC302 - Digital System Design Using Verilog Lab (IPCC Lab Component)</t>
  </si>
  <si>
    <t>0.33 T 0.27 R 0.2 P 0.2 C</t>
  </si>
  <si>
    <t>3 D - D1 - BEC302 - Digital System Design Using Verilog Lab (IPCC Lab Component) R - 0.27, P - 0.2, C - 0.2</t>
  </si>
  <si>
    <t>7 B,C - BME755D - Non - Conventional Energy resources</t>
  </si>
  <si>
    <t>1 J - 1BESC104B - Introduction to Electrical Engineering</t>
  </si>
  <si>
    <t>3 B, C,D - B3, C3, D1 - BEC302 - Digital System Design Using Verilog Lab (IPCC Lab Component)</t>
  </si>
  <si>
    <t>0.33 T 0.47 R 0.2 C</t>
  </si>
  <si>
    <t>3 D - D2 - BEC302 - Digital System Design Using Verilog Lab (IPCC Lab Component) R - 0.47, C - 0.2</t>
  </si>
  <si>
    <t>7 CSE A - BEC755A - E-Waste Management(Open elective)</t>
  </si>
  <si>
    <t>3 A,B, C - A3,B2,C1 -BECL305 - Analog and Digital System Design Lab</t>
  </si>
  <si>
    <t>3 C,D - C2,C3,D1 -BECL305 - Analog and Digital System Design Lab</t>
  </si>
  <si>
    <t>3 D - D2,D3 -BECL305 - Analog and Digital System Design Lab R - 0.33</t>
  </si>
  <si>
    <t>7 AIML A - BEC755A - E-Waste Management(Open elective)</t>
  </si>
  <si>
    <t>1 K - 1BESC104B - Introduction to Electrical Engineering</t>
  </si>
  <si>
    <t>3 A,B - A3,B1,B3 -BECL305 - Analog and Digital System Design Lab</t>
  </si>
  <si>
    <t>7 ISE C - BEC755A - E-Waste Management(Open elective)</t>
  </si>
  <si>
    <t>1 I - 1BESC104B - Introduction to Electrical Engineering</t>
  </si>
  <si>
    <t>5 A,B - A1,A3,B1 -BEC502 - Digital Signal Processing Lab (IPCC Lab Component)</t>
  </si>
  <si>
    <t>5 C,D - C3,D3 -BEC502 - Digital Signal Processing Lab (IPCC Lab Component) R -0.33</t>
  </si>
  <si>
    <t>5 B - BEC502 - Digital Signal Processing</t>
  </si>
  <si>
    <t>5 D - BEC502 - Digital Signal Processing</t>
  </si>
  <si>
    <t>5 A,B - A3,B1, B2 -BEC502 - Digital Signal Processing Lab (IPCC Lab Component)</t>
  </si>
  <si>
    <t>5 C,D - C1,D1,D2 -BEC502 - Digital Signal Processing Lab (IPCC Lab Component)</t>
  </si>
  <si>
    <t>3 A - BEC303 - Electronic Principles and Circuits</t>
  </si>
  <si>
    <t>3 A - A1, A2, A3- BEC303 - Electronic Principles and Circuits Lab (IPCC Lab Component)</t>
  </si>
  <si>
    <t>3 B, C - B1, B2, C1- BEC303 - Electronic Principles and Circuits Lab (IPCC Lab Component)</t>
  </si>
  <si>
    <t>3 C, D - C2, D2, D3- BEC303 - Electronic Principles and Circuits Lab (IPCC Lab Component)</t>
  </si>
  <si>
    <t>3 B - BEC303 - Electronic Principles and Circuits</t>
  </si>
  <si>
    <t>7 A,D - A2,D2,D3 - BEC701 - Microwave Engineering &amp; Antenna Theory Lab(IPCC Lab Component)</t>
  </si>
  <si>
    <t>3 A,B - A2,A3,B2- BEC303 - Electronic Principles and Circuits Lab (IPCC Lab Component)</t>
  </si>
  <si>
    <t>3 B, C, D - B3, C3, D3- BEC303 - Electronic Principles and Circuits Lab (IPCC Lab Component)</t>
  </si>
  <si>
    <t>3 ISE A - BCS302 - Digital Design and Computer Organization</t>
  </si>
  <si>
    <t>3 A- A1,A2,A3 - BEC358A - LABVIEW Programming Lab (ABE Course)</t>
  </si>
  <si>
    <t>3 B,C- B2,B3,C2 - BEC358A - LABVIEW Programming Lab (ABE Course)</t>
  </si>
  <si>
    <t>3 C,D- C3, D1,D3 - BEC358A - LABVIEW Programming Lab (ABE Course)</t>
  </si>
  <si>
    <t>3 D - BEC303 - Electronic Principles and Circuits</t>
  </si>
  <si>
    <t>3 B,D - B1,D1,D2- BEC303 - Electronic Principles and Circuits Lab (IPCC Lab Component)</t>
  </si>
  <si>
    <t>3 A,B- A1, B1,B3 - BEC358A - LABVIEW Programming Lab (ABE Course)</t>
  </si>
  <si>
    <t>3 D - D1,D2,D3 - BEC358A - LABVIEW Programming Lab (ABE Course)</t>
  </si>
  <si>
    <t>0.5P
0.5E</t>
  </si>
  <si>
    <t>0.5 P
0.5 E</t>
  </si>
  <si>
    <t>1A</t>
  </si>
  <si>
    <t>Admin load</t>
  </si>
  <si>
    <t>7th A- BCS703 - Cryptography &amp; Network Security</t>
  </si>
  <si>
    <t>1T</t>
  </si>
  <si>
    <t>5th A- BCS503-Theory of Computation</t>
  </si>
  <si>
    <t>5th A- BCSL504 - Web Technology Lab - 3 Slots</t>
  </si>
  <si>
    <t>0.33T
0.66R</t>
  </si>
  <si>
    <t>5th C- BCSL504 - Web Technology Lab - 1 Slot
0.66R</t>
  </si>
  <si>
    <t>0.2R, 
0.5C, 
0.3 P</t>
  </si>
  <si>
    <t>0.2R, 0.5C, 0.3 P</t>
  </si>
  <si>
    <t>5th B- BCSL504 - Web Technology Lab - 2 Slots</t>
  </si>
  <si>
    <t>3rd A- BCS304- Data Structures and Application</t>
  </si>
  <si>
    <t>3rd A- BCSL305- Data Structures Lab - 3 Slots</t>
  </si>
  <si>
    <t>1R</t>
  </si>
  <si>
    <t>0.2C, 0.45P, 0.35E</t>
  </si>
  <si>
    <t>3rd B- BCS304- Data Structures and Application</t>
  </si>
  <si>
    <t>3rd B- BCSL305- Data Structures Lab -3 Slots</t>
  </si>
  <si>
    <t>0.5R, 0.5 C</t>
  </si>
  <si>
    <t>3rd A,C- BCSL305- Data Structures Lab - 3 Slots</t>
  </si>
  <si>
    <t>5th C- BCS515B- Artificial Intelligence</t>
  </si>
  <si>
    <t>3rd B, C- BCSL305- Data Structures Lab -3 Slots</t>
  </si>
  <si>
    <t>0.66T
0.34 P</t>
  </si>
  <si>
    <t>3rd B, C- BCS358D- Data Visualization with Python lab- 2 Slots
P-0.34</t>
  </si>
  <si>
    <t>0.5R, 0.2P, 0.3I</t>
  </si>
  <si>
    <t>5th B- BCS503-Theory of Computation</t>
  </si>
  <si>
    <t>5th C- BCS503-Theory of Computation</t>
  </si>
  <si>
    <t>7th A, C- IOT Lab - 3 slots</t>
  </si>
  <si>
    <t>3rd A,B, C- BCSL305- Data Structures Lab -3 Slots</t>
  </si>
  <si>
    <t>7th A- BCS701 - Internet of Things</t>
  </si>
  <si>
    <t>7th A- IOT Lab - 3 slots</t>
  </si>
  <si>
    <t>5th B- BRMK557- Research Methodology and IPR
1st J-1BIDTL158- IDT</t>
  </si>
  <si>
    <t>0.65I, 0.35E</t>
  </si>
  <si>
    <t>7th B, C- IOT Lab - 3 slots</t>
  </si>
  <si>
    <t>1st G- 1BEIT105-Programming in C</t>
  </si>
  <si>
    <t>1st G,H-1BPOPL107-POP Lab- 3 slots</t>
  </si>
  <si>
    <t>0.5T
0.5R</t>
  </si>
  <si>
    <t>3rd B- BCS306A- Oops with JAVA
R- 0.5</t>
  </si>
  <si>
    <t>0.66T
0.34P</t>
  </si>
  <si>
    <t>3rd B- Java Lab- 2 Slots
P- 0.34</t>
  </si>
  <si>
    <t>7th B- BCS701 - Internet of Things</t>
  </si>
  <si>
    <t>7th B- IOT Lab - 3 slots</t>
  </si>
  <si>
    <t>7th C- BCS702- Parallel Computing</t>
  </si>
  <si>
    <t>0.5 R, 0.3 C, 0.2P</t>
  </si>
  <si>
    <t>3rd A, B- DDCO Lab- 3 Slots</t>
  </si>
  <si>
    <t>7th - BCS714B- NLP</t>
  </si>
  <si>
    <t>7th A, B- IOT Lab - 3 slots</t>
  </si>
  <si>
    <t>0.45 R, 0.2 P, 0.35 E</t>
  </si>
  <si>
    <t>3rd C- Java Lab - 3 Slots</t>
  </si>
  <si>
    <t>7th - BCS714D- BDA</t>
  </si>
  <si>
    <t>3rd C - BCS303- OS</t>
  </si>
  <si>
    <t>3rd C- OS Lab- 3 Slots</t>
  </si>
  <si>
    <t>3rd A- BCS358D- DV Lab- 3 Slots</t>
  </si>
  <si>
    <t>7th C- BCS703 - Cryptography &amp; Network Security</t>
  </si>
  <si>
    <t>3rd C- BCS304- Data Structures and Application</t>
  </si>
  <si>
    <t>1st K-1BIDTL158- IDT
R-0.5</t>
  </si>
  <si>
    <t>0.4R, 0.4C, 0.2 P</t>
  </si>
  <si>
    <t>3rd C- BCSL305- Data Structures Lab -3 Slots</t>
  </si>
  <si>
    <t>7th B- BCS703 - Cryptography &amp; Network Security</t>
  </si>
  <si>
    <t>5th A- CN Lab- 3 Slots</t>
  </si>
  <si>
    <t>5th A - BCS502- Computer Network</t>
  </si>
  <si>
    <t>0.5R, 0.3C, 0.2 P</t>
  </si>
  <si>
    <t>5th B- CN Lab- 3 Slots</t>
  </si>
  <si>
    <t>5th A - BRMK557- RM,
3rd C- BCS306A- Java</t>
  </si>
  <si>
    <t>3rd C- Java Lab - 3 slots</t>
  </si>
  <si>
    <t>3rd A- Java Lab - 3 slots</t>
  </si>
  <si>
    <t>0.33T
0.47R
0.2P</t>
  </si>
  <si>
    <t>3rd B- Java Lab - 1 slot
R-0.47
P-0.2</t>
  </si>
  <si>
    <t>7th C- BCS701 - Internet of Things</t>
  </si>
  <si>
    <t>7th C- IOT Lab - 3 slots</t>
  </si>
  <si>
    <t>3rd B,C - DDCO lab - 3 slots</t>
  </si>
  <si>
    <t>R-0.5, C-0.2, I-0.3</t>
  </si>
  <si>
    <t>1st G - 1BEIT105 - POP</t>
  </si>
  <si>
    <t>1st B, C, H, D- POP Lab- 3 slots</t>
  </si>
  <si>
    <t>R-0.5, C-0.2, P-0.3</t>
  </si>
  <si>
    <t>3rd A- BCS303- OS</t>
  </si>
  <si>
    <t>3rd A- OS Lab- 3 Slots</t>
  </si>
  <si>
    <t>3rd B- OS Lab- 3 Slots</t>
  </si>
  <si>
    <t>R-0.5, P-0.2, I-0.3</t>
  </si>
  <si>
    <t>5th C- BCS501-SE</t>
  </si>
  <si>
    <t>1st A, E, G, C- POP Lab- 3 slots</t>
  </si>
  <si>
    <t>1st I-1BIDTL158- IDT
R-0.5</t>
  </si>
  <si>
    <t>0.66T
0.04R
0.3I</t>
  </si>
  <si>
    <t>1st A, E, G, C- POP Lab- 2 slots
R-0.04
I-0.3</t>
  </si>
  <si>
    <t>5th B - BCS515B - AI</t>
  </si>
  <si>
    <t>3rd B- BCS358D- DV Lab- 3 Slots</t>
  </si>
  <si>
    <t>3rd C- BCS358D- DV Lab- 3 Slots</t>
  </si>
  <si>
    <t>0.8R
0.2I</t>
  </si>
  <si>
    <t>R-0.8
I-0.2</t>
  </si>
  <si>
    <t>5th A- BCS501-SE</t>
  </si>
  <si>
    <t>5th B- BCS501-SE</t>
  </si>
  <si>
    <t>3rd C- BCS358D- DV Lab- 1 Slot
R-0.47
P-0.2</t>
  </si>
  <si>
    <t>5th B - BCS502- Computer Network</t>
  </si>
  <si>
    <t>5th C- CN Lab- 3 Slots</t>
  </si>
  <si>
    <t>R-0.5, C-0.3, P-0.2</t>
  </si>
  <si>
    <t>5th C - BCS502- Computer Network</t>
  </si>
  <si>
    <t>0.8R
0.2P</t>
  </si>
  <si>
    <t>R-0.8
P-0.2</t>
  </si>
  <si>
    <t>3rd B- BCS303- OS</t>
  </si>
  <si>
    <t>0.33T
0.47R
0.2 P</t>
  </si>
  <si>
    <t>1st F- POP Lab- 1 slot
R-0.47
P-0.2</t>
  </si>
  <si>
    <t>1st A - 1BEIT105 - POP</t>
  </si>
  <si>
    <t>1st B - 1BEIT105 - POP</t>
  </si>
  <si>
    <t>1st B, C, F, D- POP Lab- 3 slots</t>
  </si>
  <si>
    <t>3rd A -BCS302- DDCO</t>
  </si>
  <si>
    <t>3rd A, B - DDCO lab - 3 slots</t>
  </si>
  <si>
    <t>7th A, B,C - Parallel Computing lab - 3 slots</t>
  </si>
  <si>
    <t>0.6R, 0.2 C, 0.2 P</t>
  </si>
  <si>
    <t>1st F - 1BEIT105 - POP</t>
  </si>
  <si>
    <t>1st A, E, H- POP Lab- 3 slots</t>
  </si>
  <si>
    <t>3rd A,C - DDCO lab - 3 slots</t>
  </si>
  <si>
    <t>R-1</t>
  </si>
  <si>
    <t>1T
0.5 R</t>
  </si>
  <si>
    <t>3rd A- BCS306A- Java
R-0.5</t>
  </si>
  <si>
    <t>3rd B,C- Java Lab - 3 slots</t>
  </si>
  <si>
    <t>5th A, B, C- BCSL504 - Web Technology Lab - 3 Slots</t>
  </si>
  <si>
    <t>5th C - BRMK557- RM
R-0.5</t>
  </si>
  <si>
    <t>7th C - Parallel Computing lab - 3 slots</t>
  </si>
  <si>
    <t>7th A, B - Parallel Computing lab - 3 slots</t>
  </si>
  <si>
    <t>1st A, F,H - POP Lab- 3 slots</t>
  </si>
  <si>
    <t>5th A - BCS515B - AI</t>
  </si>
  <si>
    <t>7th A - BCS702- Parallel Computing</t>
  </si>
  <si>
    <t>7th B- BCS702- Parallel Computing</t>
  </si>
  <si>
    <t>7th A - Parallel Computing lab - 3 slots</t>
  </si>
  <si>
    <t>7th B - Parallel Computing lab - 3 slots</t>
  </si>
  <si>
    <t>1st D - 1BEIT105 - POP</t>
  </si>
  <si>
    <t>1st E- 1BEIT105 - POP</t>
  </si>
  <si>
    <t>1st A, H, C- POP Lab- 3 slots</t>
  </si>
  <si>
    <t>3rd B -BCS302- DDCO</t>
  </si>
  <si>
    <t>3rd C -BCS302- DDCO</t>
  </si>
  <si>
    <t>3rd C - DDCO lab - 3 slots</t>
  </si>
  <si>
    <t>1st C - 1BEIT105 - POP</t>
  </si>
  <si>
    <t>1st C- POP Lab- 3 slots</t>
  </si>
  <si>
    <t>1st E, F, G- POP Lab- 3 slots</t>
  </si>
  <si>
    <t>1 A</t>
  </si>
  <si>
    <t>Admin Load</t>
  </si>
  <si>
    <t>0.5 R + 0.3 C + 0.2 E</t>
  </si>
  <si>
    <t>R Load , C Load and E Load</t>
  </si>
  <si>
    <t>NA</t>
  </si>
  <si>
    <t>5A - BCS515D - Distributed Systems</t>
  </si>
  <si>
    <t>5B - BCS515D - Distributed Systems</t>
  </si>
  <si>
    <t>R Load</t>
  </si>
  <si>
    <t>0.7 C + 0.3 P</t>
  </si>
  <si>
    <t>C Load and P Load</t>
  </si>
  <si>
    <t>7A - BIS703 - Information &amp; Network Security</t>
  </si>
  <si>
    <t>5 A,B, C - Sem- BCS502 - Computer Networks LAB - 3 Batches</t>
  </si>
  <si>
    <t>0.33 T + 0.67 R</t>
  </si>
  <si>
    <t>3 sem - BCS358A-Data Analytics with Excel-1 Lab, R Load</t>
  </si>
  <si>
    <t>0.5 C + 0.2 P +0.3 R</t>
  </si>
  <si>
    <t>C Load , P Load and R Load</t>
  </si>
  <si>
    <t>0.33 T + 0.1 E + 0.2 P + 0.37 I</t>
  </si>
  <si>
    <t>3B-BCS306A -Object Oriented Programming with JAVA-1 Batch , E Load, P Load and I Load</t>
  </si>
  <si>
    <t>0.5 R + 0.5 E</t>
  </si>
  <si>
    <t>R Load and E Load</t>
  </si>
  <si>
    <t>7C - BIS703 - Information &amp; Network Security</t>
  </si>
  <si>
    <t>5(ECE C)-TYL FSD</t>
  </si>
  <si>
    <t>0.34 T + 0.66 R</t>
  </si>
  <si>
    <t>3A3 - BCS303 - Operating Systems Lab - 1 Batch, R Load</t>
  </si>
  <si>
    <t>0.3 C + 0.2 P+ 0.3 I + 0.24 R</t>
  </si>
  <si>
    <t>R Load, P Load , I Load and E Load</t>
  </si>
  <si>
    <t>0.66 + 0.5 = 1.16 T</t>
  </si>
  <si>
    <t>3 sem-Operating System Lab (1), 5 sem-Data Visualtization Lab (1), 1 sem- Innovation and Design Thinking Lab</t>
  </si>
  <si>
    <t>5(ECE A ) - TYL Full Stack Development</t>
  </si>
  <si>
    <t>0.5 T + 0.2 P + 0.3 E</t>
  </si>
  <si>
    <t>3A - BCS306A - Object Oriented Programming with JAVA, P Load, E Load</t>
  </si>
  <si>
    <t>7 - A,B,C -BIS701 - Big Data Analytics Lab - 3 Batches</t>
  </si>
  <si>
    <t>0.66 T + 0.34 R</t>
  </si>
  <si>
    <t>7 - B,C -BIS701 - Big Data Analytics Lab - 2 Batches, R Load</t>
  </si>
  <si>
    <t>7 B - BCS702 - Parallel Computing</t>
  </si>
  <si>
    <t>7 - A,B,-BCS702 - Parallel Computing Lab - 2 Batches, 3 C - BCS358A - Data Analytics with Excel - 1 Batch</t>
  </si>
  <si>
    <t>7 C - BCS702 - Parallel Computing</t>
  </si>
  <si>
    <t>0.3 R + 0.3 C + 0.4 P</t>
  </si>
  <si>
    <t>R Load., C load, and P Load</t>
  </si>
  <si>
    <t>7 - A,B,C -BCS702 - Parallel Computing Lab - 3 Batches</t>
  </si>
  <si>
    <t>7 A - BCS701 - Big Data Analytics</t>
  </si>
  <si>
    <t>7 C - BCS701 - Big Data Analytics</t>
  </si>
  <si>
    <t>7 - A,B -BIS701 - Big Data Analytics Lab - 3 Batches</t>
  </si>
  <si>
    <t>0.6 T + 0.2 C + 0.2 P</t>
  </si>
  <si>
    <t>7 - C -BIS701 - Big Data Analytics Lab - 2 Batches, C Load, P Load</t>
  </si>
  <si>
    <t>7 A - BCS714A - Deep Learning (PE)</t>
  </si>
  <si>
    <t>3 A,B,C - BCS306A - Object Oriented Programming with JAVA Lab -3 Batches</t>
  </si>
  <si>
    <t>0.6 R + 0.2 C + 0.2 P</t>
  </si>
  <si>
    <t>R Load, P Load ,and C Load</t>
  </si>
  <si>
    <t>5 C - BCS503 - Theory Of Computation</t>
  </si>
  <si>
    <t>3A - BCSL305 - Data Structures and Applications Lab - 3 Batches</t>
  </si>
  <si>
    <t>5 B - Sem- BCS502 - Computer Networks LAB - 2 Batches</t>
  </si>
  <si>
    <t>3 B - BCS303 - Operating Systems</t>
  </si>
  <si>
    <t>7B-BIS703-Information &amp; Network Security</t>
  </si>
  <si>
    <t>3 A,C - BCS303 - Operating Systems Lab - 3 Batches</t>
  </si>
  <si>
    <t>0.5 R + 0.2 C + 0.3 I</t>
  </si>
  <si>
    <t>R Load, C Load and I Load</t>
  </si>
  <si>
    <t>0.5 + 0.56 = 1.06</t>
  </si>
  <si>
    <t>Innovation and Design
Thinking Lab + Environmental Studies and E-Waste Management</t>
  </si>
  <si>
    <t>7 A - BCS702 - Parallel Computing</t>
  </si>
  <si>
    <t>7th Sem (ECE) - DBMS (OE)</t>
  </si>
  <si>
    <t>0.6 R + 0.4 E</t>
  </si>
  <si>
    <t>3 A,B - BCS303 - Operating Systems Lab - 3 Batches</t>
  </si>
  <si>
    <t>3 A,B - BCS303 - Operating Systems Lab - 2 Batches , 3 B - BCS358A - Data Analytics with Excel - 1 Batch</t>
  </si>
  <si>
    <t>0.33 T</t>
  </si>
  <si>
    <t>3 C - BCS358A - Data Analytics with Excel - 1 Batch</t>
  </si>
  <si>
    <t>3 B,C - BCS306A - Object Oriented Programming with JAVA</t>
  </si>
  <si>
    <t>5 C - TYL - MAD</t>
  </si>
  <si>
    <t>3 A - BCS303 - Operating Systems</t>
  </si>
  <si>
    <t>3 A,B - BCS303 - Operating Systems Lab - 1 Batch, 1st Sem - 1BPLC105B - Python Programming Lab - 2 Batches</t>
  </si>
  <si>
    <t>7 B- BCS701 - Big Data Analytics</t>
  </si>
  <si>
    <t>5 B - BCS501 - Software Engineering and Project Management</t>
  </si>
  <si>
    <t>0.66 T + 0.34 P</t>
  </si>
  <si>
    <t>7 - C -BIS701 - Big Data Analytics Lab - 2 Batches, P Load</t>
  </si>
  <si>
    <t>R load</t>
  </si>
  <si>
    <t>3A - BCS304 - Data Structures and Applications</t>
  </si>
  <si>
    <t>3B,C - BCSL305 - Data Structures and Applications Lab - 3 Batches</t>
  </si>
  <si>
    <t>1st Sem - 1BPLC205E - C Programming Lab - 1 Batch, 1st Sem - 1BPLC105B - Python Programming Lab - 2 Batches</t>
  </si>
  <si>
    <t>1 I Sec - 1BPLC105B - Python Programming</t>
  </si>
  <si>
    <t>5 B - Sem- BCS502 - Computer Networks LAB - 2 Batches , 1st Sem - 1BPLC205E - C Programming Lab - 1 Batch</t>
  </si>
  <si>
    <t>1BPLC105B - Python Programming Lab - 3 Batches</t>
  </si>
  <si>
    <t>5 (ECE D sec) - TYL - FSD</t>
  </si>
  <si>
    <t>5 B - TYL - MAD</t>
  </si>
  <si>
    <t>5 A,B,C - BAIL504 - Data Visualization Lab - 3 Batches</t>
  </si>
  <si>
    <t>I T (For two months)</t>
  </si>
  <si>
    <t>5 A - TYL MAD</t>
  </si>
  <si>
    <t>5 A - BCS501 - Software Engineering and Project Management</t>
  </si>
  <si>
    <t>5 C - BCS501 - Software Engineering and Project Management</t>
  </si>
  <si>
    <t>5 A - BCS503 - Theory Of Computation</t>
  </si>
  <si>
    <t>5 B - BCS503 - Theory Of Computation</t>
  </si>
  <si>
    <t>0.5 R + 0.3 P +0.2 E</t>
  </si>
  <si>
    <t>R Load, P Load and E Load</t>
  </si>
  <si>
    <t>0.66 T + 0.5 T = 1.16T</t>
  </si>
  <si>
    <t>5-Data Visualtization Lab - 2 Batches, 1- Innovation and Design
Thinking Lab</t>
  </si>
  <si>
    <t>3B - BCS304 - Data Structures and Applications</t>
  </si>
  <si>
    <t>7 A - BIS714B - Software Quality Assurance (PE)</t>
  </si>
  <si>
    <t>0.8 R + 0.2 C</t>
  </si>
  <si>
    <t>R and C Load</t>
  </si>
  <si>
    <t>3 A,B,C - BCS358A - Data Analytics with Excel - 3 Batches</t>
  </si>
  <si>
    <t>5 sem - TYL - DS</t>
  </si>
  <si>
    <t>3 A - BCS302 - Digital Design and Computer Organization Lab - 3 Batches</t>
  </si>
  <si>
    <t>0.33 T + 0.33 C +0.34 P</t>
  </si>
  <si>
    <t>3 C- Digital Design and Computer Organization Lab - 1 Batch, C Load and P Load</t>
  </si>
  <si>
    <t>0.66 T</t>
  </si>
  <si>
    <t>3 C- Digital Design and Computer Organization Lab - 2 Batches</t>
  </si>
  <si>
    <t>3 C - BCS302 -- Digital Design and Computer Organization</t>
  </si>
  <si>
    <t>3 A,B,C - BCS302 - Digital Design and Computer Organization Lab - 3 Batches</t>
  </si>
  <si>
    <t>3 A,B - BCS303 - Operating Systems Lab - 2 Batches, R Load</t>
  </si>
  <si>
    <t>3 A,B - BCS303 - Operating Systems Lab - 2 Batches</t>
  </si>
  <si>
    <t>1 J Sec - 1BPLC105B - Python Programming</t>
  </si>
  <si>
    <t>1BPLC105B - Python Programming Lab - 2 Batches, 7 - B -BCS702 - Parallel Computing Lab - 1 Batches</t>
  </si>
  <si>
    <t>7 - A,C -BCS702 - Parallel Computing Lab - 3 Batches</t>
  </si>
  <si>
    <t>5 A- BCS502 - Computer Networks</t>
  </si>
  <si>
    <t>5 B - BCS502 - Computer Networks</t>
  </si>
  <si>
    <t>5 C- BCS502 - Computer Networks</t>
  </si>
  <si>
    <t>0.5 T +0.5 R</t>
  </si>
  <si>
    <t>5A&amp;B-BRMK557-Research Methodology and IPR, R Load</t>
  </si>
  <si>
    <t>5 C - Sem- BCS502 - Computer Networks LAB - 2 Batches, 5 A - BAIL504 - Data Visualization Lab - 1 Batch</t>
  </si>
  <si>
    <t>0.33 P + 0.37 I + 0.3 R</t>
  </si>
  <si>
    <t>P Load , I Load and R Load</t>
  </si>
  <si>
    <t>5 B,C - BAIL504 - Data Visualization Lab - 2 Batches</t>
  </si>
  <si>
    <t>3C - BCS304 - Data Structures and Applications</t>
  </si>
  <si>
    <t>0.64 R + 0.36 I</t>
  </si>
  <si>
    <t>R Load and I Load</t>
  </si>
  <si>
    <t>1BPLC105B - Python Programming Lab - 2 Batches</t>
  </si>
  <si>
    <t>5A-BCS515D-Distributed Systems</t>
  </si>
  <si>
    <t>3 A,B,C - BCS358A - Data Analytics with Excel - 2 Batches, R Load</t>
  </si>
  <si>
    <t>1 L Sec - 1BPLC105B - Python Programming</t>
  </si>
  <si>
    <t>1st Sem - 1BPLC205E - C Programming Lab - 3 Batches</t>
  </si>
  <si>
    <t>1st Sem - 1BPLC205E - C Programming Lab - 2 Batches, 1BPLC105B - Python Programming Lab - 1 Batch</t>
  </si>
  <si>
    <t>1st Sem M Sec - 1BPLC205E - C Programming</t>
  </si>
  <si>
    <t>1st Sem N Sec - 1BPLC205E - C Programming</t>
  </si>
  <si>
    <t>1st Sem - 1BPLC205E - C Programming Lab - 2 Batch, 1BPLC105B - Python Programming Lab - 1 Batches</t>
  </si>
  <si>
    <t>1st O Sec Sem - 1BPLC205E - C Programming</t>
  </si>
  <si>
    <t>1st Sem P Sec - 1BPLC205E - C Programming</t>
  </si>
  <si>
    <t>1st Sem- 1BPLC205E - C Programming Lab - 3 Batches</t>
  </si>
  <si>
    <t>1BPLC105B - Python Programming Lab - 2 Batches, 3 C - BCS306A - Object Oriented Programming with JAVA Lab -1 Batch.</t>
  </si>
  <si>
    <t>NIL</t>
  </si>
  <si>
    <t>Admininstration</t>
  </si>
  <si>
    <t>3C-BCS303 -Operating Systems</t>
  </si>
  <si>
    <t>3C-BCS303 -Operating Systems Lab (3 Slots)</t>
  </si>
  <si>
    <t>0.7I
0.3E</t>
  </si>
  <si>
    <t>1E</t>
  </si>
  <si>
    <t>5A-25TYLFSDCS-Full Stack Development</t>
  </si>
  <si>
    <t>5A-BCS502-Computer Networks Lab (3 Slots)</t>
  </si>
  <si>
    <t>5A-BAI515B -Information Retrival</t>
  </si>
  <si>
    <t>0.8 I
0.2 E</t>
  </si>
  <si>
    <t>0.5T</t>
  </si>
  <si>
    <t>FY-1BIDTL158-Innovation &amp; Design Thinking Lab</t>
  </si>
  <si>
    <t>5A-BCS502-Computer Networks</t>
  </si>
  <si>
    <t>5B-BCS502-Computer Networks</t>
  </si>
  <si>
    <t>0.6 P
0.4 C</t>
  </si>
  <si>
    <t>5B-BCS502-Computer Networks Lab 
(3 Slots)</t>
  </si>
  <si>
    <t>7C-BCA701-Deep Learning</t>
  </si>
  <si>
    <t>3C-BCS304 -Data Structures</t>
  </si>
  <si>
    <t>7C-BCA701-Deep Learning Lab (3 Slots)</t>
  </si>
  <si>
    <t>3C-BCSL305-Data Structures Lab (3 Slots)</t>
  </si>
  <si>
    <t>0.5T
0.5T</t>
  </si>
  <si>
    <t>3A-BCS306A-OO 
Java
3B-BCS306A-OOJava</t>
  </si>
  <si>
    <t>3A-BCS306A-OOJava Lab (3 slots)</t>
  </si>
  <si>
    <t>3B-BCS306A-OOJava Lab (3 slots)</t>
  </si>
  <si>
    <t>7B-BAI701-Deep Learning and reinforcement learning</t>
  </si>
  <si>
    <t>3C-BCS302-Digital design and computer organization</t>
  </si>
  <si>
    <t>7B-BAI701-Deep Learning and reinforcement learning lab (3 slots)</t>
  </si>
  <si>
    <t>3C-BCS302-Digital design and computer organization lab (3 slot)</t>
  </si>
  <si>
    <t>7C-BCS703-Cryptography and Network security</t>
  </si>
  <si>
    <t>5C-BCS502-Computer Networks</t>
  </si>
  <si>
    <t>5C-BCS502-Computer Networks lab(3 slots)</t>
  </si>
  <si>
    <t>5A-BAIL504-Data Visualization Lab(3 slots)</t>
  </si>
  <si>
    <t>FYA1-1BAIA203-IntrodUction to AI and Application</t>
  </si>
  <si>
    <t>3A-BCS358A-Data Analytics with Excel (3 slots)</t>
  </si>
  <si>
    <t>0.19T
0.81R</t>
  </si>
  <si>
    <t>5B-BCS508-Environmental Studies and e-Waste</t>
  </si>
  <si>
    <t>3B-BCS358A-Data Analytics with Excel (3 slots)</t>
  </si>
  <si>
    <t>3C-BCSL358A-Data Analytics with Excel (3 slots)</t>
  </si>
  <si>
    <t>7A-BAI702-Machine Learning-2</t>
  </si>
  <si>
    <t>7C-BAI702-Machine Learning-2</t>
  </si>
  <si>
    <t>7A-BAI702-Machine Learning-2 lab(3 slots)</t>
  </si>
  <si>
    <t>7C-BAI702-Machine Learning-2 lab (3 slots)</t>
  </si>
  <si>
    <t>7A-BAI701-Deep Learning and reinforcement learning</t>
  </si>
  <si>
    <t>3B-BCS304-Data Structures</t>
  </si>
  <si>
    <t>7A-BAI701-Deep Learning and reinforcement learning lab(3 slots)</t>
  </si>
  <si>
    <t>3B-BCS304-Data Structures lab (3 slots)</t>
  </si>
  <si>
    <t>5C-BCS503-Theory of computation</t>
  </si>
  <si>
    <t>5C-BAIL504-Data Visualization lab (3 slots)</t>
  </si>
  <si>
    <t>0.3T
0.5T
0.2R</t>
  </si>
  <si>
    <t>3C-BCS306A-OOJava Lab (3 slots)
3C-BCS306A-OOJava
0.2R</t>
  </si>
  <si>
    <t>0.7T</t>
  </si>
  <si>
    <t>3C-BCS306A-OOJava Lab (3 slots)</t>
  </si>
  <si>
    <t>0.31T
0.5T
0.19T</t>
  </si>
  <si>
    <t>3C-BCS358A-Data Analytics with Excel (3 slots)
5B-BRMK557-RMIPR
5A-BCS508-Environmental science and E-Waste</t>
  </si>
  <si>
    <t>0.69T</t>
  </si>
  <si>
    <t>3C-BCS358A-Data Analytics with Excel (3 slots)</t>
  </si>
  <si>
    <t>5B-BCS503-Theory of computation</t>
  </si>
  <si>
    <t>7A-BAI701-Deep Learning and reinforcement learning lab(3slots)</t>
  </si>
  <si>
    <t>7C-BCA701- Deep learning</t>
  </si>
  <si>
    <t>5B-BCS501-Software Engineering and project managenent</t>
  </si>
  <si>
    <t>5C-TYL-Mobile application development</t>
  </si>
  <si>
    <t>FYE1-1BESC104E -Essentials of information Technology</t>
  </si>
  <si>
    <t>5B-BCS502-Computer Networks Lab (3slots)</t>
  </si>
  <si>
    <t>5A-BCS501-Software Engineering and project managenent</t>
  </si>
  <si>
    <t>5C-BCS501-Software Engineering and project managenent</t>
  </si>
  <si>
    <t>5A-BCS503-Theory of computation</t>
  </si>
  <si>
    <t>FYA2-1BAIA203-Introduction to AI and Application</t>
  </si>
  <si>
    <t>5B-BAIL504-Data Visualization lab (3 slots)</t>
  </si>
  <si>
    <t>7B-BAI702-Machine Learning-2</t>
  </si>
  <si>
    <t>7A-BAI702-Machine Learning-2 Lab (3 Slots)</t>
  </si>
  <si>
    <t>7B-BAI702-Machine Learning-2 Lab (3 Slots)</t>
  </si>
  <si>
    <t>7C-BAI702-Machine Learning-2 Lab (3 Slots)</t>
  </si>
  <si>
    <t>7A-BAD714C-MLOPs</t>
  </si>
  <si>
    <t>7B-BAD714C-MLOPs</t>
  </si>
  <si>
    <t>7C-BAD714C-MLOPs</t>
  </si>
  <si>
    <t>1C</t>
  </si>
  <si>
    <t>5B-25TYLFSDCS-Full Stack Development</t>
  </si>
  <si>
    <t>3A-BCSL305-Data Structures Lab (3 Slots)</t>
  </si>
  <si>
    <t>3B-BCSL305-Data Structures Lab (3 Slots)</t>
  </si>
  <si>
    <t>3A-BCS303 -Operating Systems</t>
  </si>
  <si>
    <t>3B-BCS303 -Operating Systems</t>
  </si>
  <si>
    <t>3A-BCS303 -Operating Systems Lab (3 Slots)</t>
  </si>
  <si>
    <t>3B-BCS303 -Operating Systems Lab (3 Slots)</t>
  </si>
  <si>
    <t>3A-BCS302-Digital design and computer organization</t>
  </si>
  <si>
    <t>3B-BCS302-Digital design and computer organization</t>
  </si>
  <si>
    <t>3A-BCS302-Digital design and computer organization Lab (3 Slots)</t>
  </si>
  <si>
    <t>3B-BCS302-Digital design and computer organization Lab (3 Slots)</t>
  </si>
  <si>
    <t>FYA3-1BAIA203-IntrodUction to AI and Application</t>
  </si>
  <si>
    <t>FYA4-1BAIA203-IntrodUction to AI and Application</t>
  </si>
  <si>
    <t>3C-BCS302-Digital design and computer organization Lab (3 Slots)</t>
  </si>
  <si>
    <t>7A-BAD703-Data Security &amp; Privacy</t>
  </si>
  <si>
    <t>7B-BAD703-Data Security &amp; Privacy</t>
  </si>
  <si>
    <t>3A-BCS304 -Data Structures</t>
  </si>
  <si>
    <t>FYE2-1BESC104E -Essentials of information Technology</t>
  </si>
  <si>
    <t>7B-BAI702-Machine Learning-2 lab(3 slots)</t>
  </si>
  <si>
    <t>5B-BAIL504-Data Visualization Lab(3 slots)</t>
  </si>
  <si>
    <t>5C-BCS502-Computer Networks Lab (3 Slots)</t>
  </si>
  <si>
    <t>I I</t>
  </si>
  <si>
    <t>0.5 R
0.3 P
0.2 E</t>
  </si>
  <si>
    <t>R 0.5
0.3 P
0.2 E</t>
  </si>
  <si>
    <t>0.5R
0.5 I</t>
  </si>
  <si>
    <t>0.6 P
0,4 E</t>
  </si>
  <si>
    <t>0.5 R
0.5 C</t>
  </si>
  <si>
    <t>0.6 I
0.4 P</t>
  </si>
  <si>
    <t>1 B/MMC104/Operating Systems</t>
  </si>
  <si>
    <t>1 A/MMC101/Problem Solving in C Lab / 3 Batches(Integrated)</t>
  </si>
  <si>
    <t>1 B/MMC101/Problem Solving in C Lab/3 Batches(Integrated)</t>
  </si>
  <si>
    <t>1 A/MMC104/Operating Systems</t>
  </si>
  <si>
    <t>1 B/MMCL106/DBMS and Web Technologies Laboratory/3 Batches</t>
  </si>
  <si>
    <t>0.5 R
0.2 C
0.3 P</t>
  </si>
  <si>
    <t>3 A/ MMCA311C/Business Data Analytics</t>
  </si>
  <si>
    <t>1 A/MMCL106/DBMS and Web Technologies Laboratory/3 Batches</t>
  </si>
  <si>
    <t>BE-1st Year - Design Thinking</t>
  </si>
  <si>
    <t>0.2 C
0.8 I</t>
  </si>
  <si>
    <t>3 A/ MMCA311F/Social Media Analytics</t>
  </si>
  <si>
    <t>3 B/MMCB311D/Web Programming using Java</t>
  </si>
  <si>
    <t>0.5 R
0.2 C
0.3 I</t>
  </si>
  <si>
    <t>1 A/MMC101/Programming and Problem Solving in C</t>
  </si>
  <si>
    <t>1 B/MMC101/Programming and Problem Solving in C</t>
  </si>
  <si>
    <t>1 A/MMC103 /Data Base Management Systems</t>
  </si>
  <si>
    <t>1 B/MMC103/Data Base Management Systems</t>
  </si>
  <si>
    <t>3 B/ MMCB311A / Web Development using Full Stack Open</t>
  </si>
  <si>
    <t>1 A/MMC105/Web Technologies</t>
  </si>
  <si>
    <t>1 B/ MMC105 / Web Technologies</t>
  </si>
  <si>
    <t>1 A/ MMC101 /Problem Solving in C Lab/ 3 Batches(Integrated)</t>
  </si>
  <si>
    <t>1 B/ MMC101 / Problem Solving in C Lab/ 3 Batches(Integrated)</t>
  </si>
  <si>
    <t>3 A/ MMCA311B / Big Data Analytics</t>
  </si>
  <si>
    <t>3 B/ MMCB311B / Rich Internet Application Development</t>
  </si>
  <si>
    <t>1 A/ MMCL106 /DBMS and Web Technologies Laboratory/3 Batches</t>
  </si>
  <si>
    <t>1 B/ MMCL106 /DBMS and Web Technologies Laboratory/3 Batches</t>
  </si>
  <si>
    <t>-</t>
  </si>
  <si>
    <t>Sem-3A&amp;B: MBAFM314-Investment Analysis &amp; Portfolio Management</t>
  </si>
  <si>
    <t>Sem-1A: MBA103-Economics for Decision Making</t>
  </si>
  <si>
    <t>Sem-1B: MBA103-Economics for Decision Making</t>
  </si>
  <si>
    <t>0.4I
0.6E</t>
  </si>
  <si>
    <t>Sem-3A&amp;B: MBAMM313-Consumer Behavior</t>
  </si>
  <si>
    <t>0.8R
0.2E</t>
  </si>
  <si>
    <t>Sem-3A: MBA301-Logistics &amp; Supply Chain Management</t>
  </si>
  <si>
    <t>Sem-3B: MBA301-Logistics &amp; Supply Chain Management</t>
  </si>
  <si>
    <t>0.4C
0.6P</t>
  </si>
  <si>
    <t>Sem-1A: MBA104-Business Statistics</t>
  </si>
  <si>
    <t>Sem-1B: MBA104-Business Statistics</t>
  </si>
  <si>
    <t>Sec-A&amp;B: TYLBA1-MS Office Suit 
(2 hrs per week for each section)</t>
  </si>
  <si>
    <t>0.6R
0.4C</t>
  </si>
  <si>
    <t>Sem-3A&amp;B: MBAHR314-Industrial Relations &amp; Legislations</t>
  </si>
  <si>
    <t>0.5R
0.5C</t>
  </si>
  <si>
    <t>0.5P
0.5I</t>
  </si>
  <si>
    <t>Sem-3A&amp;B: MBAFM313-Strategic Cost Management</t>
  </si>
  <si>
    <t>1P</t>
  </si>
  <si>
    <t>0.4R
0.6P</t>
  </si>
  <si>
    <t>Sem-3A&amp;B: MBABA313-Introduction to Python Data &amp; Control Systems</t>
  </si>
  <si>
    <t>0.8R
0.2C</t>
  </si>
  <si>
    <t>Sem-1A: MBA102-Financial Accounting &amp; Reporting</t>
  </si>
  <si>
    <t>Sem-2A: MBA102-Financial Accounting &amp; Reporting</t>
  </si>
  <si>
    <t>Sem-1A: MBA101-Management &amp; Organization Behavior</t>
  </si>
  <si>
    <t>Sem-1B: MBA101-Management &amp; Organization Behavior</t>
  </si>
  <si>
    <t>Sem-3A: MBA02-International Business</t>
  </si>
  <si>
    <t>Sem-1A: MBA1015: Marketing Management</t>
  </si>
  <si>
    <t>Sem-1B: MBA1015: Marketing Management</t>
  </si>
  <si>
    <t>Sem-3A&amp;B: Sales &amp; Retail Management</t>
  </si>
  <si>
    <t>Sem-1A: MBA106-Managerial Communication</t>
  </si>
  <si>
    <t>Sem-1B: MBA106-Managerial Communication</t>
  </si>
  <si>
    <t>Sem-3A&amp;B: MBAHR313-Recruitment &amp; Selection</t>
  </si>
  <si>
    <t>Sem-3A&amp;B: MBABA314-Data Visualization</t>
  </si>
  <si>
    <t>Basic Science Sec-C: Innovation &amp; Design Thinking
0.5R</t>
  </si>
  <si>
    <t>Sem Section - 1/E
Subject Code - 1BPHYS102 
Subject Name- Quantum Physics &amp; its Applications</t>
  </si>
  <si>
    <t>Sem Section - 1/E1,E2,E3
Subject Code - 1BPHYS102 
Subject Name- Quantum Physics &amp; its Applications Lab - 3 slots</t>
  </si>
  <si>
    <t>0.66T
0.34I</t>
  </si>
  <si>
    <t>T - Sem Section - 1/D2,H3
Subject Code - 1BPHYS102 
Subject Name- Quantum Physics &amp; its Applications Lab - 2 slots 
I - 0.34</t>
  </si>
  <si>
    <t>1Admin</t>
  </si>
  <si>
    <t>HoD Admin Load</t>
  </si>
  <si>
    <t>Sem Section - 1/H
Subject Code - 1BPHYS102 
Subject Name- Quantum Physics &amp; its Applications</t>
  </si>
  <si>
    <t>Sem Section - 1/H1,H2,H3
Subject Code - 1BPHYS102 
Subject Name- Quantum Physics &amp; its Applications Lab - 3 slots</t>
  </si>
  <si>
    <t>0.66T
0.34R</t>
  </si>
  <si>
    <t>T - Sem Section - 1/C3,D1
Subject Code - 1BPHYS102 
Subject Name- Quantum Physics &amp; its Applications Lab - 2 slots
R - 0.34</t>
  </si>
  <si>
    <t>0.8-R
0.2-P</t>
  </si>
  <si>
    <t>Sem Section - 1/A
Subject Code - 1BPHYS102 
Subject Name- Quantum Physics &amp; its Applications</t>
  </si>
  <si>
    <t>Sem Section - 1/A1,A2,A3
Subject Code - 1BPHYS102 
Subject Name- Quantum Physics &amp; its Applications Lab - 3 slots</t>
  </si>
  <si>
    <t>Sem Section - 1/C1,C2,E3
Subject Code - 1BPHYS102 
Subject Name- Quantum Physics &amp; its Applications Lab - 3 slots</t>
  </si>
  <si>
    <t>0.6I
0.4E</t>
  </si>
  <si>
    <t>0.6-I
0.4-E</t>
  </si>
  <si>
    <t>Sem Section - 1/L
Subject Code - 1BIDTL158 
Subject Name- Innovation &amp; Design Thinking Lab</t>
  </si>
  <si>
    <t>Sem Section - 1/C
Subject Code - 1BPHYS102 
Subject Name- Quantum Physics &amp; its Applications</t>
  </si>
  <si>
    <t>Sem Section - 1/C1,C2,C3
Subject Code - 1BPHYS102 
Subject Name- Quantum Physics &amp; its Applications Lab - 3 slots</t>
  </si>
  <si>
    <t>Sem Section - 1/A2,B3,F1
Subject Code - 1BPHYS102 
Subject Name- Quantum Physics &amp; its Applications Lab - 3 slots</t>
  </si>
  <si>
    <t>0.33T
0.67R</t>
  </si>
  <si>
    <t>T - Sem Section - 1/G2
Subject Code - 1BPHYS102 
Subject Name- Quantum Physics &amp; its Applications Lab - 1 slot
R-0.67</t>
  </si>
  <si>
    <t>Sem Section - 1/G
Subject Code - 1BPHYS102 
Subject Name- Quantum Physics &amp; its Applications</t>
  </si>
  <si>
    <t>Sem Section - 1/G1,G2,G3
Subject Code - 1BPHYS102 
Subject Name- Quantum Physics &amp; its Applications Lab - 3 slots</t>
  </si>
  <si>
    <t>T - Sem Section - 1/F3
Subject Code - 1BPHYS102 
Subject Name- Quantum Physics &amp; its Applications Lab - 1 slot
R-0.67</t>
  </si>
  <si>
    <t>0.6R
0.2P
0.2C</t>
  </si>
  <si>
    <t>0.6-R
0.2-P
0.2-C</t>
  </si>
  <si>
    <t>Sem Section - 1/D
Subject Code - 1BPHYS102 
Subject Name- Quantum Physics &amp; its Applications</t>
  </si>
  <si>
    <t>Sem Section - 1/D1,D2,D3
Subject Code - 1BPHYS102 
Subject Name- Quantum Physics &amp; its Applications Lab - 3 slots</t>
  </si>
  <si>
    <t>Sem Section - 1/B1,B2,E2
Subject Code - 1BPHYS102 
Subject Name- Quantum Physics &amp; its Applications Lab - 3 slots</t>
  </si>
  <si>
    <t>0.6C
0.4P</t>
  </si>
  <si>
    <t>0.6-C
0.4-P</t>
  </si>
  <si>
    <t>Sem Section - 1/B
Subject Code - 1BPHYS102 
Subject Name- Quantum Physics &amp; its Applications</t>
  </si>
  <si>
    <t>Sem Section - 1/B1,B2,B3
Subject Code - 1BPHYS102 
Subject Name- Quantum Physics &amp; its Applications Lab - 3 slots</t>
  </si>
  <si>
    <t>Sem Section - 1/D3,E1,F2
Subject Code - 1BPHYS102 
Subject Name- Quantum Physics &amp; its Applications Lab - 3 slots</t>
  </si>
  <si>
    <t>T - Sem Section - 1/H1,H2
Subject Code - 1BPHYS102 
Subject Name- Quantum Physics &amp; its Applications Lab - 2 slots
I - 0.34</t>
  </si>
  <si>
    <t>Sem Section - 1/F
Subject Code - 1BPHYS102 
Subject Name- Quantum Physics &amp; its Applications</t>
  </si>
  <si>
    <t>Sem Section - 1/F1,F2,F3
Subject Code - 1BPHYS102 
Subject Name- Quantum Physics &amp; its Applications Lab - 3 slots</t>
  </si>
  <si>
    <t>Sem Section - 1/A1,A3,G1
Subject Code - 1BPHYS102 
Subject Name- Quantum Physics &amp; its Applications Lab - 3 slots</t>
  </si>
  <si>
    <t>T - Sem Section - 1/G3
Subject Code - 1BPHYS102 
Subject Name- Quantum Physics &amp; its Applications Lab - 1 slot
R-0.67</t>
  </si>
  <si>
    <t>3 EC D -BMATEC301- AV Mathematics for Engineering</t>
  </si>
  <si>
    <t>0.33T 0.3C 0.2I 0.19R</t>
  </si>
  <si>
    <t>1 sem lab-P2- 1BMATE101 Math lab -Differential Calculus and Linear Algebra-1 slot 0.33T +0.3 C+0.2 I+0.19R=1.02</t>
  </si>
  <si>
    <t>A</t>
  </si>
  <si>
    <t>3 sem CSDS C sec -BCS301- Mathematics for CS stream</t>
  </si>
  <si>
    <t>1 sem-C2,B3,H2 BMATS101 Math lab-Calculus and Linear Algebra-3 slots</t>
  </si>
  <si>
    <t>1 sem-J3,G2,M2- BMATS/E101Math lab -Calculus and Linear Algebra-3 slots</t>
  </si>
  <si>
    <t>0.7P 0.3C</t>
  </si>
  <si>
    <t>0.7P+0.3C</t>
  </si>
  <si>
    <t>3 sem AIDS A sec- BCS301-Mathematics for CS stream</t>
  </si>
  <si>
    <t>3 sem AIDS B sec -BCS301-Mathematics for CS stream</t>
  </si>
  <si>
    <t>1 sem-L3,K1,B2 BMATS101 Math lab-Calculus and Linear Algebra-3 slots</t>
  </si>
  <si>
    <t>0.7R 0.3E</t>
  </si>
  <si>
    <t>0.7R+0.3E</t>
  </si>
  <si>
    <t>I sem Sec M- 1BMATE101-DifferentialCalculus and Linear Algebra</t>
  </si>
  <si>
    <t>I sem Sec O-1BMATE101- Differential Calculus and Linear Algebra</t>
  </si>
  <si>
    <t>1 sem-L2,E3,O1 BMATS/E101 Math lab -Calculus and Linear Algebra-3 slots</t>
  </si>
  <si>
    <t>0.55R 0.25E 0.2I</t>
  </si>
  <si>
    <t>0.55R+0.25E+0.2I</t>
  </si>
  <si>
    <t>1 sem-M1 BMATE101Math lab-Differential Calculus and Linear Algebra-1 slot</t>
  </si>
  <si>
    <t>I sem-Sec F- Calculus and Linear Algebra 1BMATS101</t>
  </si>
  <si>
    <t>I sem- Sec G -1BMATS101-Calculus and Linear Algebra</t>
  </si>
  <si>
    <t>1 sem-G1,C1,B1-- BMATS101Math lab -3 slots</t>
  </si>
  <si>
    <t>0.75R 0.25C</t>
  </si>
  <si>
    <t>0.75R+0.25C</t>
  </si>
  <si>
    <t>1 sem-F1,BMATS101Math lab -Calculus and Linear Algebra-1 slot</t>
  </si>
  <si>
    <t>1 sem -MCA11- Mathematics for Computer Science A sec</t>
  </si>
  <si>
    <t>1 sem-MCA11 Mathematics for Computer Science B sec</t>
  </si>
  <si>
    <t>1 sem-- A2,I3,D3- BMATS101 Math lab-Calculus and Linear Algebra - 3 slots</t>
  </si>
  <si>
    <t>0.67T 0.2C 0.2P</t>
  </si>
  <si>
    <t>1 sem-O3,F2 BMATS101Math lab 2 slots 0.67T +0.2C+0.2P=1.07</t>
  </si>
  <si>
    <t>I sem Sec N -1BMATE101-DifferentialCalculus and Linear Algebra</t>
  </si>
  <si>
    <t>I sem Sec P-1BMATE101- Differential Calculus and Linear Algebra</t>
  </si>
  <si>
    <t>1 sem-P1,G3,A3 -BMATS/E101Math lab -Calculus and Linear Algebra-3 slots</t>
  </si>
  <si>
    <t>0.33T 0.47R 0.2P</t>
  </si>
  <si>
    <t>1 sem-N1 BMATS/E101Math lab 1 slot 0.33T+ 0.47R+0.2P</t>
  </si>
  <si>
    <t>5 sem AIDS 2 sections BRMK557RM&amp;IPR(0.5 each)</t>
  </si>
  <si>
    <t>3 sem- EC A -BMATEC301 AV Mathematics for Engineering</t>
  </si>
  <si>
    <t>3 sem EC C -BMATEC301 -AV Mathematics for Engineering</t>
  </si>
  <si>
    <t>3 sem EC D- BMATEC301-- AV Mathematics for Engineering</t>
  </si>
  <si>
    <t>0.67T 0.33R</t>
  </si>
  <si>
    <t>1 sem-P3,N2 BMATS/E101Math lab 2 slots 0.67T+0.33R</t>
  </si>
  <si>
    <t>3 sem CS A sec BCS301-Mathematics for CS stream</t>
  </si>
  <si>
    <t>3 sem CS B sec BCS301-Mathematics for CS stream</t>
  </si>
  <si>
    <t>3 sem CS C sec-BCS301- Mathematics for CS stream</t>
  </si>
  <si>
    <t>1 sem-H1 BMATS101Math lab Calculus and Linear Algebra 1 slot 0.33T+0.47R+0.2P</t>
  </si>
  <si>
    <t>1 sem E2 BMATS101Math lab Calculus and Linear Algebra 1 slot</t>
  </si>
  <si>
    <t>I sem Sec I 1BMATS101-Calculus and Linear Algebra</t>
  </si>
  <si>
    <t>I sem Sec J 1BMATS101-Calculus and Linear Algebra</t>
  </si>
  <si>
    <t>I sem Sec K 1BMATS101 Calculus and Linear Algebra</t>
  </si>
  <si>
    <t>1 sem-I1,J2,K2 BMATS101Math lab Calculus and Linear Algebra-3 slots</t>
  </si>
  <si>
    <t>I sem Sec E 1BMATS101-Calculus and Linear Algebra</t>
  </si>
  <si>
    <t>I sem Sec H 1BMATS101 Calculus and Linear Algebra</t>
  </si>
  <si>
    <t>1 sem-C3,O2 ,H3,BMATS101Math lab -Calculus and Linear Algebra-3 slots</t>
  </si>
  <si>
    <t>0.33T 0.47I 0.2C</t>
  </si>
  <si>
    <t>1 sem-E1 BMATS101Math lab-Calculus and Linear Algebra 1 slot 0.33 T+0.47I+0.2C</t>
  </si>
  <si>
    <t>0.5yoga</t>
  </si>
  <si>
    <t>I sem Sec D -1BMATS101-Calculus and Linear Algebra</t>
  </si>
  <si>
    <t>I sem Sec L 1BMATS101 Calculus and Linear Algebra</t>
  </si>
  <si>
    <t>1 sem-L1,K3,D1-BMATS101Math lab -Calculus and Linear Algebra -3 slots</t>
  </si>
  <si>
    <t>1 sem-1BMATS101Math lab J1-Calculus and Linear Algebra 1 slot 0.33+0.47R+0.2P</t>
  </si>
  <si>
    <t>1 sem-N3,M3 BMATS101Math lab-Calculus and Linear Algebra-2 slots</t>
  </si>
  <si>
    <t>3 sem IS A sec -BCS301-Mathematics for CS stream</t>
  </si>
  <si>
    <t>3 sem IS B sec BCS301 Mathematics for CS stream</t>
  </si>
  <si>
    <t>3 sem IS C sec BCS301 Mathematics for CS stream</t>
  </si>
  <si>
    <t>0.83T 0.2C</t>
  </si>
  <si>
    <t>1 sem-I2-BMATS101Math lab Calculus and Linear Algebra 1 slot 0.33 T+5 sem CSDS 1 section BRMK557 0.5 T+0.2C=1.03</t>
  </si>
  <si>
    <t>1 sem-D2,F3,BMATS101Math lab -Calculus and Linear Algebra-2 slots</t>
  </si>
  <si>
    <t>I sem Sec A 1BMATS101Calculus and Linear Algebra</t>
  </si>
  <si>
    <t>I sem Sec B 1BMATS101 Calculus and Linear Algebra</t>
  </si>
  <si>
    <t>I sem Sec C 1BMATS101 Calculus and Linear Algebra</t>
  </si>
  <si>
    <t>0.33T 0.47R 0.2C</t>
  </si>
  <si>
    <t>1 sem-A1 BMATS101Math lab Calculus and Linear Algebra 1 slot 0.33T+0.47R+0.2C</t>
  </si>
  <si>
    <t>3 sem AIML A sec BCS301 Mathematics for CS stream</t>
  </si>
  <si>
    <t>3 sem AIML B sec BCS301 Mathematics for CS stream</t>
  </si>
  <si>
    <t>3 sem CSML C sec BCS301 Mathematics for CS stream</t>
  </si>
  <si>
    <t>0.6 R 0.2 E 0.2 I</t>
  </si>
  <si>
    <t>0.6R+0.2E+0.2I</t>
  </si>
  <si>
    <t>Sem Section - 1st (A&amp;B) 
Subject Code -IBCEDS103
 Subject Name- CAED</t>
  </si>
  <si>
    <t>Sem Section - 1st (A&amp;E)
Subject Code -IBCEDS103
 Subject Name -CAED lab (03)</t>
  </si>
  <si>
    <t>Sem Section - 1st (H&amp;E)
Subject Code -IBCEDS103
 Subject Name -CAED (03)</t>
  </si>
  <si>
    <t>1 ADMIN</t>
  </si>
  <si>
    <t>nil</t>
  </si>
  <si>
    <t>Sem Section - 7th AIDS (B sec) 
Subject Code - BEC 755A
 Subject Name- EWM</t>
  </si>
  <si>
    <t>Sem Section - 1st (A)
Subject Code -IBCEDS103
 Subject Name -CAED Lab (03)</t>
  </si>
  <si>
    <t>Sem Section - 1st (C,D&amp;G)
Subject Code -IBCEDS103
 Subject Name -CAED Lab (03)</t>
  </si>
  <si>
    <t>1 RPC</t>
  </si>
  <si>
    <t>0.4R+0.3P+0.3P</t>
  </si>
  <si>
    <t>Sem Section - 5th (AIML A&amp;C section)
Subject Code - RMIPR - BRMK557</t>
  </si>
  <si>
    <t>Sem Section - 1st (D&amp;E) 
Subject Code -IBCEDS103
 Subject Name- CAED</t>
  </si>
  <si>
    <t>Sem Section - 1st (B)
Subject Code -IBCEDS103
 Subject Name -CAED Lab (03)</t>
  </si>
  <si>
    <t>Sem Section - 1st (D&amp;H)
Subject Code -IBCEDS103
 Subject Name -CAED Lab (03)</t>
  </si>
  <si>
    <t>1RCPI</t>
  </si>
  <si>
    <t>0.5R+0.2P+0.2C+0.2I</t>
  </si>
  <si>
    <t>Sem Section - 1st (F&amp;G) 
Subject Code -IBCEDS103
 Subject Name- CAED</t>
  </si>
  <si>
    <t>Sem Section - 1st (F&amp;H)
Subject Code -IBCEDS103
 Subject Name -CAED Lab (03)</t>
  </si>
  <si>
    <t>1TRC</t>
  </si>
  <si>
    <t>Sem Section - 1st (D)
Subject Code -IBCEDS103
 Subject Name -CAED Lab (01)
+0.5R+0.2C</t>
  </si>
  <si>
    <t>Sem Section - 1st (C)
Subject Code -IBCEDS103
 Subject Name -CAED Lab (03)</t>
  </si>
  <si>
    <t>Sem Section - 1st (F&amp;G)
Subject Code -IBCEDS103
 Subject Name -CAED Lab (03)</t>
  </si>
  <si>
    <t>Sem Section - 1st (C&amp;H)
Subject Code -IBCEDS103
 Subject Name -CAED Lab (03)</t>
  </si>
  <si>
    <t>1TRE</t>
  </si>
  <si>
    <t>Sem Section - 1st (C) 
Subject Code -IBCEDS103
 Subject Name- CAED
+0.35R+0.15E</t>
  </si>
  <si>
    <t>Sem Section - 7th AIDS (A sec) 
Subject Code - BEC 755A
 Subject Name- EWM</t>
  </si>
  <si>
    <t>Sem Section - 1st (A,C&amp;E)
Subject Code -IBCEDS103
 Subject Name -CAED Lab (03)</t>
  </si>
  <si>
    <t>0.66T+0.33I</t>
  </si>
  <si>
    <t>Sem Section - 1st (G&amp;F)
Subject Code -IBCEDS103
 Subject Name -CAED Lab (02)
+0.33I</t>
  </si>
  <si>
    <t>1RP</t>
  </si>
  <si>
    <t>0.8R+0.2P</t>
  </si>
  <si>
    <t>0.75T</t>
  </si>
  <si>
    <t>Sem Section - 5th (AIDS A&amp;B)&amp;AIML C section)
Subject Code - EVS -BCS508</t>
  </si>
  <si>
    <t>Sem Section - 1st (E)
Subject Code -IBCEDS103
 Subject Name -CAED Lab (03)</t>
  </si>
  <si>
    <t>Sem Section - 1st (C&amp;D)
Subject Code -IBCEDS103
 Subject Name -CAED Lab (03)</t>
  </si>
  <si>
    <t>Sem Section - 1st (G&amp;H)
Subject Code -IBCEDS103
 Subject Name -CAED Lab (03)</t>
  </si>
  <si>
    <t>Sem Section - 1st (H) 
Subject Code -IBCEDS103
 Subject Name- CAED
+0.3R+0.2E</t>
  </si>
  <si>
    <t>1I
1BCHES102
Applied Chemistry for Smart Systems</t>
  </si>
  <si>
    <t>1/I1,I3,O1
1BCHES102
Applied Chemistry for Smart Systems 
Lab - 3 slots</t>
  </si>
  <si>
    <t>1/J2,N2
1BCHES102
Applied Chemistry for Smart Systems 
Lab - 2 slots 
I - 0.34</t>
  </si>
  <si>
    <t>1M
1BCHEE102 
Applied Chemistry for Emerging Electronics and Futuristic Devices</t>
  </si>
  <si>
    <t>1/M1,M3,I3
1BCHEE102 
Applied Chemistry for Emerging Electronics and Futuristic Devices
Lab - 3 slots</t>
  </si>
  <si>
    <t>1/L1,K2,O2
1BCHEE102 
Applied Chemistry for Emerging Electronics and Futuristic Devices 
Lab - 3 slots</t>
  </si>
  <si>
    <t>0.8-R
0.2-C</t>
  </si>
  <si>
    <t>1N
1BCHEE102 
Applied Chemistry for Emerging Electronics and Futuristic Devices</t>
  </si>
  <si>
    <t>1/K1,N3,O2
1BCHEE102 
Applied Chemistry for Emerging Electronics and Futuristic Devices 
Lab - 3 slots</t>
  </si>
  <si>
    <t>1/L2,N1,I3
1BCHEE102 
Applied Chemistry for Emerging Electronics and Futuristic Devices 
Lab - 3 slots</t>
  </si>
  <si>
    <t>1/P2
1BCHEE102 
Applied Chemistry for Emerging Electronics and Futuristic Devices 
Lab - 1 slots
0.67R</t>
  </si>
  <si>
    <t>1O
1BCHEE102 
Applied Chemistry for Emerging Electronics and Futuristic Devices</t>
  </si>
  <si>
    <t>1/J1,M1,P1
1BCHEE102 
Applied Chemistry for Emerging Electronics and Futuristic Devices 
Lab - 3 slots</t>
  </si>
  <si>
    <t>1/O1,L2,O3
1BCHEE102 
Applied Chemistry for Emerging Electronics and Futuristic Devices 
Lab - 3 slots</t>
  </si>
  <si>
    <t>1P
 1BIDTL158 
 Innovation &amp; Design Thinking Lab</t>
  </si>
  <si>
    <t>1L
1BCHES102
Applied Chemistry for Smart Systems</t>
  </si>
  <si>
    <t>1/I2,L3,M2
1BCHES102
Applied Chemistry for Smart Systems 
Lab - 3 slots</t>
  </si>
  <si>
    <t>1/J1,L1,N2
1BCHES102
Applied Chemistry for Smart Systems 
Lab - 3 slots</t>
  </si>
  <si>
    <t>0.56T
0.2P
0.24C</t>
  </si>
  <si>
    <t>5A,5B,5C (CSE-Dept)
BESK508
Environmental Studies
0.2P
0.24C</t>
  </si>
  <si>
    <t>1P
1BCHEE102 
Applied Chemistry for Emerging Electronics and Futuristic Devices</t>
  </si>
  <si>
    <t>1/I2,K2,L3
1BCHEE102 
Applied Chemistry for Emerging Electronics and Futuristic Devices 
Lab - 3 slots</t>
  </si>
  <si>
    <t>1/P1,J2,N1
1BCHEE102 
Applied Chemistry for Emerging Electronics and Futuristic Devices 
Lab - 3 slots</t>
  </si>
  <si>
    <t>0.33T
0.27R
0.2P
0.2C</t>
  </si>
  <si>
    <t>1/P3
1BCHEE102 
Applied Chemistry for Emerging Electronics and Futuristic Devices 
Lab - 1 slots
0.27R,0.2P,0.2C</t>
  </si>
  <si>
    <t>1K
1BCHES102
Applied Chemistry for Smart Systems</t>
  </si>
  <si>
    <t>1/K1,N3,M2
1BCHES102
Applied Chemistry for Smart Systems 
Lab - 3 slots</t>
  </si>
  <si>
    <t>1/P2,K3,M3
1BCHES102
Applied Chemistry for Smart Systems 
Lab - 3 slots</t>
  </si>
  <si>
    <t>1/O3,
1BCHES102
Applied Chemistry for Smart Systems 
Lab - 3 slots
0.67R</t>
  </si>
  <si>
    <t>1J
1BCHES102
Applied Chemistry for Smart Systems</t>
  </si>
  <si>
    <t>1/J3,J1,K3
1BCHES102
Applied Chemistry for Smart Systems 
Lab - 3 slots</t>
  </si>
  <si>
    <t>0.33T
0.07R
0.4P
0.2C</t>
  </si>
  <si>
    <t>1/O3,
1BCHES102
Applied Chemistry for Smart Systems 
Lab - 1 slots
0.07R,0.4P,0.2C</t>
  </si>
  <si>
    <r>
      <rPr>
        <rFont val="Times New Roman"/>
        <b/>
        <color rgb="FF0000FF"/>
        <sz val="10.0"/>
      </rPr>
      <t>Note:</t>
    </r>
    <r>
      <rPr>
        <rFont val="Times New Roman"/>
        <color theme="1"/>
        <sz val="10.0"/>
      </rPr>
      <t xml:space="preserve"> </t>
    </r>
    <r>
      <rPr>
        <rFont val="Times New Roman"/>
        <b/>
        <color rgb="FFCC0000"/>
        <sz val="10.0"/>
      </rPr>
      <t>Mandatory paper and patent to be counted from Jul.`24-Jun.`25</t>
    </r>
  </si>
  <si>
    <t>Sept.`24 - Jan.`25</t>
  </si>
  <si>
    <t>Feb.`25 - Jun.`25</t>
  </si>
  <si>
    <t>Jul.`24-Jun`25</t>
  </si>
  <si>
    <t>Odd Sem. 2024-25</t>
  </si>
  <si>
    <t>Even Sem. 2024-25</t>
  </si>
  <si>
    <t>2024-25</t>
  </si>
  <si>
    <t>JUL-AUG 2024</t>
  </si>
  <si>
    <t>Assigned load</t>
  </si>
  <si>
    <t>Transfer of pending loads from last AY</t>
  </si>
  <si>
    <t xml:space="preserve">Total Target for AY 2024-25 </t>
  </si>
  <si>
    <r>
      <rPr>
        <b/>
        <color rgb="FF0000FF"/>
      </rPr>
      <t xml:space="preserve">DRVIE LINK TO UPLOAD PROOFS.
</t>
    </r>
    <r>
      <rPr>
        <b/>
        <color rgb="FF1155CC"/>
        <u/>
      </rPr>
      <t>https://drive.google.com/drive/folders/11CFblZ8NFVs1gr5BdcMBPXm96NBeEppL?usp=sharing</t>
    </r>
  </si>
  <si>
    <t>Dr. K Chitra</t>
  </si>
  <si>
    <t>EEE</t>
  </si>
  <si>
    <t>Target Completed</t>
  </si>
  <si>
    <r>
      <rPr>
        <rFont val="Calibri"/>
        <b/>
        <color rgb="FFFF0000"/>
        <sz val="14.0"/>
      </rPr>
      <t xml:space="preserve">INSTRUCTIONS:
</t>
    </r>
    <r>
      <rPr>
        <rFont val="Calibri"/>
        <b/>
        <color rgb="FFFF0000"/>
        <sz val="13.0"/>
      </rPr>
      <t>1. Go into the respective dept. folder. 
2. Rename any folder "FXX" with your name. 
3. Upload the proofs as per RC instructions.</t>
    </r>
    <r>
      <rPr>
        <rFont val="Calibri"/>
        <b/>
        <color rgb="FFFF0000"/>
        <sz val="14.0"/>
      </rPr>
      <t xml:space="preserve"> 
DO NOT REMANE A FOLDER IF ALREADY RENAMED BY ANOTHER FACULTY.</t>
    </r>
  </si>
  <si>
    <t>yes</t>
  </si>
  <si>
    <t>Dr.Ramesh.P</t>
  </si>
  <si>
    <r>
      <rPr>
        <rFont val="Calibri"/>
        <color theme="1"/>
      </rPr>
      <t xml:space="preserve">2024-Feb-EEE-001 - Not Published. 2025-May-EEE-003, 2025-May-EEE-005 - RC taken after acceptance, not published. 2025-Mar-EEE-P002- RC ID taken after submission. </t>
    </r>
    <r>
      <rPr>
        <rFont val="Calibri"/>
        <color rgb="FFFF0000"/>
      </rPr>
      <t>Pending: R - 1.31, P - 0.07, E - 0.07, M.Paper - 1</t>
    </r>
  </si>
  <si>
    <t>Q2 (2023-Aug-EEE-001)</t>
  </si>
  <si>
    <t>Dr. Shailendra B</t>
  </si>
  <si>
    <t>Left the College</t>
  </si>
  <si>
    <r>
      <rPr>
        <rFont val="Calibri"/>
        <color rgb="FF000000"/>
      </rPr>
      <t xml:space="preserve"> </t>
    </r>
    <r>
      <rPr>
        <rFont val="Calibri"/>
        <color rgb="FF0000FF"/>
      </rPr>
      <t xml:space="preserve">Extra: R - 0.32, C- 0.04, P - 0.1 </t>
    </r>
  </si>
  <si>
    <t>2024-Aug-EEE-002</t>
  </si>
  <si>
    <t>Ms.Sanitha Michail C</t>
  </si>
  <si>
    <t>Pending: R - 0.07, AY 23-24 M. Paper not published (2024-Mar-EEE-003)</t>
  </si>
  <si>
    <t>2024-Sep-EEE-001</t>
  </si>
  <si>
    <t>Mr.Kashif Ahmed</t>
  </si>
  <si>
    <t>Pending: R - 1.4, C - 0.17, E - 0.02, M. Paper - 1, M.Patent - 1</t>
  </si>
  <si>
    <t>Mrs. Ranjitha R</t>
  </si>
  <si>
    <t>Pending: R - 0.46, C - 0.02</t>
  </si>
  <si>
    <t>Dr. Nageswara Rao A</t>
  </si>
  <si>
    <r>
      <rPr>
        <rFont val="Calibri"/>
        <color rgb="FFCC0000"/>
      </rPr>
      <t xml:space="preserve">2025-May-EEE-002, 2025-Mar-EEE-003 - not published, Pending: R - 0.41, I - 0.5, E - 0.13, M. Patent - 0.25, AY 23-24 M. Paper not published 2021-Nov-EEE-007. </t>
    </r>
    <r>
      <rPr>
        <rFont val="Calibri"/>
        <color rgb="FF0000FF"/>
      </rPr>
      <t>Extra: C - 0.95</t>
    </r>
  </si>
  <si>
    <t>Ms. Chithra M</t>
  </si>
  <si>
    <t>Extra: R - 0.21, C - 0.02</t>
  </si>
  <si>
    <t>Dr. Pappa.M</t>
  </si>
  <si>
    <t>Dr. Sharmila KP</t>
  </si>
  <si>
    <r>
      <rPr>
        <rFont val="Calibri"/>
        <color theme="1"/>
      </rPr>
      <t xml:space="preserve"> </t>
    </r>
    <r>
      <rPr>
        <rFont val="Calibri"/>
        <color rgb="FFFF0000"/>
      </rPr>
      <t xml:space="preserve">Pending - 2023-July-ECE-012, 2023-Aug-ECE-016 - AY 23-24 non published papers. </t>
    </r>
    <r>
      <rPr>
        <rFont val="Calibri"/>
        <color rgb="FF0000FF"/>
      </rPr>
      <t>Extra: R - 0.236</t>
    </r>
    <r>
      <rPr>
        <rFont val="Calibri"/>
        <color rgb="FFFF0000"/>
      </rPr>
      <t>, Pending: P - 0.2</t>
    </r>
  </si>
  <si>
    <t>Extra: R - 0.29, C  - 0.02, P - 0.01, I - 0.14</t>
  </si>
  <si>
    <t>Dr.K.Venkateswaran</t>
  </si>
  <si>
    <r>
      <rPr>
        <rFont val="Calibri"/>
        <color theme="1"/>
      </rPr>
      <t xml:space="preserve"> </t>
    </r>
    <r>
      <rPr>
        <rFont val="Calibri"/>
        <color rgb="FF0000FF"/>
      </rPr>
      <t xml:space="preserve"> Extra: R - 0.81, C - 0.32, I - 0.02, P - 0.06</t>
    </r>
  </si>
  <si>
    <t>Dr.Naveenkumar.G.N</t>
  </si>
  <si>
    <t>Extra: R - 0.14, P - 0.02, C - 0.008</t>
  </si>
  <si>
    <t>Dr. Eisha Akanksha</t>
  </si>
  <si>
    <t>Extra: R - 0.04, P - 0.03, C  - 0.07</t>
  </si>
  <si>
    <t>Dr. Sridhar N</t>
  </si>
  <si>
    <r>
      <rPr>
        <rFont val="Calibri"/>
        <color rgb="FF0000FF"/>
      </rPr>
      <t>Extra: R - 0.74, C - 0.45, I - 0.45</t>
    </r>
    <r>
      <rPr>
        <rFont val="Calibri"/>
        <color theme="1"/>
      </rPr>
      <t xml:space="preserve">, </t>
    </r>
    <r>
      <rPr>
        <rFont val="Calibri"/>
        <color rgb="FFFF0000"/>
      </rPr>
      <t xml:space="preserve">Pending: P - 0.106, E - 0.15 </t>
    </r>
  </si>
  <si>
    <t>2024-Sep-ECE-003</t>
  </si>
  <si>
    <t>Dr. Susheel</t>
  </si>
  <si>
    <t>Extra: R - 0.12, C  - 0.24</t>
  </si>
  <si>
    <t>Dr. Viji K</t>
  </si>
  <si>
    <t>Extra: R - 0.12, C - 0.07, P - 0.03</t>
  </si>
  <si>
    <t>2024-Nov-ECE-003</t>
  </si>
  <si>
    <t>Dr. Mahesh Kumar Jha</t>
  </si>
  <si>
    <r>
      <rPr>
        <rFont val="Calibri"/>
        <color theme="1"/>
      </rPr>
      <t xml:space="preserve"> </t>
    </r>
    <r>
      <rPr>
        <rFont val="Calibri"/>
        <color rgb="FFFF0000"/>
      </rPr>
      <t xml:space="preserve">Pending: E - 0.01, C - 0.06, P - 0.07 </t>
    </r>
    <r>
      <rPr>
        <rFont val="Calibri"/>
        <color theme="1"/>
      </rPr>
      <t xml:space="preserve">, </t>
    </r>
    <r>
      <rPr>
        <rFont val="Calibri"/>
        <color rgb="FF0000FF"/>
      </rPr>
      <t xml:space="preserve">Extra: R - 0.04, I - 0.16. </t>
    </r>
    <r>
      <rPr>
        <rFont val="Calibri"/>
        <color rgb="FFFF0000"/>
      </rPr>
      <t>Pending: AY 23-24 paper 2024-Jun-ECE-006 - not published (Shared with Prof.Raveesh).</t>
    </r>
  </si>
  <si>
    <t>Dr.Sridevi.S</t>
  </si>
  <si>
    <t>Extra: R - 0.21, P - 0.05, I - 0.08</t>
  </si>
  <si>
    <t>2025-May-ECE-009</t>
  </si>
  <si>
    <t>Mr.Sunilkumar.K.H</t>
  </si>
  <si>
    <t xml:space="preserve">Pending: R - 0.34, C - 0.02, E - 0.09, M.Paper - 1, M.Patent - 1 </t>
  </si>
  <si>
    <t>Mrs.Sutapa Sarkar</t>
  </si>
  <si>
    <t>Pending: R - 0.37, C - 0.056</t>
  </si>
  <si>
    <t>Ms.Suganya J</t>
  </si>
  <si>
    <t>Pending: R - 0.04, E - 0.01</t>
  </si>
  <si>
    <t>Mrs.Preethi.A</t>
  </si>
  <si>
    <t>Ms.Monika Singh</t>
  </si>
  <si>
    <r>
      <rPr>
        <rFont val="Calibri"/>
        <color theme="1"/>
      </rPr>
      <t xml:space="preserve">2025-May-ECE-016 -student paper, cannot be considered in R load. </t>
    </r>
    <r>
      <rPr>
        <rFont val="Calibri"/>
        <color rgb="FFFF0000"/>
      </rPr>
      <t>Pending: E - 0.01</t>
    </r>
    <r>
      <rPr>
        <rFont val="Calibri"/>
        <color theme="1"/>
      </rPr>
      <t xml:space="preserve">, </t>
    </r>
    <r>
      <rPr>
        <rFont val="Calibri"/>
        <color rgb="FF0000FF"/>
      </rPr>
      <t>Extra: R - 0.56, M.Patent - 1.</t>
    </r>
    <r>
      <rPr>
        <rFont val="Calibri"/>
        <color rgb="FFFF0000"/>
      </rPr>
      <t xml:space="preserve"> Pending: AY 23-24 paper 2024-Jun-ECE-002 - not published.</t>
    </r>
  </si>
  <si>
    <t>Mr.Krishna Teja</t>
  </si>
  <si>
    <t>Pending: R - 0.15, C - 0.01, AY 23-24 paper 2024-Apr-ECE-002 - not published.</t>
  </si>
  <si>
    <t>Mr.Sachin Aralikatti</t>
  </si>
  <si>
    <r>
      <rPr>
        <rFont val="Calibri"/>
        <color rgb="FF0000FF"/>
      </rPr>
      <t xml:space="preserve">Extra: R  - 0.16. </t>
    </r>
    <r>
      <rPr>
        <rFont val="Calibri"/>
        <color rgb="FFFF0000"/>
      </rPr>
      <t>Pending: AY 23-24 paper 2024-Jun-ECE-003 - not published.</t>
    </r>
  </si>
  <si>
    <t>Mr.Manjunath V Gudur</t>
  </si>
  <si>
    <r>
      <rPr>
        <rFont val="Calibri"/>
        <color rgb="FFFF0000"/>
      </rPr>
      <t>Pending: C  - 0.02, E  - 0.01</t>
    </r>
    <r>
      <rPr>
        <rFont val="Calibri"/>
        <color rgb="FF0000FF"/>
      </rPr>
      <t>, Extra: R  - 0.08</t>
    </r>
  </si>
  <si>
    <t>Q2(2024-Jun-ECE-011)</t>
  </si>
  <si>
    <t>Mr. Abhishek Javali</t>
  </si>
  <si>
    <r>
      <rPr>
        <rFont val="Calibri"/>
        <color theme="1"/>
      </rPr>
      <t xml:space="preserve"> </t>
    </r>
    <r>
      <rPr>
        <rFont val="Calibri"/>
        <color rgb="FFFF0000"/>
      </rPr>
      <t>Pending: R - 0.53, E - 0.01, M.Paper - 1</t>
    </r>
    <r>
      <rPr>
        <rFont val="Calibri"/>
        <color theme="1"/>
      </rPr>
      <t xml:space="preserve">, </t>
    </r>
    <r>
      <rPr>
        <rFont val="Calibri"/>
        <color rgb="FF0000FF"/>
      </rPr>
      <t>Extra: C - 0.02, I - 0.03.</t>
    </r>
  </si>
  <si>
    <t>Prof. Richa Tengshe</t>
  </si>
  <si>
    <r>
      <rPr>
        <rFont val="Calibri"/>
        <color theme="1"/>
      </rPr>
      <t xml:space="preserve"> </t>
    </r>
    <r>
      <rPr>
        <rFont val="Calibri"/>
        <color rgb="FF0000FF"/>
      </rPr>
      <t>Extra: R - 0.18, C  - 0.02</t>
    </r>
  </si>
  <si>
    <t>Mr. Ashutosh Srivastava</t>
  </si>
  <si>
    <r>
      <rPr>
        <rFont val="Calibri"/>
        <color rgb="FF0000FF"/>
      </rPr>
      <t>Extra: R - 0.01</t>
    </r>
    <r>
      <rPr>
        <rFont val="Calibri"/>
        <color rgb="FFFF0000"/>
      </rPr>
      <t>, Pending: AY 23-24 paper 2024-Apr-ECE-006 - not published.</t>
    </r>
  </si>
  <si>
    <t>Dr. Sushma B</t>
  </si>
  <si>
    <t>Left the college</t>
  </si>
  <si>
    <t>2024-Dec-ECE-003</t>
  </si>
  <si>
    <t>Mrs. Sophiya Susan</t>
  </si>
  <si>
    <t>Extra: R - 0.08, C - 0.006</t>
  </si>
  <si>
    <t>Dr. Ananth Kumar M.S.</t>
  </si>
  <si>
    <t>Extra: R - 0.43, I - 0.03</t>
  </si>
  <si>
    <t>Prof.Alamuru Susmitha</t>
  </si>
  <si>
    <r>
      <rPr>
        <rFont val="Calibri"/>
        <color rgb="FF0000FF"/>
      </rPr>
      <t xml:space="preserve"> Extra: R - 0.62, C - 0.01, M.Patent - 0.2,</t>
    </r>
    <r>
      <rPr>
        <rFont val="Calibri"/>
        <color rgb="FF000000"/>
      </rPr>
      <t xml:space="preserve"> </t>
    </r>
    <r>
      <rPr>
        <rFont val="Calibri"/>
        <color rgb="FFFF0000"/>
      </rPr>
      <t>Pending: AY 23-24 paper 2023-July-ECE-010 - not published.</t>
    </r>
  </si>
  <si>
    <t>Mr.Raveesh Hegde</t>
  </si>
  <si>
    <t>Pending: R - 0.04, C  - 0.01, E  - 0.01, M.Paper - 1. Pending: AY 23-24 paper 2024-Jun-ECE-006 - not published (Shared with Prof.Mahesh).</t>
  </si>
  <si>
    <t>Prof. Niranjan</t>
  </si>
  <si>
    <r>
      <rPr>
        <rFont val="Calibri"/>
        <color theme="1"/>
      </rPr>
      <t xml:space="preserve"> </t>
    </r>
    <r>
      <rPr>
        <rFont val="Calibri"/>
        <color rgb="FFFF0000"/>
      </rPr>
      <t>Pending: C - 0.05, E - 0.2</t>
    </r>
    <r>
      <rPr>
        <rFont val="Calibri"/>
        <color theme="1"/>
      </rPr>
      <t xml:space="preserve">, </t>
    </r>
    <r>
      <rPr>
        <rFont val="Calibri"/>
        <color rgb="FF0000FF"/>
      </rPr>
      <t>Extra: R - 0.1, P - 0.02</t>
    </r>
  </si>
  <si>
    <t>Prof.Parthasarathy</t>
  </si>
  <si>
    <r>
      <rPr>
        <rFont val="Calibri"/>
        <color rgb="FF0000FF"/>
      </rPr>
      <t xml:space="preserve">Extra: R - 0.44, C - 0.02, P - 0.02, I - 0.25, </t>
    </r>
    <r>
      <rPr>
        <rFont val="Calibri"/>
        <color rgb="FF000000"/>
      </rPr>
      <t>Over &amp; Above load</t>
    </r>
    <r>
      <rPr>
        <rFont val="Calibri"/>
        <color rgb="FF0000FF"/>
      </rPr>
      <t xml:space="preserve"> </t>
    </r>
    <r>
      <rPr>
        <rFont val="Calibri"/>
        <color rgb="FF000000"/>
      </rPr>
      <t xml:space="preserve">for incentives claim cannot be carry forward 2024-Dec-ECE-008, 2024-July-ECE-001 - </t>
    </r>
  </si>
  <si>
    <t>Q2-2(2024-July-ECE-002, 2024-June-ECE-P006)</t>
  </si>
  <si>
    <t>Prof.Venkates M</t>
  </si>
  <si>
    <r>
      <rPr>
        <rFont val="Calibri"/>
        <color theme="1"/>
      </rPr>
      <t xml:space="preserve">Over &amp; Above load for incentives claim cannot be carry forward 2024-Oct-ECE-005, 2024-Oct-ECE-007, 2025-Feb-ECE-013, 2025-Jan-ECE-005 - all the papers RC ID taken after paper submission to journal(50% incentives eligibility). </t>
    </r>
    <r>
      <rPr>
        <rFont val="Calibri"/>
        <color rgb="FF0000FF"/>
      </rPr>
      <t xml:space="preserve">Extra: R - 0.45, C - 0.02, P - 0.03 </t>
    </r>
  </si>
  <si>
    <r>
      <rPr>
        <rFont val="Calibri"/>
        <color rgb="FFFF0000"/>
      </rPr>
      <t xml:space="preserve"> </t>
    </r>
    <r>
      <rPr>
        <rFont val="Calibri"/>
        <color rgb="FF0000FF"/>
      </rPr>
      <t>Extra: R - 0.38</t>
    </r>
  </si>
  <si>
    <t>Sushma T V</t>
  </si>
  <si>
    <r>
      <rPr>
        <rFont val="Calibri"/>
        <color rgb="FF0000FF"/>
      </rPr>
      <t>Extra: R - 0.12, M.Paper - 0.25, M.Patent - 0.25.</t>
    </r>
    <r>
      <rPr>
        <rFont val="Calibri"/>
        <color rgb="FFFF0000"/>
      </rPr>
      <t xml:space="preserve"> Pending: P - 0.09</t>
    </r>
    <r>
      <rPr>
        <rFont val="Calibri"/>
        <color rgb="FF0000FF"/>
      </rPr>
      <t xml:space="preserve">, </t>
    </r>
    <r>
      <rPr>
        <rFont val="Calibri"/>
        <color rgb="FFFF0000"/>
      </rPr>
      <t xml:space="preserve">Pending: AY 23-24 paper 2023-Feb-ECE-001 - not published, </t>
    </r>
  </si>
  <si>
    <t>Ms.Anju Das</t>
  </si>
  <si>
    <t>Extra: R - 0.34, E - 0.03</t>
  </si>
  <si>
    <t>2024-Jun-ECE-001</t>
  </si>
  <si>
    <t>Ms.Keka M</t>
  </si>
  <si>
    <r>
      <rPr>
        <rFont val="Calibri"/>
        <color rgb="FF0000FF"/>
      </rPr>
      <t>Extra: R - 0.1</t>
    </r>
    <r>
      <rPr>
        <rFont val="Calibri"/>
        <color rgb="FFCC0000"/>
      </rPr>
      <t xml:space="preserve">, </t>
    </r>
    <r>
      <rPr>
        <rFont val="Calibri"/>
        <color rgb="FF0000FF"/>
      </rPr>
      <t>C - 0.01, M.Patent - 0.5</t>
    </r>
    <r>
      <rPr>
        <rFont val="Calibri"/>
        <color rgb="FFCC0000"/>
      </rPr>
      <t>, Pending: AY 23-24 paper 2023-Aug-EEE-003 - not published.</t>
    </r>
  </si>
  <si>
    <t>2024-Sep-ECE-006</t>
  </si>
  <si>
    <t>Pending: R - 0.42</t>
  </si>
  <si>
    <r>
      <rPr>
        <rFont val="Calibri"/>
        <color theme="1"/>
      </rPr>
      <t xml:space="preserve">2024-Aug-ECE-011, 2024-Nov-ECE-007, 2024-Nov-ECE-012, 2024-Nov-ECE-013 - Extra papers Incentives requested, cannot be carried forward.  </t>
    </r>
    <r>
      <rPr>
        <rFont val="Calibri"/>
        <color rgb="FF0000FF"/>
      </rPr>
      <t>Extra: R - 0.36, P - 0.09, I - 0.16</t>
    </r>
  </si>
  <si>
    <t>Q1-2(2024-Aug-ECE-001, 2024-Nov-ECE-012)</t>
  </si>
  <si>
    <t>Extra: R - 0.22</t>
  </si>
  <si>
    <r>
      <rPr>
        <rFont val="Calibri"/>
        <color theme="1"/>
      </rPr>
      <t xml:space="preserve">2025-Feb-ECE-023 - Acceptance not mentioned on shared proof,  </t>
    </r>
    <r>
      <rPr>
        <rFont val="Calibri"/>
        <color rgb="FFFF0000"/>
      </rPr>
      <t>Pending: R - 0.42, M.Paper - 1.</t>
    </r>
  </si>
  <si>
    <t>Dr. Rangeet Mitra</t>
  </si>
  <si>
    <t>Extra: R  - 0.39, P - 0.02</t>
  </si>
  <si>
    <t>Q1(2024-Sep-ECE-014)</t>
  </si>
  <si>
    <r>
      <rPr>
        <rFont val="Times New Roman"/>
        <color theme="1"/>
      </rPr>
      <t xml:space="preserve">Prof. Balapriya </t>
    </r>
    <r>
      <rPr>
        <rFont val="Times New Roman"/>
        <color theme="1"/>
        <sz val="9.0"/>
      </rPr>
      <t>(27 Jan.`25)</t>
    </r>
  </si>
  <si>
    <t>Dr. Kesavamoorthy</t>
  </si>
  <si>
    <t>Pending - P - 0.01, E - 0.89, M.Paper - 1, M.Patent - 1. AY 23-24 - 2022-Nov-CSE-003, 2024-Jan-CSE-05, 2024-Jan-CSE-06  paper not published</t>
  </si>
  <si>
    <t>Prof. G Radhakrishnan</t>
  </si>
  <si>
    <t>Dr. P Kavitha</t>
  </si>
  <si>
    <t>Dr. Preethi Sheeba</t>
  </si>
  <si>
    <r>
      <rPr>
        <rFont val="Calibri"/>
        <color rgb="FFFF0000"/>
      </rPr>
      <t xml:space="preserve">Pending - R - 0.17, P  - 0.33, </t>
    </r>
    <r>
      <rPr>
        <rFont val="Calibri"/>
        <color theme="1"/>
      </rPr>
      <t xml:space="preserve"> </t>
    </r>
    <r>
      <rPr>
        <rFont val="Calibri"/>
        <color rgb="FFFF0000"/>
      </rPr>
      <t>AY 23-24 - 2023-Aug-CSE-007 not published</t>
    </r>
  </si>
  <si>
    <t>2025-Jan-CSE-004</t>
  </si>
  <si>
    <t>Q3(2024-Apr-CSE-02)</t>
  </si>
  <si>
    <t>Dr. Sanchari Saha</t>
  </si>
  <si>
    <r>
      <rPr>
        <rFont val="Calibri"/>
        <color rgb="FF000000"/>
      </rPr>
      <t>2024-Apr-CSE-03 - Scopus proof required for book chapter.</t>
    </r>
    <r>
      <rPr>
        <rFont val="Calibri"/>
        <color rgb="FF1155CC"/>
      </rPr>
      <t xml:space="preserve"> Extra: C - 0.1, </t>
    </r>
    <r>
      <rPr>
        <rFont val="Calibri"/>
        <color rgb="FFFF0000"/>
      </rPr>
      <t>Pending: R - 0.17, P - 0.49</t>
    </r>
  </si>
  <si>
    <t xml:space="preserve">Dr V N Manju </t>
  </si>
  <si>
    <t>Extra: R - 0.17, P - 0.03</t>
  </si>
  <si>
    <t>2025-Mar-CSE-006</t>
  </si>
  <si>
    <t>Mrs.Jayanthi.N</t>
  </si>
  <si>
    <t>Pending: R - 0.6, P - 0.28, I - 0.5, E - 0.36, M. Paper - 1, M.Patent - 1</t>
  </si>
  <si>
    <t>Prof. Sreedevi N</t>
  </si>
  <si>
    <r>
      <rPr>
        <rFont val="Calibri"/>
        <color rgb="FF0000FF"/>
      </rPr>
      <t>Extra: R - 0.15</t>
    </r>
    <r>
      <rPr>
        <rFont val="Calibri"/>
        <color theme="1"/>
      </rPr>
      <t xml:space="preserve">, </t>
    </r>
    <r>
      <rPr>
        <rFont val="Calibri"/>
        <color rgb="FFFF0000"/>
      </rPr>
      <t>Pending: C - 0.2, P - 0.25, M.Paper - 1. Ay 23-24 - 2024-Jun-CSE-02 paper not published.</t>
    </r>
  </si>
  <si>
    <t>Prof. Sagarika B</t>
  </si>
  <si>
    <t xml:space="preserve"> Extra: R - 0.25</t>
  </si>
  <si>
    <t>Prof. Savitha N J</t>
  </si>
  <si>
    <t>Extra: R - 0.1, P - 0.09</t>
  </si>
  <si>
    <t>2025-Feb-CSE-007</t>
  </si>
  <si>
    <t>Prof. Smitha N</t>
  </si>
  <si>
    <t>Extra: R - 0.16, P - 0.03</t>
  </si>
  <si>
    <t xml:space="preserve">Ms.Navaneetha </t>
  </si>
  <si>
    <r>
      <rPr>
        <rFont val="Calibri"/>
        <color rgb="FF000000"/>
      </rPr>
      <t xml:space="preserve"> </t>
    </r>
    <r>
      <rPr>
        <rFont val="Calibri"/>
        <color rgb="FF0000FF"/>
      </rPr>
      <t xml:space="preserve">Extra: R - 0.04, I - 0.08, P - 0.05
</t>
    </r>
    <r>
      <rPr>
        <rFont val="Calibri"/>
        <color rgb="FFFF0000"/>
      </rPr>
      <t>AY 23-24 - 2024-June-CSE-012, 2024-June-CSE-08 not published.</t>
    </r>
  </si>
  <si>
    <t xml:space="preserve">Ms.Krishna Sowjanya </t>
  </si>
  <si>
    <t xml:space="preserve">Extra : R - 0.52, P - 0.05. </t>
  </si>
  <si>
    <t xml:space="preserve">Ms Manjula subramaniam </t>
  </si>
  <si>
    <r>
      <rPr>
        <rFont val="Calibri"/>
        <color rgb="FF0000FF"/>
      </rPr>
      <t>Extra: R - 0.04</t>
    </r>
    <r>
      <rPr>
        <rFont val="Calibri"/>
        <color rgb="FF000000"/>
      </rPr>
      <t xml:space="preserve">, </t>
    </r>
    <r>
      <rPr>
        <rFont val="Calibri"/>
        <color rgb="FFFF0000"/>
      </rPr>
      <t>Pending: C - 0.02, P - 0.1</t>
    </r>
  </si>
  <si>
    <t>Paramita Mitra</t>
  </si>
  <si>
    <r>
      <rPr>
        <rFont val="Calibri"/>
        <color theme="1"/>
      </rPr>
      <t xml:space="preserve"> </t>
    </r>
    <r>
      <rPr>
        <rFont val="Calibri"/>
        <color rgb="FFFF0000"/>
      </rPr>
      <t xml:space="preserve">Pending: R - 0.42, C - 0.15, P - 0.01, I - 0.17. </t>
    </r>
  </si>
  <si>
    <t>Rajani Tiwari</t>
  </si>
  <si>
    <r>
      <rPr>
        <rFont val="Calibri"/>
        <color rgb="FF000000"/>
      </rPr>
      <t xml:space="preserve"> </t>
    </r>
    <r>
      <rPr>
        <rFont val="Calibri"/>
        <color rgb="FF0000FF"/>
      </rPr>
      <t>Extra: R - 0.3</t>
    </r>
    <r>
      <rPr>
        <rFont val="Calibri"/>
        <color rgb="FF000000"/>
      </rPr>
      <t>,</t>
    </r>
    <r>
      <rPr>
        <rFont val="Calibri"/>
        <color rgb="FFFF0000"/>
      </rPr>
      <t xml:space="preserve"> </t>
    </r>
    <r>
      <rPr>
        <rFont val="Calibri"/>
        <color rgb="FF0000FF"/>
      </rPr>
      <t xml:space="preserve">P - 0.02 </t>
    </r>
  </si>
  <si>
    <t>Dr. S Vijayalakshmi</t>
  </si>
  <si>
    <t>Mrs.Ann Mathews</t>
  </si>
  <si>
    <r>
      <rPr>
        <rFont val="Calibri"/>
        <color rgb="FF0000FF"/>
      </rPr>
      <t>Extra: P - 0.02</t>
    </r>
    <r>
      <rPr>
        <rFont val="Calibri"/>
        <color rgb="FFFF0000"/>
      </rPr>
      <t>. AY 23-24 - 2024-Apr-CSE-11 - scopus published proof required.</t>
    </r>
  </si>
  <si>
    <r>
      <rPr>
        <rFont val="Calibri"/>
        <color theme="1"/>
      </rPr>
      <t xml:space="preserve"> </t>
    </r>
    <r>
      <rPr>
        <rFont val="Calibri"/>
        <color rgb="FF0000FF"/>
      </rPr>
      <t>Extra: R - 0.4, C - 0.003, M.Paper - 0.08, M.Patent - 0.08</t>
    </r>
  </si>
  <si>
    <t xml:space="preserve"> Pending: R - 0.144, C - 0.08, M.Patent - 1</t>
  </si>
  <si>
    <r>
      <rPr>
        <rFont val="Calibri"/>
        <color theme="1"/>
      </rPr>
      <t xml:space="preserve"> </t>
    </r>
    <r>
      <rPr>
        <rFont val="Calibri"/>
        <color rgb="FF0000FF"/>
      </rPr>
      <t>Extra: R - 0.3, C - 0.006, M.Patent - 0.17</t>
    </r>
  </si>
  <si>
    <t>Mrs. Attar Mahay Sheetal</t>
  </si>
  <si>
    <r>
      <rPr>
        <rFont val="Calibri"/>
        <color rgb="FFFF0000"/>
      </rPr>
      <t xml:space="preserve">Pending: R - 0.91, C - 0.08, M. Patent - 1, </t>
    </r>
    <r>
      <rPr>
        <rFont val="Calibri"/>
        <color rgb="FF0000FF"/>
      </rPr>
      <t>Extra - M.Paper - 0.17</t>
    </r>
  </si>
  <si>
    <t>Mrs Ranjini</t>
  </si>
  <si>
    <r>
      <rPr>
        <rFont val="Calibri"/>
        <color rgb="FF0000FF"/>
      </rPr>
      <t>2</t>
    </r>
    <r>
      <rPr>
        <rFont val="Calibri"/>
        <color rgb="FF000000"/>
      </rPr>
      <t xml:space="preserve">024-Jun-CSE-03 - scopus indexed proof required. </t>
    </r>
    <r>
      <rPr>
        <rFont val="Calibri"/>
        <color rgb="FFFF0000"/>
      </rPr>
      <t>Pending: R - 0.39</t>
    </r>
  </si>
  <si>
    <t xml:space="preserve">Mrs. Pooja Goud </t>
  </si>
  <si>
    <r>
      <rPr>
        <rFont val="Calibri"/>
        <color rgb="FF000000"/>
      </rPr>
      <t>2024-Jun-CSE-03 - scopus indexed proof required.</t>
    </r>
    <r>
      <rPr>
        <rFont val="Calibri"/>
        <color rgb="FFFF0000"/>
      </rPr>
      <t xml:space="preserve"> Pending: R - 0.39</t>
    </r>
  </si>
  <si>
    <t>Mrs. Hemamgi Goswami</t>
  </si>
  <si>
    <t>Pending: R - 0.08, I - 0.13, M. Paper - 1</t>
  </si>
  <si>
    <t>Mrs. Reshma</t>
  </si>
  <si>
    <t>Pending: R - 0.08, I - 0.13</t>
  </si>
  <si>
    <t>Pending: R - 0.29, I - 0.13</t>
  </si>
  <si>
    <t>Pending:  M. Paper - 1, M. Patent - 1</t>
  </si>
  <si>
    <t>Pending:  R - 0.07, M. Paper - 1, M. Patent - 1</t>
  </si>
  <si>
    <t>Dr.Shyam P Joy</t>
  </si>
  <si>
    <r>
      <rPr>
        <rFont val="Calibri"/>
        <color rgb="FFCC0000"/>
      </rPr>
      <t xml:space="preserve">Pending:  P - 0.35, M. Patent - 1, </t>
    </r>
    <r>
      <rPr>
        <rFont val="Calibri"/>
        <color rgb="FF0000FF"/>
      </rPr>
      <t>Extra: R - 0.35</t>
    </r>
  </si>
  <si>
    <t>Prabhakar S</t>
  </si>
  <si>
    <t>Pending:  C - 0.9, I - 0.2, M. Paper - 1, M. Patent - 1</t>
  </si>
  <si>
    <t>Pending:  C - 96, I - 0.08, E - 0.03, M. Paper - 1, M. Patent - 1</t>
  </si>
  <si>
    <r>
      <rPr>
        <rFont val="Calibri"/>
        <color rgb="FF0000FF"/>
      </rPr>
      <t xml:space="preserve">Extra: R - 0.42, I - 0.11, </t>
    </r>
    <r>
      <rPr>
        <rFont val="Calibri"/>
        <color rgb="FFFF0000"/>
      </rPr>
      <t>Pending: E - 0.18</t>
    </r>
  </si>
  <si>
    <t>Harshvardhan Das</t>
  </si>
  <si>
    <t>Pending: R - 0.62, C - 0.27, P - 0.13, E - 0.77, M. Paper - 1, M. Patent - 1</t>
  </si>
  <si>
    <t>Shivani Gupta</t>
  </si>
  <si>
    <t>Anjana Tiwari</t>
  </si>
  <si>
    <t>Pending: R - 1.21, P - 0.15, I - 0.2, M. Paper - 1, M. Patent - 1</t>
  </si>
  <si>
    <r>
      <rPr>
        <rFont val="Calibri"/>
        <color rgb="FF0000FF"/>
      </rPr>
      <t>Extra: R - 0.37</t>
    </r>
    <r>
      <rPr>
        <rFont val="Calibri"/>
        <color rgb="FFCC0000"/>
      </rPr>
      <t xml:space="preserve">, </t>
    </r>
    <r>
      <rPr>
        <rFont val="Calibri"/>
        <color rgb="FF0000FF"/>
      </rPr>
      <t>M.Patent - 0.33,</t>
    </r>
    <r>
      <rPr>
        <rFont val="Calibri"/>
        <color rgb="FFFF0000"/>
      </rPr>
      <t xml:space="preserve"> Pending: P - 0.42</t>
    </r>
  </si>
  <si>
    <t>Pending: R - 0.45, P - 0.13,  M. Paper - 1, M. Patent - 1</t>
  </si>
  <si>
    <r>
      <rPr>
        <rFont val="Calibri"/>
        <color rgb="FF000000"/>
      </rPr>
      <t xml:space="preserve">2024-Aug-AIML-002 - Journal not indexed in scopus. </t>
    </r>
    <r>
      <rPr>
        <rFont val="Calibri"/>
        <color rgb="FFFF0000"/>
      </rPr>
      <t xml:space="preserve"> Pending: P - 0.17, M.Paper - 0.5</t>
    </r>
    <r>
      <rPr>
        <rFont val="Calibri"/>
        <color rgb="FF000000"/>
      </rPr>
      <t>,</t>
    </r>
    <r>
      <rPr>
        <rFont val="Calibri"/>
        <color rgb="FF0000FF"/>
      </rPr>
      <t xml:space="preserve"> Extra - R - 0.09, M.Patent - 0.5.</t>
    </r>
    <r>
      <rPr>
        <rFont val="Calibri"/>
        <color rgb="FF9900FF"/>
      </rPr>
      <t xml:space="preserve"> </t>
    </r>
    <r>
      <rPr>
        <rFont val="Calibri"/>
        <color rgb="FFB45F06"/>
      </rPr>
      <t>All the journals scopus coverage closed, not recommended in future.</t>
    </r>
  </si>
  <si>
    <r>
      <rPr>
        <rFont val="Calibri"/>
        <color rgb="FF0000FF"/>
      </rPr>
      <t>Extra: R - 0.02, M. Paper - 0.83, M. Patent - 0.83</t>
    </r>
    <r>
      <rPr>
        <rFont val="Calibri"/>
        <color rgb="FF000000"/>
      </rPr>
      <t xml:space="preserve">, </t>
    </r>
    <r>
      <rPr>
        <rFont val="Calibri"/>
        <color rgb="FFFF0000"/>
      </rPr>
      <t>Pending: P - 0.19, E - 0.051,</t>
    </r>
    <r>
      <rPr>
        <rFont val="Calibri"/>
        <color rgb="FF000000"/>
      </rPr>
      <t xml:space="preserve"> </t>
    </r>
    <r>
      <rPr>
        <rFont val="Calibri"/>
        <color rgb="FFFF0000"/>
      </rPr>
      <t>AY 23-24 published non-scopus paper - 2024-June-AIML-001</t>
    </r>
    <r>
      <rPr>
        <rFont val="Calibri"/>
        <color rgb="FF000000"/>
      </rPr>
      <t xml:space="preserve">, </t>
    </r>
    <r>
      <rPr>
        <rFont val="Calibri"/>
        <color rgb="FFE06666"/>
      </rPr>
      <t>All the journals scopus coverage closed, not recommended in future.</t>
    </r>
  </si>
  <si>
    <t>Divyamani</t>
  </si>
  <si>
    <t>Pending: R - 0.2, M. Paper - 1, M. Patent - 1</t>
  </si>
  <si>
    <t>Divyakumari</t>
  </si>
  <si>
    <t>Pending: R - 0.28, M. Paper - 1</t>
  </si>
  <si>
    <t>Chandana</t>
  </si>
  <si>
    <r>
      <rPr>
        <rFont val="Calibri"/>
        <color theme="1"/>
      </rPr>
      <t xml:space="preserve"> </t>
    </r>
    <r>
      <rPr>
        <rFont val="Calibri"/>
        <color rgb="FFFF0000"/>
      </rPr>
      <t>Pending:  M. Paper - 1</t>
    </r>
  </si>
  <si>
    <t>Spurthi Pais</t>
  </si>
  <si>
    <t>Pending: R - 0.42, M. Paper - 1</t>
  </si>
  <si>
    <t>Upkar Singh</t>
  </si>
  <si>
    <t>Sushmitha R</t>
  </si>
  <si>
    <t>Pending: R - 0.75, M. Paper - 1, M. Patent - 1</t>
  </si>
  <si>
    <t>Revathi S (4.11.24)</t>
  </si>
  <si>
    <t>Pending: R - 0.19, M. Paper - 0.67, M. Patent - 0.67</t>
  </si>
  <si>
    <r>
      <rPr>
        <rFont val="&quot;Times New Roman&quot;"/>
        <color rgb="FF000000"/>
      </rPr>
      <t xml:space="preserve">Sandhya Kumari </t>
    </r>
    <r>
      <rPr>
        <rFont val="&quot;Times New Roman&quot;"/>
        <color rgb="FF000000"/>
        <sz val="9.0"/>
      </rPr>
      <t>(17.03.25)</t>
    </r>
  </si>
  <si>
    <t>Pending: R - 0.27, M. Paper - 0.25, M. Patent - 0.25</t>
  </si>
  <si>
    <r>
      <rPr>
        <rFont val="&quot;Times New Roman&quot;"/>
        <color rgb="FF000000"/>
      </rPr>
      <t xml:space="preserve">Nishant Parashar </t>
    </r>
    <r>
      <rPr>
        <rFont val="&quot;Times New Roman&quot;"/>
        <color rgb="FF000000"/>
        <sz val="9.0"/>
      </rPr>
      <t>(16.04.25)</t>
    </r>
  </si>
  <si>
    <t>Pending: R - 1.5, M. Paper - 0.16, M. Patent - 0.16</t>
  </si>
  <si>
    <r>
      <rPr>
        <rFont val="Times New Roman"/>
        <color theme="1"/>
      </rPr>
      <t xml:space="preserve">Prof. Balapriya </t>
    </r>
    <r>
      <rPr>
        <rFont val="Times New Roman"/>
        <color theme="1"/>
        <sz val="9.0"/>
      </rPr>
      <t>(27 Jan.`25)</t>
    </r>
  </si>
  <si>
    <r>
      <rPr>
        <rFont val="Calibri"/>
        <color rgb="FFFF0000"/>
      </rPr>
      <t xml:space="preserve">Pending: M. Patent - 0.4, </t>
    </r>
    <r>
      <rPr>
        <rFont val="Calibri"/>
        <color rgb="FF0000FF"/>
      </rPr>
      <t>Extra: M. Paper - 0.6,R - 0.23</t>
    </r>
  </si>
  <si>
    <t>Dr. Jagadishwari Palani</t>
  </si>
  <si>
    <t>Pending - R - 0.48, C- 0.18, P - 0.24,  E - 0.03, Mandatory Paper - 1</t>
  </si>
  <si>
    <t>Dr S Senthil Velan</t>
  </si>
  <si>
    <r>
      <rPr>
        <rFont val="Calibri"/>
        <color rgb="FF0000FF"/>
      </rPr>
      <t>Extra: R - 0.03, M. Patent - 0.24,</t>
    </r>
    <r>
      <rPr>
        <rFont val="Calibri"/>
        <color theme="1"/>
      </rPr>
      <t xml:space="preserve"> </t>
    </r>
    <r>
      <rPr>
        <rFont val="Calibri"/>
        <color rgb="FFFF0000"/>
      </rPr>
      <t>Pending - C - 0.57, P - 0.01</t>
    </r>
  </si>
  <si>
    <t>Q2(2025-Jan-ISE-003)</t>
  </si>
  <si>
    <r>
      <rPr>
        <rFont val="Calibri"/>
        <color theme="1"/>
      </rPr>
      <t xml:space="preserve">2025-Jan-ISE-P002, 2025-May-ISE-P001 - Submitted under NP.  </t>
    </r>
    <r>
      <rPr>
        <rFont val="Calibri"/>
        <color rgb="FFFF0000"/>
      </rPr>
      <t xml:space="preserve">Pending: R - 0.4, C - 0.39, P - 0.16, M. Paper -1 </t>
    </r>
  </si>
  <si>
    <t>Extra: R  - 0.16, I - 0.08, M. Patent - 0.17</t>
  </si>
  <si>
    <t>Dr. Susheelamma K. H</t>
  </si>
  <si>
    <t>Extra: P - 0.03, I - 0.08</t>
  </si>
  <si>
    <t>Ms Shilpa Pandey</t>
  </si>
  <si>
    <r>
      <rPr>
        <rFont val="Calibri"/>
        <color theme="1"/>
      </rPr>
      <t xml:space="preserve"> </t>
    </r>
    <r>
      <rPr>
        <rFont val="Calibri"/>
        <color rgb="FF0000FF"/>
      </rPr>
      <t>Extra: R - 0.19, P - 0.13, E - 0.03</t>
    </r>
  </si>
  <si>
    <t>Mr. Harikrishnan N</t>
  </si>
  <si>
    <t>Dr Poorani Marimuthu</t>
  </si>
  <si>
    <t>Dr. Ciyamala Kushbu S</t>
  </si>
  <si>
    <t xml:space="preserve">Extra: R - 0.02, P - 0.02. </t>
  </si>
  <si>
    <t>Suruchi Sabherwal</t>
  </si>
  <si>
    <t>Extra: R - 0.2, P - 0.03</t>
  </si>
  <si>
    <t>2024-Nov-ISE-003</t>
  </si>
  <si>
    <t>Q1-1(2024-Aug-ISE-005)</t>
  </si>
  <si>
    <t>Mr Arvind R</t>
  </si>
  <si>
    <t>Extra: R - 0.07, P - 0.03, E - 0.02</t>
  </si>
  <si>
    <t>Ms Sugunadevi</t>
  </si>
  <si>
    <t>Extra: R - 0.12, P - 0.02, E - 0.02</t>
  </si>
  <si>
    <t>Nidhi Joshi</t>
  </si>
  <si>
    <r>
      <rPr>
        <rFont val="Calibri"/>
        <color rgb="FF0000FF"/>
      </rPr>
      <t>Extra: R - 0.35</t>
    </r>
    <r>
      <rPr>
        <rFont val="Calibri"/>
        <color theme="1"/>
      </rPr>
      <t xml:space="preserve">, </t>
    </r>
    <r>
      <rPr>
        <rFont val="Calibri"/>
        <color rgb="FF0000FF"/>
      </rPr>
      <t>M.Patent -1</t>
    </r>
    <r>
      <rPr>
        <rFont val="Calibri"/>
        <color theme="1"/>
      </rPr>
      <t xml:space="preserve">, </t>
    </r>
    <r>
      <rPr>
        <rFont val="Calibri"/>
        <color rgb="FFFF0000"/>
      </rPr>
      <t>Pending: C - 0.03, P - 0.01, Pending: 2023-June-ISE-018 -Not published</t>
    </r>
  </si>
  <si>
    <t>2025-Jan-ISE-012</t>
  </si>
  <si>
    <t>Anaswara Venunath</t>
  </si>
  <si>
    <t>Extra: R - 0.2, I - 0.14</t>
  </si>
  <si>
    <t>Ms. Komala Devi</t>
  </si>
  <si>
    <t>Extra: R - 0.14.</t>
  </si>
  <si>
    <t>2024-Nov-ISE-005</t>
  </si>
  <si>
    <t xml:space="preserve">Varsha Jituri </t>
  </si>
  <si>
    <r>
      <rPr>
        <rFont val="Calibri"/>
        <color rgb="FF434343"/>
      </rPr>
      <t xml:space="preserve">  </t>
    </r>
    <r>
      <rPr>
        <rFont val="Calibri"/>
        <color rgb="FFFF0000"/>
      </rPr>
      <t>Pending: R - 0.06, M. Paper - 1</t>
    </r>
  </si>
  <si>
    <t>Poornima Manjunath</t>
  </si>
  <si>
    <t>Extra: R - 0.11</t>
  </si>
  <si>
    <t>2024-May-ISE-007</t>
  </si>
  <si>
    <t>Saba Tahseen</t>
  </si>
  <si>
    <r>
      <rPr>
        <rFont val="Calibri"/>
        <color rgb="FF0000FF"/>
      </rPr>
      <t>Extra: R - 0.14, M.Patent - 0.42</t>
    </r>
    <r>
      <rPr>
        <rFont val="Calibri"/>
        <color theme="1"/>
      </rPr>
      <t xml:space="preserve">, </t>
    </r>
    <r>
      <rPr>
        <rFont val="Calibri"/>
        <color rgb="FFFF0000"/>
      </rPr>
      <t>Pending: P - 0.03</t>
    </r>
  </si>
  <si>
    <t>2025-Jan-ISE-008</t>
  </si>
  <si>
    <t xml:space="preserve">Nivedita  </t>
  </si>
  <si>
    <t>Deepa Harish</t>
  </si>
  <si>
    <r>
      <rPr>
        <rFont val="Calibri"/>
        <color rgb="FFFF0000"/>
      </rPr>
      <t>Pending: R - 0.06</t>
    </r>
    <r>
      <rPr>
        <rFont val="Calibri"/>
        <color rgb="FF990000"/>
      </rPr>
      <t xml:space="preserve">, </t>
    </r>
    <r>
      <rPr>
        <rFont val="Calibri"/>
        <color rgb="FF0000FF"/>
      </rPr>
      <t xml:space="preserve">Extra: M.Patent - 0.17.  </t>
    </r>
    <r>
      <rPr>
        <rFont val="Calibri"/>
        <color rgb="FFFF0000"/>
      </rPr>
      <t xml:space="preserve">Pending: 2024-May-ISE-006 -Not considered as book chapter not indexed in scopus. </t>
    </r>
  </si>
  <si>
    <t>2025-Mar-ISE-001</t>
  </si>
  <si>
    <t>Manasa C.H</t>
  </si>
  <si>
    <r>
      <rPr>
        <rFont val="Calibri"/>
        <color theme="1"/>
      </rPr>
      <t xml:space="preserve">Extra: M.Patent - 0.17, </t>
    </r>
    <r>
      <rPr>
        <rFont val="Calibri"/>
        <color rgb="FFFF0000"/>
      </rPr>
      <t xml:space="preserve">Pending: 2024-Jun-ISE-005 Not considered as book chapter not indexed in scopus. </t>
    </r>
  </si>
  <si>
    <t>2025-Feb-ISE-010</t>
  </si>
  <si>
    <t>Rakesh Kumar</t>
  </si>
  <si>
    <r>
      <rPr>
        <rFont val="Calibri"/>
        <color rgb="FFCC0000"/>
      </rPr>
      <t xml:space="preserve">Pending: M.Paper -1, M.Patent -1, </t>
    </r>
    <r>
      <rPr>
        <rFont val="Calibri"/>
        <color rgb="FF0000FF"/>
      </rPr>
      <t>Extra: R-0.056</t>
    </r>
  </si>
  <si>
    <t>Apurva Chaudhari</t>
  </si>
  <si>
    <t>Pending: R - 0.06</t>
  </si>
  <si>
    <t>Neera Chaudhary</t>
  </si>
  <si>
    <t>Pending: R - 0.48, M.Paper - 1</t>
  </si>
  <si>
    <t>Akansha</t>
  </si>
  <si>
    <t>Pending: R - 0.06, M.Paper - 1</t>
  </si>
  <si>
    <t>Jayshree M</t>
  </si>
  <si>
    <t>Extra: R - 0.26, I - 0.05, M.Paper - 0.67, M.Patent - 0.17</t>
  </si>
  <si>
    <t>Q1-2024-Apr-ISE-003</t>
  </si>
  <si>
    <t>Kanika Agrawal</t>
  </si>
  <si>
    <t xml:space="preserve">Vijayasanthi </t>
  </si>
  <si>
    <r>
      <rPr>
        <rFont val="Calibri"/>
        <color rgb="FF000000"/>
      </rPr>
      <t xml:space="preserve">Rs. 500 moved from E load to C load. </t>
    </r>
    <r>
      <rPr>
        <rFont val="Calibri"/>
        <color rgb="FF0000FF"/>
      </rPr>
      <t>Extra: R- 0.48, E - 0.08</t>
    </r>
  </si>
  <si>
    <r>
      <rPr>
        <rFont val="Calibri"/>
        <color rgb="FF000000"/>
      </rPr>
      <t xml:space="preserve"> </t>
    </r>
    <r>
      <rPr>
        <rFont val="Calibri"/>
        <color rgb="FF0000FF"/>
      </rPr>
      <t>Extra: R - 0.11</t>
    </r>
  </si>
  <si>
    <t>K.Abhijith saralaya</t>
  </si>
  <si>
    <t>Mattha</t>
  </si>
  <si>
    <t xml:space="preserve"> Pending: M.Paper -1, M.Patent -1</t>
  </si>
  <si>
    <t>Abdul Kather (12.03.25)</t>
  </si>
  <si>
    <t xml:space="preserve"> Pending: R- 0.5, M.Paper - 0.25, M.Patent -0.25</t>
  </si>
  <si>
    <t>P Kamaleswari (02.05.25)</t>
  </si>
  <si>
    <t xml:space="preserve"> Pending: R- 0.17, M.Paper - 0.17, M.Patent -0.17</t>
  </si>
  <si>
    <t>Dinesh Kumaar.R (16.06.25)</t>
  </si>
  <si>
    <t>Dr. Shanthi M B</t>
  </si>
  <si>
    <t>AIDS</t>
  </si>
  <si>
    <r>
      <rPr>
        <rFont val="Calibri"/>
        <color rgb="FFFF0000"/>
      </rPr>
      <t xml:space="preserve">Pending: Ay 23-24-2023-May-CSE-008 - not published/not inexed, M.Patent - 1, I - 0.36, </t>
    </r>
    <r>
      <rPr>
        <rFont val="Calibri"/>
        <color rgb="FF0000FF"/>
      </rPr>
      <t>Extra: R - 0.35, C - 0.01</t>
    </r>
  </si>
  <si>
    <t>Dr. Sam Gilvine Samuvel</t>
  </si>
  <si>
    <r>
      <rPr>
        <rFont val="Calibri"/>
        <color rgb="FFFF0000"/>
      </rPr>
      <t>Pending: C - 0.13, P - 0.25, E - 0.1,</t>
    </r>
    <r>
      <rPr>
        <rFont val="Calibri"/>
        <color theme="1"/>
      </rPr>
      <t xml:space="preserve"> </t>
    </r>
    <r>
      <rPr>
        <rFont val="Calibri"/>
        <color rgb="FF0000FF"/>
      </rPr>
      <t>Extra: I - 0.08, M. Patent - 1</t>
    </r>
  </si>
  <si>
    <t>Mr Vijay Anand P</t>
  </si>
  <si>
    <r>
      <rPr>
        <rFont val="Calibri"/>
        <color rgb="FF0000FF"/>
      </rPr>
      <t>Extra: R - 0.5</t>
    </r>
    <r>
      <rPr>
        <rFont val="Calibri"/>
        <color theme="1"/>
      </rPr>
      <t>,</t>
    </r>
    <r>
      <rPr>
        <rFont val="Calibri"/>
        <color rgb="FFFF0000"/>
      </rPr>
      <t xml:space="preserve"> Pending: C - 0.11, P - 0.25, AY 23-24 M.paper 2024-Jan-AIDS-001 -not published</t>
    </r>
  </si>
  <si>
    <t>Prathimarani Jena</t>
  </si>
  <si>
    <t>Pending: R - 0.39, C - 0.2, P - 0.25, I - 0.28, M. Paper -1</t>
  </si>
  <si>
    <t>Rinisha B</t>
  </si>
  <si>
    <t>Pending: C - 0.21, I - 0.1, E - 0.02, P - 0.03</t>
  </si>
  <si>
    <t>2024-Mar-AIDS-001</t>
  </si>
  <si>
    <t>Anushree G</t>
  </si>
  <si>
    <t>Pending: R - 0.46, C - 0.17, P - 0.25, I - 0.08, M. Patent -1</t>
  </si>
  <si>
    <t>Rekha</t>
  </si>
  <si>
    <t>Roma K</t>
  </si>
  <si>
    <r>
      <rPr>
        <rFont val="Calibri"/>
        <color rgb="FFCC0000"/>
      </rPr>
      <t xml:space="preserve">Pending: R - 0.47, P - 0.25, I - 0.09, M.Patent - 1, </t>
    </r>
    <r>
      <rPr>
        <rFont val="Calibri"/>
        <color rgb="FF0000FF"/>
      </rPr>
      <t>Extra: C - 0.03</t>
    </r>
  </si>
  <si>
    <t>Sunil Kumar</t>
  </si>
  <si>
    <t>Jareena</t>
  </si>
  <si>
    <t>Teaching Assistant: RC ID not taken for patent. Pending: R - 0.75, C - 0.02, P - 0.03, I - 0.03, M.Paper - 1</t>
  </si>
  <si>
    <t>Arathy Ajay Kumar</t>
  </si>
  <si>
    <t>Bhawana</t>
  </si>
  <si>
    <t>Pending: R - 0.67, M.Patent - 1</t>
  </si>
  <si>
    <t>Logeshwari</t>
  </si>
  <si>
    <t>Vedasree</t>
  </si>
  <si>
    <t>Extra: R - 0.04</t>
  </si>
  <si>
    <t>Abdul Jabbar (1 Aug.`24)</t>
  </si>
  <si>
    <t>Pending: R - 0.67, M.Paper - 0.41, M.Patent - 0.91</t>
  </si>
  <si>
    <t>Anusha (1 Oct.`24)</t>
  </si>
  <si>
    <t>Pending: R - 0.005, M.Patent - 0.75</t>
  </si>
  <si>
    <t>Vidyavathi (25 Aug.`25)</t>
  </si>
  <si>
    <r>
      <rPr>
        <rFont val="Calibri"/>
        <color theme="1"/>
      </rPr>
      <t xml:space="preserve"> M.Patent -CMR Institute of Technology to be added as co-applicant. </t>
    </r>
    <r>
      <rPr>
        <rFont val="Calibri"/>
        <color rgb="FF0000FF"/>
      </rPr>
      <t>Extra: R - 0.54, M.Paper - 0.17</t>
    </r>
    <r>
      <rPr>
        <rFont val="Calibri"/>
        <color theme="1"/>
      </rPr>
      <t xml:space="preserve">, </t>
    </r>
    <r>
      <rPr>
        <rFont val="Calibri"/>
        <color rgb="FFFF0000"/>
      </rPr>
      <t>Pending: M.Patent - 0.83</t>
    </r>
  </si>
  <si>
    <t>Sevanthy (4 Oct.`24)</t>
  </si>
  <si>
    <t>Pending: M.Patent: 0.75, R - 0.005</t>
  </si>
  <si>
    <t>Anushree Paul (9 sept.`24)</t>
  </si>
  <si>
    <t xml:space="preserve"> Pending: R - 0.54, M.Paper - 0.83, M.Patent - 0.83</t>
  </si>
  <si>
    <t>Geluvaraju (01 Jan.`25)</t>
  </si>
  <si>
    <t xml:space="preserve"> Pending: R - 0.25, C - 0.08, I - 0.08, M.Paper - 0.5, M.Patent - 0.5</t>
  </si>
  <si>
    <t>Varun Khare (15 Nov.`24)</t>
  </si>
  <si>
    <t xml:space="preserve"> Pending: R - 0.33, C - 0.08, M.Paper - 0.58, M.Patent - 0.58</t>
  </si>
  <si>
    <t>Sugandhi (3 Feb. 2025)</t>
  </si>
  <si>
    <t xml:space="preserve"> Pending: R - 0.13, C - 0.08, P - 0.13, I - 0.08, M.Paper - 0.42, M.Patent - 0.42</t>
  </si>
  <si>
    <t>A Swetha Cordelia (14 Feb 2025)</t>
  </si>
  <si>
    <r>
      <rPr>
        <rFont val="Calibri"/>
        <color theme="1"/>
      </rPr>
      <t xml:space="preserve"> </t>
    </r>
    <r>
      <rPr>
        <rFont val="Calibri"/>
        <color rgb="FFFF0000"/>
      </rPr>
      <t>Pending: M.Paper - 0.33, M.Patent - 0.33</t>
    </r>
  </si>
  <si>
    <t>Rencita M (6 Feb 2025)</t>
  </si>
  <si>
    <r>
      <rPr>
        <rFont val="Calibri"/>
        <color rgb="FFFF0000"/>
      </rPr>
      <t xml:space="preserve"> Pending:  C - 0.08, P - 0.08, M.Paper - 0.42</t>
    </r>
    <r>
      <rPr>
        <rFont val="Calibri"/>
        <color theme="1"/>
      </rPr>
      <t xml:space="preserve">, </t>
    </r>
    <r>
      <rPr>
        <rFont val="Calibri"/>
        <color rgb="FF0000FF"/>
      </rPr>
      <t>Extra: R - 0.25, M.Patent - 0.58</t>
    </r>
  </si>
  <si>
    <t>Bhawana H (3 Feb.`25)</t>
  </si>
  <si>
    <t xml:space="preserve"> Pending: M.Paper - 0.42, M.Patent - 0.42</t>
  </si>
  <si>
    <t>Mrs. Preeti Jacob</t>
  </si>
  <si>
    <t>CV</t>
  </si>
  <si>
    <t xml:space="preserve">Mr. ShivakumaraM J </t>
  </si>
  <si>
    <t>Mrs. Shijina</t>
  </si>
  <si>
    <t>Dr. Rajendra Prasad Reddy</t>
  </si>
  <si>
    <t>ME</t>
  </si>
  <si>
    <r>
      <rPr>
        <rFont val="Calibri"/>
        <color rgb="FFFF0000"/>
      </rPr>
      <t>Pending: C-0.02,E-0.01,M. patent -1</t>
    </r>
    <r>
      <rPr>
        <rFont val="Calibri"/>
        <color theme="1"/>
      </rPr>
      <t xml:space="preserve">
</t>
    </r>
  </si>
  <si>
    <t>Q2-1 (2024-Jun-Mech-005)</t>
  </si>
  <si>
    <t>Dr. S Gopi</t>
  </si>
  <si>
    <t>Dr. Sagar.M Baligidad</t>
  </si>
  <si>
    <r>
      <rPr>
        <rFont val="Calibri"/>
        <color rgb="FFFF0000"/>
      </rPr>
      <t xml:space="preserve"> Pending: R-0.52, P - 0.01, E-0.12, M Paper - 1</t>
    </r>
    <r>
      <rPr>
        <rFont val="Calibri"/>
        <color theme="1"/>
      </rPr>
      <t xml:space="preserve"> , </t>
    </r>
    <r>
      <rPr>
        <rFont val="Calibri"/>
        <color rgb="FF0000FF"/>
      </rPr>
      <t>Extra: C - 0.1</t>
    </r>
    <r>
      <rPr>
        <rFont val="Calibri"/>
        <color theme="1"/>
      </rPr>
      <t xml:space="preserve">
</t>
    </r>
  </si>
  <si>
    <t>Prof. Harisha.P</t>
  </si>
  <si>
    <r>
      <rPr>
        <rFont val="Calibri"/>
        <color rgb="FF000000"/>
      </rPr>
      <t xml:space="preserve"> </t>
    </r>
    <r>
      <rPr>
        <rFont val="Calibri"/>
        <color rgb="FFFF0000"/>
      </rPr>
      <t xml:space="preserve">AY 23-24 pending papers -2024-Jun-Mech-009, </t>
    </r>
    <r>
      <rPr>
        <rFont val="Calibri"/>
        <color rgb="FF000000"/>
      </rPr>
      <t xml:space="preserve">
</t>
    </r>
    <r>
      <rPr>
        <rFont val="Calibri"/>
        <color rgb="FFFF0000"/>
      </rPr>
      <t>Pending:R-0.06,C-0.24, P - 0.22, E-0.01, M. paper -1</t>
    </r>
    <r>
      <rPr>
        <rFont val="Calibri"/>
        <color rgb="FF000000"/>
      </rPr>
      <t xml:space="preserve">,
</t>
    </r>
    <r>
      <rPr>
        <rFont val="Calibri"/>
        <color rgb="FF0000FF"/>
      </rPr>
      <t>Extra: I - 0.14</t>
    </r>
  </si>
  <si>
    <t>Prof. Puneeth Kumar</t>
  </si>
  <si>
    <r>
      <rPr>
        <rFont val="Calibri"/>
        <color rgb="FF000000"/>
      </rPr>
      <t xml:space="preserve"> </t>
    </r>
    <r>
      <rPr>
        <rFont val="Calibri"/>
        <color rgb="FFFF0000"/>
      </rPr>
      <t xml:space="preserve">AY 23-24 pending papers - 2024-Jun-Mech-008,  C - 0.02, P - 0.02, E - 0.01, </t>
    </r>
    <r>
      <rPr>
        <rFont val="Calibri"/>
        <color rgb="FF0000FF"/>
      </rPr>
      <t>Extra: R- 0.11, I - 0.09</t>
    </r>
  </si>
  <si>
    <t>Prof. Venkatesh Naik</t>
  </si>
  <si>
    <r>
      <rPr>
        <rFont val="Calibri"/>
        <color rgb="FFFF0000"/>
      </rPr>
      <t>Pending: C-0.23, E-0.01.</t>
    </r>
    <r>
      <rPr>
        <rFont val="Calibri"/>
        <color theme="1"/>
      </rPr>
      <t xml:space="preserve"> </t>
    </r>
    <r>
      <rPr>
        <rFont val="Calibri"/>
        <color rgb="FFFF0000"/>
      </rPr>
      <t xml:space="preserve">AY 23-24 pending papers - 2024-Jun-Mech-007,2024-Feb-Mech-002. </t>
    </r>
    <r>
      <rPr>
        <rFont val="Calibri"/>
        <color rgb="FF4A86E8"/>
      </rPr>
      <t>Extra: I - 0.01, R - 0.19</t>
    </r>
  </si>
  <si>
    <t>Prof. Narendra N</t>
  </si>
  <si>
    <r>
      <rPr>
        <rFont val="Calibri"/>
        <color rgb="FF000000"/>
      </rPr>
      <t xml:space="preserve"> </t>
    </r>
    <r>
      <rPr>
        <rFont val="Calibri"/>
        <color rgb="FFFF0000"/>
      </rPr>
      <t>Pending: C - 0.02, E-  0.22, AY 23-24 pending papers - 2024-Feb-Mech-001, 2024-Jun-Mech-012, 2023--Jun-Mech-006, 2023-Jun-Mech-001</t>
    </r>
    <r>
      <rPr>
        <rFont val="Calibri"/>
        <color rgb="FF0000FF"/>
      </rPr>
      <t xml:space="preserve">
Extra: R - 0.92,I - 0.01</t>
    </r>
  </si>
  <si>
    <t>Q2-1(2023-Jun-Mech-005)</t>
  </si>
  <si>
    <t>Prof. Prashant Hatti</t>
  </si>
  <si>
    <t>Prof. Navaneeth.B</t>
  </si>
  <si>
    <t>Prof. Shreyas P</t>
  </si>
  <si>
    <t>Pending: R-0.07,C-0.08, E-0.01. M.paper -1 , M.patent - 1</t>
  </si>
  <si>
    <t>Prof. Gomathi T</t>
  </si>
  <si>
    <r>
      <rPr>
        <rFont val="Calibri"/>
        <color theme="1"/>
      </rPr>
      <t xml:space="preserve"> 2023-July-MCA-001 is compensated with 2024-Apr-MCA-003. </t>
    </r>
    <r>
      <rPr>
        <rFont val="Calibri"/>
        <color rgb="FF0000FF"/>
      </rPr>
      <t>Extra: R - 0.12</t>
    </r>
  </si>
  <si>
    <t>2024-Aug-MCA-002</t>
  </si>
  <si>
    <r>
      <rPr>
        <rFont val="Calibri"/>
        <color rgb="FF000000"/>
      </rPr>
      <t xml:space="preserve"> </t>
    </r>
    <r>
      <rPr>
        <rFont val="Calibri"/>
        <color rgb="FF0000FF"/>
      </rPr>
      <t xml:space="preserve"> Extra: R - 0.46 , I - 0.02, E - 0.046</t>
    </r>
    <r>
      <rPr>
        <rFont val="Calibri"/>
        <color rgb="FF000000"/>
      </rPr>
      <t xml:space="preserve"> ,</t>
    </r>
    <r>
      <rPr>
        <rFont val="Calibri"/>
        <color rgb="FFFF0000"/>
      </rPr>
      <t xml:space="preserve"> </t>
    </r>
    <r>
      <rPr>
        <rFont val="Calibri"/>
        <color rgb="FF0000FF"/>
      </rPr>
      <t>P - 0.07</t>
    </r>
  </si>
  <si>
    <t>Dr. Ilango</t>
  </si>
  <si>
    <r>
      <rPr>
        <rFont val="Calibri"/>
        <color theme="1"/>
      </rPr>
      <t xml:space="preserve">2024-Nov-MCA-003 - Journal not indexed in scopus.  </t>
    </r>
    <r>
      <rPr>
        <rFont val="Calibri"/>
        <color rgb="FFFF0000"/>
      </rPr>
      <t xml:space="preserve">Pending Ay 23-24: 2023-Oct-MCA-003 - Not published, R - 0.5, M.Paper - 1, </t>
    </r>
    <r>
      <rPr>
        <rFont val="Calibri"/>
        <color rgb="FF0000FF"/>
      </rPr>
      <t>Extra: P - 0.02, M.Patent - 1</t>
    </r>
  </si>
  <si>
    <t>Dr Gnaneswari</t>
  </si>
  <si>
    <t>Extra: R - 0.71, P - 0.07, I - 0.2, E - 0.03.</t>
  </si>
  <si>
    <t>Ms. Moumita Roy</t>
  </si>
  <si>
    <r>
      <rPr>
        <rFont val="Calibri"/>
        <color rgb="FF0000FF"/>
      </rPr>
      <t>Extra: R - 0.33, I - 0.2.</t>
    </r>
    <r>
      <rPr>
        <rFont val="Calibri"/>
        <color rgb="FFFF0000"/>
      </rPr>
      <t xml:space="preserve"> Pending Ay 23-24: 2024-Apr-MCA-004 Not published</t>
    </r>
  </si>
  <si>
    <t>Ms. Varsha P</t>
  </si>
  <si>
    <r>
      <rPr>
        <rFont val="Calibri"/>
        <color rgb="FF0000FF"/>
      </rPr>
      <t xml:space="preserve">Extra: P - 0.03, I - 0.07. </t>
    </r>
    <r>
      <rPr>
        <rFont val="Calibri"/>
        <color rgb="FFFF0000"/>
      </rPr>
      <t>Pending Ay 23-24: 2024-May-MCA-005, 2024-JUN-MCA-003 Not published</t>
    </r>
  </si>
  <si>
    <t>Ms. Ashwini Patil</t>
  </si>
  <si>
    <t>Ms.Dhivya R</t>
  </si>
  <si>
    <t>Extra: R - 0.03, I - 0.08</t>
  </si>
  <si>
    <t>Ms. Pooja S</t>
  </si>
  <si>
    <r>
      <rPr>
        <rFont val="Calibri"/>
        <color rgb="FF000000"/>
      </rPr>
      <t xml:space="preserve">2025-Feb-MCA-002  - Journal is not indexed in scopus. </t>
    </r>
    <r>
      <rPr>
        <rFont val="Calibri"/>
        <color rgb="FF0000FF"/>
      </rPr>
      <t>Extra: R -0.07, P - 0.04, I - 0.07</t>
    </r>
  </si>
  <si>
    <t>2025-Jan-MCA-003</t>
  </si>
  <si>
    <t>Ms. Sriraksha</t>
  </si>
  <si>
    <t>Dr. Rajalakshmi</t>
  </si>
  <si>
    <r>
      <rPr>
        <rFont val="Calibri"/>
        <color theme="1"/>
      </rPr>
      <t>2025-Feb-ISE-008 - shared with Kavitha, ISE, 2024-Feb-MCA-004 - 0.25 shared with Prof.Ilango. 2025-Feb-MCA-001 -  Journal is not indexed in scopus.</t>
    </r>
    <r>
      <rPr>
        <rFont val="Calibri"/>
        <color rgb="FF0000FF"/>
      </rPr>
      <t>Extra: R - 0.08, M. Patent - 0.33</t>
    </r>
  </si>
  <si>
    <t>2024-Oct-MCA-002</t>
  </si>
  <si>
    <t>Completed Target.</t>
  </si>
  <si>
    <t>Prof.Sandeep Kumar</t>
  </si>
  <si>
    <t>Pending: R - 0.48, C - 0.02, M.Paper - 0.5, M. patent - 1.</t>
  </si>
  <si>
    <t>Dr.Rema Gopalan</t>
  </si>
  <si>
    <t>Pending: R-0.4, C - 0.04, M.Paper - 1, M. patent - 1.</t>
  </si>
  <si>
    <t>Dr.Sanjeev T.</t>
  </si>
  <si>
    <t>Prof. Brijesh Singh</t>
  </si>
  <si>
    <t xml:space="preserve"> Pending:  M.Paper - 1, M. patent - 1.</t>
  </si>
  <si>
    <t>Dr. Rajasekar</t>
  </si>
  <si>
    <t>Dr. Chandrika</t>
  </si>
  <si>
    <r>
      <rPr>
        <rFont val="Calibri"/>
        <color theme="1"/>
      </rPr>
      <t xml:space="preserve">M.Paper - not published, M.Patent - Wrong affiliation, to be corrected, 2023-Sep-MBA-004 - RC ID and title are not matching. </t>
    </r>
    <r>
      <rPr>
        <rFont val="Calibri"/>
        <color rgb="FFFF0000"/>
      </rPr>
      <t xml:space="preserve">Pending: R - 1.01, I - 0.52, E - 0.42, M.Paper - 1, </t>
    </r>
    <r>
      <rPr>
        <rFont val="Calibri"/>
        <color theme="1"/>
      </rPr>
      <t xml:space="preserve"> </t>
    </r>
    <r>
      <rPr>
        <rFont val="Calibri"/>
        <color rgb="FF0000FF"/>
      </rPr>
      <t>Extra: P - 0.05</t>
    </r>
  </si>
  <si>
    <t>Dr.Mohan N</t>
  </si>
  <si>
    <r>
      <rPr>
        <rFont val="Calibri"/>
        <color theme="1"/>
      </rPr>
      <t xml:space="preserve">2025-June-MBA-005 - not scopus indexed conference. 2025-Mar-MBA-001, 2025-June-MBA-001, 2025-June-MBA-003 - scopus published proof required. 2025-Jan-MBA-001  - wrong proof. Two morw papers RC ID/Proof not matching. C load no RC ID. </t>
    </r>
    <r>
      <rPr>
        <rFont val="Calibri"/>
        <color rgb="FFFF0000"/>
      </rPr>
      <t>Pending: R - 1.24, C - 0.17 , P - 0.25, E - 0.18, M.Paper - 1, M.Patent - 1.</t>
    </r>
  </si>
  <si>
    <t>Prof.Santosh Kathari</t>
  </si>
  <si>
    <t>16 papers with 50% weightage are considered for 4 R loads. 1 mandatory paper considered. Target Completed. But 15 papers published without RC ID is not recommended in future.</t>
  </si>
  <si>
    <t>Prof. Libeesh</t>
  </si>
  <si>
    <t xml:space="preserve"> Pending: R - 0.59, M.Paper - 1, M. patent - 1.</t>
  </si>
  <si>
    <t>New Faculty</t>
  </si>
  <si>
    <t>Dr. Murugesan (5 Feb. 2025)</t>
  </si>
  <si>
    <t xml:space="preserve"> Pending: R - 0.58, P - 0.25, M.Paper - 0.42, M. patent - 0.42.</t>
  </si>
  <si>
    <t>Dr. Asokan  (5 Feb. 2025)</t>
  </si>
  <si>
    <t xml:space="preserve"> Pending: R - 0.25, C - 0.08, I - 0.08, M.Paper - 0.42, M. patent - 0.42.</t>
  </si>
  <si>
    <t>Dr. Rajesh (2 Dec '24)</t>
  </si>
  <si>
    <t xml:space="preserve"> Pending: R - 0.83, M.Paper - 0.58, M. patent - 0.58.</t>
  </si>
  <si>
    <t>Mr. Vivek Vijayan (17 March '25)</t>
  </si>
  <si>
    <t xml:space="preserve"> Pending: R - 0.83, M.Paper - 0.25, M. patent - 0.25.</t>
  </si>
  <si>
    <t>Mr. Shanu Rinkesh (25 March '25)</t>
  </si>
  <si>
    <t xml:space="preserve"> Pending: R - 0.42, M.Paper - 0.25, M. patent - 0.25.</t>
  </si>
  <si>
    <t>BS</t>
  </si>
  <si>
    <r>
      <rPr>
        <rFont val="Calibri"/>
        <color rgb="FFFF0000"/>
      </rPr>
      <t>Pending: M.Paper - 1</t>
    </r>
    <r>
      <rPr>
        <rFont val="Calibri"/>
        <color rgb="FFCC0000"/>
      </rPr>
      <t xml:space="preserve">, </t>
    </r>
    <r>
      <rPr>
        <rFont val="Calibri"/>
        <color rgb="FF0000FF"/>
      </rPr>
      <t>Extra: I - 0.16</t>
    </r>
  </si>
  <si>
    <t>Dr. S S Hegde</t>
  </si>
  <si>
    <r>
      <rPr>
        <rFont val="Calibri"/>
        <color theme="1"/>
      </rPr>
      <t xml:space="preserve">2024-Sep-BS-001,  2022-Aug-BS-003 - Over &amp; above load for incentive claim, cannot be carried forward. </t>
    </r>
    <r>
      <rPr>
        <rFont val="Calibri"/>
        <color rgb="FFFF0000"/>
      </rPr>
      <t>Pending: R-0.18, C - 0.02, P - 0.2</t>
    </r>
  </si>
  <si>
    <t>Q2-3(2024-Jun-BS-004, 2022-Aug-BS-003, 2024-July-BS-002), Q3-1 (2024-Mar-BS-001)</t>
  </si>
  <si>
    <r>
      <rPr>
        <rFont val="Calibri"/>
        <color theme="1"/>
      </rPr>
      <t xml:space="preserve">2024-Jun-BS-T011, 2024-June-BS-T012 - Filed on July 1st 2025.  </t>
    </r>
    <r>
      <rPr>
        <rFont val="Calibri"/>
        <color rgb="FFFF0000"/>
      </rPr>
      <t>Pending: R - 0.03, I - 0.24, E - 0.4, M.Paper - 1, M.Patent - 1</t>
    </r>
  </si>
  <si>
    <t>Dr. Antony Lilly Grace</t>
  </si>
  <si>
    <t>Pending: R - 0.45, C - 0.17, M.Paper - 0.5</t>
  </si>
  <si>
    <t>Mrs. Sudarshana R</t>
  </si>
  <si>
    <t>Pending: R - 0.34</t>
  </si>
  <si>
    <t>Dr. Suvitha A</t>
  </si>
  <si>
    <r>
      <rPr>
        <rFont val="Calibri"/>
        <color rgb="FF000000"/>
      </rPr>
      <t xml:space="preserve"> Over &amp; Above - 2024-Oct-BS-002, 2023-May-BS-006, 2022-July-BS-002,2024-Oct-BS-001 for incentives claim cannot be carried forward for AY 25-26. </t>
    </r>
    <r>
      <rPr>
        <rFont val="Calibri"/>
        <color rgb="FF0000FF"/>
      </rPr>
      <t>Extra: R - 0.42, P - 0.08</t>
    </r>
  </si>
  <si>
    <t>Q2-1(2024-Jun-BS-002), Q1-2(2022-Jan-BS-002, 2024-May-BS-002)</t>
  </si>
  <si>
    <t xml:space="preserve"> Pending: R - 0.39, C -0.62, P - 0.38, M.Paper - 1</t>
  </si>
  <si>
    <t>Dr. Vedavathi</t>
  </si>
  <si>
    <t>Dr. Vigneshwar S Bhat (12 March 2025)</t>
  </si>
  <si>
    <r>
      <rPr>
        <rFont val="Calibri"/>
        <color rgb="FFFF0000"/>
      </rPr>
      <t>Pending: R - 0.14, M.Paper - 0.25</t>
    </r>
    <r>
      <rPr>
        <rFont val="Calibri"/>
        <color rgb="FF000000"/>
      </rPr>
      <t xml:space="preserve">, </t>
    </r>
    <r>
      <rPr>
        <rFont val="Calibri"/>
        <color rgb="FF0000FF"/>
      </rPr>
      <t>Extra: M.Patent - 0.75</t>
    </r>
  </si>
  <si>
    <r>
      <rPr>
        <rFont val="Calibri"/>
        <color rgb="FFFF0000"/>
      </rPr>
      <t>Pending: R - 0.08, C - 0.19, P - 0.08, M.Paper - 1</t>
    </r>
    <r>
      <rPr>
        <rFont val="Calibri"/>
        <color theme="1"/>
      </rPr>
      <t>,</t>
    </r>
    <r>
      <rPr>
        <rFont val="Calibri"/>
        <color rgb="FF0000FF"/>
      </rPr>
      <t xml:space="preserve"> Extra: I - 0.02</t>
    </r>
  </si>
  <si>
    <r>
      <rPr>
        <rFont val="Calibri"/>
        <color rgb="FFFF0000"/>
      </rPr>
      <t>Pending: R - 0.52, C - 0.154</t>
    </r>
    <r>
      <rPr>
        <rFont val="Calibri"/>
        <color theme="1"/>
      </rPr>
      <t xml:space="preserve">, </t>
    </r>
    <r>
      <rPr>
        <rFont val="Calibri"/>
        <color rgb="FF0000FF"/>
      </rPr>
      <t>Extra: P - 0.06, I - 0.07</t>
    </r>
  </si>
  <si>
    <r>
      <rPr>
        <rFont val="Calibri"/>
        <color rgb="FFFF0000"/>
      </rPr>
      <t xml:space="preserve">Pending:  C - 0.1, P - 0.11 </t>
    </r>
    <r>
      <rPr>
        <rFont val="Calibri"/>
        <color theme="1"/>
      </rPr>
      <t>,</t>
    </r>
    <r>
      <rPr>
        <rFont val="Calibri"/>
        <color rgb="FF0000FF"/>
      </rPr>
      <t xml:space="preserve"> Extra: R - 0.17</t>
    </r>
  </si>
  <si>
    <t>Pending: P - 0.04, I - 0.16, E - 0.4, M.Paper - 1</t>
  </si>
  <si>
    <t>Pending: R - 0.23, C - 0.02, P - 0.02</t>
  </si>
  <si>
    <t>Q1(2024-Oct-BS-005)</t>
  </si>
  <si>
    <t>Dr Ayyappa Bathinapatla</t>
  </si>
  <si>
    <r>
      <rPr>
        <rFont val="Calibri"/>
        <color rgb="FF0000FF"/>
      </rPr>
      <t>Extra: R - 0.7, I - 0.16, M.Patent - 1</t>
    </r>
    <r>
      <rPr>
        <rFont val="Calibri"/>
        <color theme="1"/>
      </rPr>
      <t xml:space="preserve">, </t>
    </r>
    <r>
      <rPr>
        <rFont val="Calibri"/>
        <color rgb="FFFF0000"/>
      </rPr>
      <t xml:space="preserve">Pending: C - 0.02, P - 0.02. </t>
    </r>
    <r>
      <rPr>
        <rFont val="Calibri"/>
        <color theme="1"/>
      </rPr>
      <t>Over and above 2023-Sep-BS-004, 2024-July-BS-001 load for incentives claim cannot be carried forward.</t>
    </r>
  </si>
  <si>
    <t>Q1(2)-2024-Aug-BS-001, 2024-Aug-BS-003, Q1-2024-Dec-BS-003</t>
  </si>
  <si>
    <r>
      <rPr>
        <rFont val="Calibri"/>
        <color rgb="FFFF0000"/>
      </rPr>
      <t>Pending: R - 0.33, C - 0.17, P - 0.19, M.Paper - 1,</t>
    </r>
    <r>
      <rPr>
        <rFont val="Calibri"/>
        <color rgb="FF0000FF"/>
      </rPr>
      <t xml:space="preserve"> Extra: M.Patent - 0.33</t>
    </r>
  </si>
  <si>
    <r>
      <rPr>
        <rFont val="Calibri"/>
        <color rgb="FFFF0000"/>
      </rPr>
      <t>Pending: R - 0.27, P - 0.07</t>
    </r>
    <r>
      <rPr>
        <rFont val="Calibri"/>
        <color theme="1"/>
      </rPr>
      <t xml:space="preserve">, </t>
    </r>
    <r>
      <rPr>
        <rFont val="Calibri"/>
        <color rgb="FF0000FF"/>
      </rPr>
      <t>Extra: M.Patent - 1</t>
    </r>
  </si>
  <si>
    <t>Q1- 2024-July-BS-003</t>
  </si>
  <si>
    <t>Dr. Meenakshi</t>
  </si>
  <si>
    <r>
      <rPr>
        <rFont val="Calibri"/>
        <color rgb="FFFF0000"/>
      </rPr>
      <t xml:space="preserve"> Pending: R - 0.03, M.Paper - 0.25,</t>
    </r>
    <r>
      <rPr>
        <rFont val="Calibri"/>
        <color theme="1"/>
      </rPr>
      <t xml:space="preserve"> </t>
    </r>
    <r>
      <rPr>
        <rFont val="Calibri"/>
        <color rgb="FF0000FF"/>
      </rPr>
      <t>Extra: C - 0.01, P - 0.08 , I - 0.2, M.Patent - 0.5</t>
    </r>
  </si>
  <si>
    <t>Yes</t>
  </si>
  <si>
    <t>Dr. Hanumantha Ravi</t>
  </si>
  <si>
    <r>
      <rPr>
        <rFont val="Calibri"/>
        <color theme="1"/>
      </rPr>
      <t xml:space="preserve"> </t>
    </r>
    <r>
      <rPr>
        <rFont val="Calibri"/>
        <color rgb="FFFF0000"/>
      </rPr>
      <t>Pending: C - 0.42, P - 0.4, M.Paper - 0.25</t>
    </r>
  </si>
  <si>
    <t>Dr. Rajendra</t>
  </si>
  <si>
    <r>
      <rPr>
        <rFont val="Calibri"/>
        <color theme="1"/>
      </rPr>
      <t xml:space="preserve">2025-Feb-BS-005 - indexed in scopus proof required for book chapter. </t>
    </r>
    <r>
      <rPr>
        <rFont val="Calibri"/>
        <color rgb="FFFF0000"/>
      </rPr>
      <t>Pending: R-0.5, C - 0.03, P - 0.05, E - 0.43</t>
    </r>
  </si>
  <si>
    <t>Dr. Nidhi</t>
  </si>
  <si>
    <t xml:space="preserve"> Pending: R - 0.57, C - 0.26</t>
  </si>
  <si>
    <t>Mr. Prathap</t>
  </si>
  <si>
    <t>Pending: R - 0.56, C - 0.22, P - 0.2, E - 0.01, M.Paper - 1</t>
  </si>
  <si>
    <t>Mrs. Asha</t>
  </si>
  <si>
    <r>
      <rPr>
        <rFont val="Calibri"/>
        <color theme="1"/>
      </rPr>
      <t xml:space="preserve">2025-Apr-BS-002-Not in scopus. </t>
    </r>
    <r>
      <rPr>
        <rFont val="Calibri"/>
        <color rgb="FFFF0000"/>
      </rPr>
      <t>Pending: R - 0.28, C - 0.02, E - 0.01, M.Paper - 1</t>
    </r>
  </si>
  <si>
    <t>Mrs. Uma</t>
  </si>
  <si>
    <r>
      <rPr>
        <rFont val="Calibri"/>
        <color rgb="FFFF0000"/>
      </rPr>
      <t xml:space="preserve">Pending: R - 0.03, C - 0.02, E - 0.01, M.Paper - 1, </t>
    </r>
    <r>
      <rPr>
        <rFont val="Calibri"/>
        <color rgb="FF0000FF"/>
      </rPr>
      <t>Extra: I - 0.05</t>
    </r>
  </si>
  <si>
    <t>Dr.Shivakumar B.N</t>
  </si>
  <si>
    <r>
      <rPr>
        <rFont val="Calibri"/>
        <color theme="1"/>
      </rPr>
      <t xml:space="preserve"> </t>
    </r>
    <r>
      <rPr>
        <rFont val="Calibri"/>
        <color rgb="FFFF0000"/>
      </rPr>
      <t>Pending: R - 0.03</t>
    </r>
  </si>
  <si>
    <t>B Narasimha Rao</t>
  </si>
  <si>
    <r>
      <rPr>
        <rFont val="Calibri"/>
        <color rgb="FFFF0000"/>
      </rPr>
      <t>Pending: R - 0.53, P - 0.1, M.Paper - 1,</t>
    </r>
    <r>
      <rPr>
        <rFont val="Calibri"/>
        <color rgb="FF0000FF"/>
      </rPr>
      <t xml:space="preserve"> Extra: E - 0.017</t>
    </r>
  </si>
  <si>
    <t>Padmavathi</t>
  </si>
  <si>
    <r>
      <rPr>
        <rFont val="Calibri"/>
        <color rgb="FFFF0000"/>
      </rPr>
      <t>Pending: R - 0.02, C - 0.02, E - 0.01</t>
    </r>
    <r>
      <rPr>
        <rFont val="Calibri"/>
        <color theme="1"/>
      </rPr>
      <t xml:space="preserve">, </t>
    </r>
    <r>
      <rPr>
        <rFont val="Calibri"/>
        <color rgb="FF0000FF"/>
      </rPr>
      <t>Extra: I  - 0.05</t>
    </r>
  </si>
  <si>
    <t>Kishore</t>
  </si>
  <si>
    <r>
      <rPr>
        <rFont val="Calibri"/>
        <color rgb="FFFF0000"/>
      </rPr>
      <t>Pending: C - 0.01, E - 0.01</t>
    </r>
    <r>
      <rPr>
        <rFont val="Calibri"/>
        <color theme="1"/>
      </rPr>
      <t xml:space="preserve">, </t>
    </r>
    <r>
      <rPr>
        <rFont val="Calibri"/>
        <color rgb="FF0000FF"/>
      </rPr>
      <t>Extra: R - 0.19</t>
    </r>
  </si>
  <si>
    <t>Prof. Balaji</t>
  </si>
  <si>
    <r>
      <rPr>
        <rFont val="Calibri"/>
        <color rgb="FF0000FF"/>
      </rPr>
      <t>Extra: R -0.49, M.Paper - 0.5</t>
    </r>
    <r>
      <rPr>
        <rFont val="Calibri"/>
        <color theme="1"/>
      </rPr>
      <t>,</t>
    </r>
    <r>
      <rPr>
        <rFont val="Calibri"/>
        <color rgb="FFFF0000"/>
      </rPr>
      <t xml:space="preserve"> Pending: P - 0.09</t>
    </r>
  </si>
  <si>
    <t>Q1-2024-Mar-BS-005, Q4-3(2023-Oct-BS-003, 2023-Apr-BS-003, 2023-Mar-BS-002)</t>
  </si>
  <si>
    <t>Prof. Dipansha Kumari</t>
  </si>
  <si>
    <r>
      <rPr>
        <rFont val="Calibri"/>
        <color rgb="FFFF0000"/>
      </rPr>
      <t>Pending: R - 0.42, M.Paper - 1</t>
    </r>
    <r>
      <rPr>
        <rFont val="Calibri"/>
        <color theme="1"/>
      </rPr>
      <t>,</t>
    </r>
    <r>
      <rPr>
        <rFont val="Calibri"/>
        <color rgb="FF0000FF"/>
      </rPr>
      <t xml:space="preserve"> Extra: P - 0.03</t>
    </r>
  </si>
  <si>
    <t>Gokul</t>
  </si>
  <si>
    <r>
      <rPr>
        <rFont val="Calibri"/>
        <color rgb="FFFF0000"/>
      </rPr>
      <t>Pending: R - 0.0.34, I - 0.17,  M.Paper - 1</t>
    </r>
    <r>
      <rPr>
        <rFont val="Calibri"/>
        <color theme="1"/>
      </rPr>
      <t xml:space="preserve">, </t>
    </r>
    <r>
      <rPr>
        <rFont val="Calibri"/>
        <color rgb="FF0000FF"/>
      </rPr>
      <t>Extra: M.Patent - 0.17</t>
    </r>
  </si>
  <si>
    <t>Archie Thakur</t>
  </si>
  <si>
    <r>
      <rPr>
        <rFont val="Calibri"/>
        <color rgb="FFFF0000"/>
      </rPr>
      <t>Pending: R - 0.09</t>
    </r>
    <r>
      <rPr>
        <rFont val="Calibri"/>
        <color theme="1"/>
      </rPr>
      <t xml:space="preserve">, </t>
    </r>
    <r>
      <rPr>
        <rFont val="Calibri"/>
        <color rgb="FF0000FF"/>
      </rPr>
      <t>Extra: P - 0.03</t>
    </r>
  </si>
  <si>
    <r>
      <rPr>
        <rFont val="Times New Roman"/>
        <b/>
        <color rgb="FF0000FF"/>
        <sz val="10.0"/>
      </rPr>
      <t>Note:</t>
    </r>
    <r>
      <rPr>
        <rFont val="Times New Roman"/>
        <color theme="1"/>
        <sz val="10.0"/>
      </rPr>
      <t xml:space="preserve"> </t>
    </r>
    <r>
      <rPr>
        <rFont val="Times New Roman"/>
        <b/>
        <color rgb="FFCC0000"/>
        <sz val="10.0"/>
      </rPr>
      <t>Mandatory paper and patent to be counted from Jul.`23-Jun.`24</t>
    </r>
  </si>
  <si>
    <t>Sept.`23 - Jan.`24</t>
  </si>
  <si>
    <t>Feb.`24 - Jun.`24</t>
  </si>
  <si>
    <t>Jul.`23-Jun`24</t>
  </si>
  <si>
    <t>Odd Sem. 2023-24</t>
  </si>
  <si>
    <t>Even Sem. 2023-24</t>
  </si>
  <si>
    <t>2023-24</t>
  </si>
  <si>
    <t>JUL-AUG 2023</t>
  </si>
  <si>
    <t>FACULTY SHOULD UPLOAD THE PROOF IN BELOW LINK ONLY</t>
  </si>
  <si>
    <t>Total Target for AY 2023-24</t>
  </si>
  <si>
    <t>RP</t>
  </si>
  <si>
    <t>https://drive.google.com/drive/folders/1g31gsV6Eb-DauGhdzI6IQUsSUG-SyGIn?usp=drive_link</t>
  </si>
  <si>
    <t>Dr Elumalai R</t>
  </si>
  <si>
    <r>
      <rPr>
        <rFont val="Calibri"/>
        <color theme="1"/>
      </rPr>
      <t xml:space="preserve"> 2024-Mar-ECE-002 - acceptance/published proof required. 
</t>
    </r>
    <r>
      <rPr>
        <rFont val="Calibri"/>
        <color rgb="FFCC0000"/>
      </rPr>
      <t>Pending: R - 1.84, C - 0.04, P - 0.08, E - 0.06, Mandatory Paper - 1</t>
    </r>
  </si>
  <si>
    <t>Extra: C - 0.197, P - 0.02, E - 0.03</t>
  </si>
  <si>
    <r>
      <rPr>
        <rFont val="Calibri"/>
        <color theme="1"/>
      </rPr>
      <t xml:space="preserve">2023-Sep-ECE-001 - Extra - over and above load for incentive claim,cannot be carry forward. 
</t>
    </r>
    <r>
      <rPr>
        <rFont val="Calibri"/>
        <color rgb="FF0000FF"/>
      </rPr>
      <t xml:space="preserve">Extra: R - 0.12, P - 0.03, I - 0.07, Mandatory Patent - 0.25 </t>
    </r>
  </si>
  <si>
    <t>Transfer load completed</t>
  </si>
  <si>
    <t>2023-Aug-ECE-015</t>
  </si>
  <si>
    <r>
      <rPr>
        <rFont val="Calibri"/>
        <color rgb="FFCC0000"/>
      </rPr>
      <t>Pending: P - 0.03, I - 0.09, E - 0.027</t>
    </r>
    <r>
      <rPr>
        <rFont val="Calibri"/>
        <color theme="1"/>
      </rPr>
      <t xml:space="preserve">, 
</t>
    </r>
    <r>
      <rPr>
        <rFont val="Calibri"/>
        <color rgb="FF0000FF"/>
      </rPr>
      <t>Extra: R - 0.24, C - 0.262</t>
    </r>
  </si>
  <si>
    <t>1-(Q3-2023-Mar-ECE-006)</t>
  </si>
  <si>
    <t>Extra: R - 0.55, C - 0.095, P - 0.03, E - 0.006</t>
  </si>
  <si>
    <t>Extra: R - 0.11, P - 0.02</t>
  </si>
  <si>
    <t>Dr. Pappa M</t>
  </si>
  <si>
    <t>EXtra: R - 0.52, C - 0.008, P - 0.037, I - 0.11</t>
  </si>
  <si>
    <r>
      <rPr>
        <rFont val="Calibri"/>
        <color theme="1"/>
      </rPr>
      <t xml:space="preserve"> 2024-Apr-ECE-P003 - 50% weightage. 
</t>
    </r>
    <r>
      <rPr>
        <rFont val="Calibri"/>
        <color rgb="FFCC0000"/>
      </rPr>
      <t>Pending: E - 0.04</t>
    </r>
    <r>
      <rPr>
        <rFont val="Calibri"/>
        <color theme="1"/>
      </rPr>
      <t xml:space="preserve">, 
</t>
    </r>
    <r>
      <rPr>
        <rFont val="Calibri"/>
        <color rgb="FF0000FF"/>
      </rPr>
      <t>Extra: R - 0.22, C - 0.355, P - 0.07, I - 0.55</t>
    </r>
  </si>
  <si>
    <t>Dr. Sridevi.S</t>
  </si>
  <si>
    <r>
      <rPr>
        <rFont val="Calibri"/>
        <color rgb="FFCC0000"/>
      </rPr>
      <t>Pending: R - 1.07</t>
    </r>
    <r>
      <rPr>
        <rFont val="Calibri"/>
        <color theme="1"/>
      </rPr>
      <t xml:space="preserve">, 
</t>
    </r>
    <r>
      <rPr>
        <rFont val="Calibri"/>
        <color rgb="FF0000FF"/>
      </rPr>
      <t>Extra: C - 0.005, P - 0.02, I - 0.21, Mandatory paper - 0.25, Mandatory patent - 0.25</t>
    </r>
  </si>
  <si>
    <t xml:space="preserve">Pending: R - 1.51, C - 0.08, I - 1, Mandatory Paper - 4, Mandatory Patent - 3 </t>
  </si>
  <si>
    <t>Prof. Aritri Debnath</t>
  </si>
  <si>
    <t>Prof.Sutapa Sarkar</t>
  </si>
  <si>
    <r>
      <rPr>
        <rFont val="Calibri"/>
        <color rgb="FFCC0000"/>
      </rPr>
      <t xml:space="preserve">Pending: R - 0.3, C -0.05,                               </t>
    </r>
    <r>
      <rPr>
        <rFont val="Calibri"/>
        <color rgb="FF0000FF"/>
      </rPr>
      <t>Extra: E - 0.006</t>
    </r>
  </si>
  <si>
    <t>Pending: R - 0.34, C -0.067, E - 0.03, Mandatory paper- 0.5, Mandatory patent - 1</t>
  </si>
  <si>
    <t>Prof.Preethi A</t>
  </si>
  <si>
    <r>
      <rPr>
        <rFont val="Calibri"/>
        <color rgb="FFCC0000"/>
      </rPr>
      <t>Pending: C - 0.05</t>
    </r>
    <r>
      <rPr>
        <rFont val="Calibri"/>
        <color rgb="FF000000"/>
      </rPr>
      <t xml:space="preserve">, 
</t>
    </r>
    <r>
      <rPr>
        <rFont val="Calibri"/>
        <color rgb="FF0000FF"/>
      </rPr>
      <t>Extra: R - 0.33, E - 0.006</t>
    </r>
  </si>
  <si>
    <t>Q3-2024-Apr-ECE-008</t>
  </si>
  <si>
    <r>
      <rPr>
        <rFont val="Calibri"/>
        <color rgb="FFCC0000"/>
      </rPr>
      <t>Pending: E - 0.03,</t>
    </r>
    <r>
      <rPr>
        <rFont val="Calibri"/>
        <color theme="1"/>
      </rPr>
      <t xml:space="preserve"> </t>
    </r>
    <r>
      <rPr>
        <rFont val="Calibri"/>
        <color rgb="FF0000FF"/>
      </rPr>
      <t>Extra: R - 0.632</t>
    </r>
  </si>
  <si>
    <r>
      <rPr>
        <rFont val="Calibri"/>
        <color theme="1"/>
      </rPr>
      <t xml:space="preserve"> 2024-Feb-ECE-Udy-E005 -50% weightage. 
</t>
    </r>
    <r>
      <rPr>
        <rFont val="Calibri"/>
        <color rgb="FFCC0000"/>
      </rPr>
      <t>Pending: R - 0.53, C - 0.038, E - 0.022</t>
    </r>
  </si>
  <si>
    <r>
      <rPr>
        <rFont val="Calibri"/>
        <color rgb="FF000000"/>
      </rPr>
      <t xml:space="preserve"> 2024-Feb-ECE-Udy-E005 - 50% weightage.
</t>
    </r>
    <r>
      <rPr>
        <rFont val="Calibri"/>
        <color rgb="FFCC0000"/>
      </rPr>
      <t xml:space="preserve">Pending: R - 0.05, C - 0.051,E - 0.022, 
</t>
    </r>
    <r>
      <rPr>
        <rFont val="Calibri"/>
        <color rgb="FF0000FF"/>
      </rPr>
      <t>Extra: Mandatory Patent - 1</t>
    </r>
  </si>
  <si>
    <t>Pending: R - 0.28</t>
  </si>
  <si>
    <r>
      <rPr>
        <rFont val="Calibri"/>
        <color rgb="FFCC0000"/>
      </rPr>
      <t>Pending: R - 0.725, E - 0.53</t>
    </r>
    <r>
      <rPr>
        <rFont val="Calibri"/>
        <color theme="1"/>
      </rPr>
      <t xml:space="preserve">, 
</t>
    </r>
    <r>
      <rPr>
        <rFont val="Calibri"/>
        <color rgb="FF0000FF"/>
      </rPr>
      <t>Extra: C - 0.02, I - 0.03</t>
    </r>
  </si>
  <si>
    <r>
      <rPr>
        <rFont val="Calibri"/>
        <color rgb="FF000000"/>
      </rPr>
      <t xml:space="preserve">2024-Feb-ECE-Udy-E005-50% weightage, 
</t>
    </r>
    <r>
      <rPr>
        <rFont val="Calibri"/>
        <color rgb="FF0000FF"/>
      </rPr>
      <t>Extra: R - 0.13, E - 0.018</t>
    </r>
  </si>
  <si>
    <t>Prof.Sushma B</t>
  </si>
  <si>
    <t>Extra: R - 0.09, P - 0.1</t>
  </si>
  <si>
    <t>Q1-2023-Sep-ECE-006</t>
  </si>
  <si>
    <t>Extra: R - 0.74, C - 0.02, E - 0.006</t>
  </si>
  <si>
    <r>
      <rPr>
        <rFont val="Calibri"/>
        <color theme="1"/>
      </rPr>
      <t xml:space="preserve"> 2024-Apr-ECE-P009 - Not considered, less than 5L. 
</t>
    </r>
    <r>
      <rPr>
        <rFont val="Calibri"/>
        <color rgb="FFCC0000"/>
      </rPr>
      <t xml:space="preserve">Pending: C - 0.08, P - 0.04, </t>
    </r>
    <r>
      <rPr>
        <rFont val="Calibri"/>
        <color theme="1"/>
      </rPr>
      <t xml:space="preserve"> 
</t>
    </r>
    <r>
      <rPr>
        <rFont val="Calibri"/>
        <color rgb="FF0000FF"/>
      </rPr>
      <t>Extra: R - 0.17, I - 0.03, E - 0.003</t>
    </r>
  </si>
  <si>
    <t>Prof. Sushmitha Alamuru</t>
  </si>
  <si>
    <t>Extra: R - 0.24, C- 0.034,                                 Mandatory Patent - 0.2</t>
  </si>
  <si>
    <t>1(Q1-2022-July-ECE-002)</t>
  </si>
  <si>
    <t>Prof.Mahesh Kumar Jha</t>
  </si>
  <si>
    <r>
      <rPr>
        <rFont val="Calibri"/>
        <color rgb="FFCC0000"/>
      </rPr>
      <t>Pending: E - 0.05</t>
    </r>
    <r>
      <rPr>
        <rFont val="Calibri"/>
        <color theme="1"/>
      </rPr>
      <t xml:space="preserve">, 
</t>
    </r>
    <r>
      <rPr>
        <rFont val="Calibri"/>
        <color rgb="FF0000FF"/>
      </rPr>
      <t>Extra: R - 0.807, C - 0.01, P - 0.2, I - 0.08</t>
    </r>
  </si>
  <si>
    <t>1.96+0.29+0.151</t>
  </si>
  <si>
    <t>0.457+1.037</t>
  </si>
  <si>
    <r>
      <rPr>
        <rFont val="Calibri"/>
        <color rgb="FF000000"/>
      </rPr>
      <t>2024-Jun-ECE-T003 -wrong Proof.</t>
    </r>
    <r>
      <rPr>
        <rFont val="Calibri"/>
        <color rgb="FFCC0000"/>
      </rPr>
      <t xml:space="preserve"> 
Pending: R- 0.008, C- 0.08, E-0.03, Mandatory Paper-1.5, Mandatory Patent-1</t>
    </r>
  </si>
  <si>
    <r>
      <rPr>
        <rFont val="Calibri"/>
        <color rgb="FFCC0000"/>
      </rPr>
      <t>Pending: E - 0.03</t>
    </r>
    <r>
      <rPr>
        <rFont val="Calibri"/>
        <color theme="1"/>
      </rPr>
      <t xml:space="preserve">, 
</t>
    </r>
    <r>
      <rPr>
        <rFont val="Calibri"/>
        <color rgb="FF0000FF"/>
      </rPr>
      <t>Extra: R - 0.5, C - 0.004, P - 0.02</t>
    </r>
  </si>
  <si>
    <t>1+0.526</t>
  </si>
  <si>
    <r>
      <rPr>
        <rFont val="Calibri"/>
        <color theme="1"/>
      </rPr>
      <t xml:space="preserve">2023-Oct-ECE-P003 - 50% weightage. 
</t>
    </r>
    <r>
      <rPr>
        <rFont val="Calibri"/>
        <color rgb="FF0000FF"/>
      </rPr>
      <t>Extra: R - 1.47, C - 0.003, P - 0.1, I - 0.22, E - 0.008</t>
    </r>
  </si>
  <si>
    <t>2023-Mar-ECE-007</t>
  </si>
  <si>
    <t>4-2023-May-ECE-003-Q4, 2023-May-ECE-004-Q1, 2023-July-ECE-004-Q1, 2023-July-ECE-008-Q2</t>
  </si>
  <si>
    <r>
      <rPr>
        <rFont val="Calibri"/>
        <color rgb="FF6AA84F"/>
      </rPr>
      <t xml:space="preserve">2024-Jan-ECE-001-Q1 Journal (over and above load, RC ID taken after communicating with the journal, ,cannot be carry forward ). 
</t>
    </r>
    <r>
      <rPr>
        <rFont val="Calibri"/>
        <color rgb="FF0000FF"/>
      </rPr>
      <t>Extra: R - 0.81, C - 0.003, E - 0.008</t>
    </r>
  </si>
  <si>
    <t>3(Q3-2023-Aug-ECE-014, Q3-2023-July-ECE-007, Q3-2023-Sep-ECE-003)</t>
  </si>
  <si>
    <t>Extra: R - 1.06, C - 0.183, P - 0.02, E - 0.006</t>
  </si>
  <si>
    <t>2023-OCT-ECE-001</t>
  </si>
  <si>
    <t>2 (Q2-2022-OCT-ECE-003, 2023-Oct-ECE-006)</t>
  </si>
  <si>
    <t>Dr. Sushma T V</t>
  </si>
  <si>
    <r>
      <rPr>
        <rFont val="Calibri"/>
        <color rgb="FFCC0000"/>
      </rPr>
      <t xml:space="preserve">Pending: R - 0.15, </t>
    </r>
    <r>
      <rPr>
        <rFont val="Calibri"/>
        <color theme="1"/>
      </rPr>
      <t xml:space="preserve"> </t>
    </r>
    <r>
      <rPr>
        <rFont val="Calibri"/>
        <color rgb="FF0000FF"/>
      </rPr>
      <t>Extra: Mandatory Paper - 0.25, Mandatory Patent - 0.25</t>
    </r>
  </si>
  <si>
    <t>0.13+0.9475+P-0.083</t>
  </si>
  <si>
    <t>Dr. Deepa</t>
  </si>
  <si>
    <t xml:space="preserve">Dr. Susheel </t>
  </si>
  <si>
    <r>
      <rPr>
        <rFont val="Calibri"/>
        <color theme="1"/>
      </rPr>
      <t xml:space="preserve"> 2024-Feb-ECE-Udy-E005 - 50% weightage. 
</t>
    </r>
    <r>
      <rPr>
        <rFont val="Calibri"/>
        <color rgb="FF0000FF"/>
      </rPr>
      <t>Extra: R - 0.11, C - 0.2, P - 0.03, E - 0.008</t>
    </r>
  </si>
  <si>
    <t>Dr. Richa Tengshe</t>
  </si>
  <si>
    <t>Extra: R - 0.73, C - 0.032, P - 0.02, E - 0.006, Mandatory Paper - 0.58, Mandatory Patent - 0.58</t>
  </si>
  <si>
    <t>Dr.Viji</t>
  </si>
  <si>
    <t>Extra: R: 0.98, C: 0.03, P:0.03, I:0.08, E:0.027</t>
  </si>
  <si>
    <t xml:space="preserve">Extra: R - 0.3, C - 0.02, E - 0.037 </t>
  </si>
  <si>
    <t>Ms.Keka</t>
  </si>
  <si>
    <r>
      <rPr>
        <rFont val="Calibri"/>
        <color rgb="FF000000"/>
      </rPr>
      <t xml:space="preserve">2024-Apr-BS-T002 - Equally shared with Maths Meenakshi madam. 
</t>
    </r>
    <r>
      <rPr>
        <rFont val="Calibri"/>
        <color rgb="FFCC0000"/>
      </rPr>
      <t>Pending: C - 0.057</t>
    </r>
    <r>
      <rPr>
        <rFont val="Calibri"/>
        <color rgb="FF000000"/>
      </rPr>
      <t xml:space="preserve">, 
</t>
    </r>
    <r>
      <rPr>
        <rFont val="Calibri"/>
        <color rgb="FF0000FF"/>
      </rPr>
      <t>Extra: R - 0.38, E - 0.002, mandatory Patent - 0.5</t>
    </r>
  </si>
  <si>
    <t>1(Q3-2022-Nov-EEE-001)</t>
  </si>
  <si>
    <t>Dr.Shreekanth Mooroor Prabhu</t>
  </si>
  <si>
    <t>Left College</t>
  </si>
  <si>
    <t>Dr. P. N. Singh</t>
  </si>
  <si>
    <t>1+0.21</t>
  </si>
  <si>
    <r>
      <rPr>
        <rFont val="Calibri"/>
        <color theme="1"/>
      </rPr>
      <t xml:space="preserve"> 2023-Jun-CSE-012-not considered.                    </t>
    </r>
    <r>
      <rPr>
        <rFont val="Calibri"/>
        <color rgb="FFCC0000"/>
      </rPr>
      <t>Pending: C - 0.5, P - 0.12</t>
    </r>
    <r>
      <rPr>
        <rFont val="Calibri"/>
        <color theme="1"/>
      </rPr>
      <t xml:space="preserve">, </t>
    </r>
    <r>
      <rPr>
        <rFont val="Calibri"/>
        <color rgb="FF0000FF"/>
      </rPr>
      <t>Extra: R - 0.51</t>
    </r>
  </si>
  <si>
    <t>Q2-2023-Oct-CSE-03</t>
  </si>
  <si>
    <t>Dr. Shanthi.M.B</t>
  </si>
  <si>
    <r>
      <rPr>
        <rFont val="Calibri"/>
        <color theme="1"/>
      </rPr>
      <t xml:space="preserve">2023-Oct-CSE-09, 2023-Nov-CSE-01  - RC ID is taken after the conference. 
</t>
    </r>
    <r>
      <rPr>
        <rFont val="Calibri"/>
        <color rgb="FFCC0000"/>
      </rPr>
      <t xml:space="preserve">Pending: C - 0.55, P - 0.22, I - 0.76, E - 0.1, Mandatory papaer -1, Mandatory Patent - 1. </t>
    </r>
    <r>
      <rPr>
        <rFont val="Calibri"/>
        <color rgb="FF0000FF"/>
      </rPr>
      <t>Extra: R - 0.49</t>
    </r>
  </si>
  <si>
    <t>Dr.R Kesavamoorthy</t>
  </si>
  <si>
    <t>Extra: R - 0.54, C- 0.01, P - 0.04, I - 0.38, E - 0.003</t>
  </si>
  <si>
    <t>1+0.819</t>
  </si>
  <si>
    <r>
      <rPr>
        <rFont val="Times New Roman"/>
        <color rgb="FF000000"/>
        <sz val="10.0"/>
      </rPr>
      <t xml:space="preserve">Dr. Jagadishwari Palani </t>
    </r>
    <r>
      <rPr>
        <rFont val="Times New Roman"/>
        <color rgb="FFFF0000"/>
        <sz val="10.0"/>
      </rPr>
      <t>(ISE)</t>
    </r>
  </si>
  <si>
    <r>
      <rPr>
        <rFont val="Calibri"/>
        <color theme="1"/>
      </rPr>
      <t xml:space="preserve">2022-Sep-CSE-003 - RC review not completed, journal is indexed in wos, 2023-Dec-AIML-P001 -  (sharing equally with Prof.Shyam). 
</t>
    </r>
    <r>
      <rPr>
        <rFont val="Calibri"/>
        <color rgb="FFCC0000"/>
      </rPr>
      <t xml:space="preserve">Pending: R - 1.33, C - 0.33, P - 0.014, E - 0.08, Mandatory Paper -1 </t>
    </r>
  </si>
  <si>
    <t>0.347+0.144</t>
  </si>
  <si>
    <t>Completed</t>
  </si>
  <si>
    <t>Dr.Preethi Sheba</t>
  </si>
  <si>
    <r>
      <rPr>
        <rFont val="Calibri"/>
        <color theme="1"/>
      </rPr>
      <t xml:space="preserve">2023-Oct-CSE-06 Extra over and above for Incentive (Cannot be carried forwared),                          </t>
    </r>
    <r>
      <rPr>
        <rFont val="Calibri"/>
        <color rgb="FFCC0000"/>
      </rPr>
      <t>Pending: C - 0.42, P - 0.134</t>
    </r>
    <r>
      <rPr>
        <rFont val="Calibri"/>
        <color theme="1"/>
      </rPr>
      <t>,</t>
    </r>
    <r>
      <rPr>
        <rFont val="Calibri"/>
        <color rgb="FF0000FF"/>
      </rPr>
      <t xml:space="preserve"> Extra: R - 0.346</t>
    </r>
  </si>
  <si>
    <r>
      <rPr>
        <rFont val="Calibri"/>
        <color rgb="FFCC0000"/>
      </rPr>
      <t>Pending: C - 0.06, E - 0.163,</t>
    </r>
    <r>
      <rPr>
        <rFont val="Calibri"/>
        <color theme="1"/>
      </rPr>
      <t xml:space="preserve">                        </t>
    </r>
    <r>
      <rPr>
        <rFont val="Calibri"/>
        <color rgb="FF0000FF"/>
      </rPr>
      <t>Extra: R - 0.35, P - 0.065</t>
    </r>
  </si>
  <si>
    <t>Extra: R - 0.33, C - 0.003, P - 0.061</t>
  </si>
  <si>
    <t>Dr.Radhakrishnan G</t>
  </si>
  <si>
    <t>Pending: R- 1.19, C-1.01, P-0.095, Mandatory Paper-1, Mandatory Patent-3</t>
  </si>
  <si>
    <t>Pending: R- 0.15, C- 0.13, P-0.08, Mandatory Patent-1</t>
  </si>
  <si>
    <t>Mrs. Sagarika Behera</t>
  </si>
  <si>
    <r>
      <rPr>
        <rFont val="Calibri"/>
        <color theme="1"/>
      </rPr>
      <t xml:space="preserve"> </t>
    </r>
    <r>
      <rPr>
        <rFont val="Calibri"/>
        <color rgb="FF0000FF"/>
      </rPr>
      <t>Extra: R - 0.2, C - 0.003,P - 0.02</t>
    </r>
  </si>
  <si>
    <t>Mrs. Poonam Vijay Tijare</t>
  </si>
  <si>
    <r>
      <rPr>
        <rFont val="Calibri"/>
        <color rgb="FFCC0000"/>
      </rPr>
      <t>Pending: C - 0.093</t>
    </r>
    <r>
      <rPr>
        <rFont val="Calibri"/>
        <color theme="1"/>
      </rPr>
      <t xml:space="preserve">,                                         </t>
    </r>
    <r>
      <rPr>
        <rFont val="Calibri"/>
        <color rgb="FF0000FF"/>
      </rPr>
      <t>Extra: R - 0.526, P - 0.026</t>
    </r>
  </si>
  <si>
    <r>
      <rPr>
        <rFont val="Calibri"/>
        <color rgb="FFCC0000"/>
      </rPr>
      <t xml:space="preserve"> Pending: E - 0.153</t>
    </r>
    <r>
      <rPr>
        <rFont val="Calibri"/>
        <color theme="1"/>
      </rPr>
      <t xml:space="preserve">, </t>
    </r>
    <r>
      <rPr>
        <rFont val="Calibri"/>
        <color rgb="FF0000FF"/>
      </rPr>
      <t>Extra: R - 0.3, P - 0.02</t>
    </r>
  </si>
  <si>
    <r>
      <rPr>
        <rFont val="Calibri"/>
        <color rgb="FFCC0000"/>
      </rPr>
      <t>Pending: E - 0.153,</t>
    </r>
    <r>
      <rPr>
        <rFont val="Calibri"/>
        <color rgb="FF0000FF"/>
      </rPr>
      <t xml:space="preserve"> Extra: R - 0.42, P - 0.02</t>
    </r>
    <r>
      <rPr>
        <rFont val="Calibri"/>
        <color theme="1"/>
      </rPr>
      <t xml:space="preserve"> </t>
    </r>
  </si>
  <si>
    <t>0.58+0.058</t>
  </si>
  <si>
    <t xml:space="preserve">Mr.Anil D  </t>
  </si>
  <si>
    <t>2023-May-CSE-017</t>
  </si>
  <si>
    <t>Pending: R - 0.164, C - 0.13, P - 0.08</t>
  </si>
  <si>
    <r>
      <rPr>
        <rFont val="Calibri"/>
        <color theme="1"/>
      </rPr>
      <t xml:space="preserve">2023-Apr-CSE-001-Extra paper for Incentive (Cannot be carried forward),                     </t>
    </r>
    <r>
      <rPr>
        <rFont val="Calibri"/>
        <color rgb="FF0000FF"/>
      </rPr>
      <t xml:space="preserve">Extra: R - 0.92, C - 0.01, P - 0.06 </t>
    </r>
  </si>
  <si>
    <r>
      <rPr>
        <rFont val="Calibri"/>
        <color rgb="FF000000"/>
      </rPr>
      <t>2024-Jan-CSE-T002 - 50% weightage</t>
    </r>
    <r>
      <rPr>
        <rFont val="Calibri"/>
        <color rgb="FF990000"/>
      </rPr>
      <t xml:space="preserve">                                                  Pending: R- 0.46, C - 0.05, P - 0.04, Mandatory Paper -1, Mandatory Patent -0.5</t>
    </r>
  </si>
  <si>
    <r>
      <rPr>
        <rFont val="Calibri"/>
        <color theme="1"/>
      </rPr>
      <t>2024-Jun-CSE-01 -50% weightage.</t>
    </r>
    <r>
      <rPr>
        <rFont val="Calibri"/>
        <color rgb="FFCC0000"/>
      </rPr>
      <t xml:space="preserve">                Pending: R - 0.17,  C - 0.05, Mandatory Paper - 0.5, Mandatory Patent-1</t>
    </r>
    <r>
      <rPr>
        <rFont val="Calibri"/>
        <color theme="1"/>
      </rPr>
      <t xml:space="preserve">,                          </t>
    </r>
    <r>
      <rPr>
        <rFont val="Calibri"/>
        <color rgb="FF0000FF"/>
      </rPr>
      <t>Extra: P - 0.01</t>
    </r>
  </si>
  <si>
    <t>Dr. Jayanti</t>
  </si>
  <si>
    <t>Pending: R - 0.75, C - 0.06, P - 0.05</t>
  </si>
  <si>
    <t>Mandatory paper - 1, Mandatory patent - 1</t>
  </si>
  <si>
    <t>Mrs. Nidhi</t>
  </si>
  <si>
    <r>
      <rPr>
        <rFont val="Calibri"/>
        <color theme="1"/>
      </rPr>
      <t xml:space="preserve">2023-Aug-CSE-006, 2023-Nov-CSE-05  - 50% weightage considered.                               </t>
    </r>
    <r>
      <rPr>
        <rFont val="Calibri"/>
        <color rgb="FFCC0000"/>
      </rPr>
      <t>Pending: R - 0.17, Mandatory Paper- 0.5</t>
    </r>
  </si>
  <si>
    <t>Mrs. Debasmita Mishra</t>
  </si>
  <si>
    <t>Pending: R- 0.33, P- 0.08, Mandatory paper - 0.5, Mandatory patent - 1</t>
  </si>
  <si>
    <r>
      <rPr>
        <rFont val="Calibri"/>
        <color theme="1"/>
      </rPr>
      <t xml:space="preserve">2024-Apr-CSE-11 - 50% weightage considered.                                                          </t>
    </r>
    <r>
      <rPr>
        <rFont val="Calibri"/>
        <color rgb="FFCC0000"/>
      </rPr>
      <t xml:space="preserve">Pending: R - 0.17    </t>
    </r>
    <r>
      <rPr>
        <rFont val="Calibri"/>
        <color theme="1"/>
      </rPr>
      <t xml:space="preserve">                            </t>
    </r>
  </si>
  <si>
    <t>Dr. Guruvammal S</t>
  </si>
  <si>
    <t>Mrs. Lynsha Pratheeba (01 Aug. 2023)</t>
  </si>
  <si>
    <r>
      <rPr>
        <rFont val="Calibri"/>
        <color theme="1"/>
      </rPr>
      <t xml:space="preserve">2024-Feb-CSE-01 - 50% weightage.           </t>
    </r>
    <r>
      <rPr>
        <rFont val="Calibri"/>
        <color rgb="FFCC0000"/>
      </rPr>
      <t>Pending: R - 0.17</t>
    </r>
    <r>
      <rPr>
        <rFont val="Calibri"/>
        <color theme="1"/>
      </rPr>
      <t xml:space="preserve">,                                            </t>
    </r>
    <r>
      <rPr>
        <rFont val="Calibri"/>
        <color rgb="FF0000FF"/>
      </rPr>
      <t>Extra: Mandatory Paper- 0.08, Mandatory Patent- 0.08</t>
    </r>
  </si>
  <si>
    <t>Mrs. Rajeshwari (04 Sep. 2023)</t>
  </si>
  <si>
    <r>
      <rPr>
        <rFont val="Calibri"/>
        <color theme="1"/>
      </rPr>
      <t xml:space="preserve">2024-Feb-CSE-02 - 50% weightage.                 </t>
    </r>
    <r>
      <rPr>
        <rFont val="Calibri"/>
        <color rgb="FFCC0000"/>
      </rPr>
      <t xml:space="preserve">Pending: Mandatory Paper- 0.33,                       </t>
    </r>
    <r>
      <rPr>
        <rFont val="Calibri"/>
        <color rgb="FF0000FF"/>
      </rPr>
      <t>Extra: Mandatory Patent: 0.17</t>
    </r>
  </si>
  <si>
    <t>Mrs. Attar Mahay Sheetal (04 Sep. 2023)</t>
  </si>
  <si>
    <r>
      <rPr>
        <rFont val="Calibri"/>
        <color rgb="FFCC0000"/>
      </rPr>
      <t xml:space="preserve">Pending:  Mandatory patent - 0.83,                             </t>
    </r>
    <r>
      <rPr>
        <rFont val="Calibri"/>
        <color rgb="FF0000FF"/>
      </rPr>
      <t>Extra: R- 0.08, Mandatory paper - 0.17</t>
    </r>
  </si>
  <si>
    <t>Mr. Arpit Sharma (03 Oct. 2023)</t>
  </si>
  <si>
    <t>Mandatory paper - 0.75, Mandatory patent - 0.75</t>
  </si>
  <si>
    <t>Mrs.Ranjini K (29th January)</t>
  </si>
  <si>
    <t>Pending: R- 0.14, Mandatory paper - 0.41, Mandatory patent - 0.41</t>
  </si>
  <si>
    <t>Mrs.Pooja (12th February)</t>
  </si>
  <si>
    <t>Pending: R- 0.14, Mandatory paper - 0.33, Mandatory patent - 0.33</t>
  </si>
  <si>
    <t>Mrs.Hemangi Goswami (12th February)</t>
  </si>
  <si>
    <t>Pending:  Mandatory paper - 0.33, Mandatory patent - 0.33</t>
  </si>
  <si>
    <t>Dr M. Farida Begam</t>
  </si>
  <si>
    <t>2023-Jul-ISE-007</t>
  </si>
  <si>
    <t>Dr. Senthil Velan.S</t>
  </si>
  <si>
    <r>
      <rPr>
        <rFont val="Calibri"/>
        <color rgb="FFCC0000"/>
      </rPr>
      <t>Pending: C - 1.01, P - 0.1</t>
    </r>
    <r>
      <rPr>
        <rFont val="Calibri"/>
        <color theme="1"/>
      </rPr>
      <t xml:space="preserve">, </t>
    </r>
    <r>
      <rPr>
        <rFont val="Calibri"/>
        <color rgb="FF0000FF"/>
      </rPr>
      <t>Extra: R - 0.25, Mandatory Patent - 0.24</t>
    </r>
  </si>
  <si>
    <t>Dr.Swathi.Y</t>
  </si>
  <si>
    <t>Prof. Sudhakar Transfer load completion status- RP-1, C-0.15, M. Paper-2</t>
  </si>
  <si>
    <t>Dr.Srividya R</t>
  </si>
  <si>
    <t>Extra: R-0.31, C-0.02, Mandatory Patent-0.24</t>
  </si>
  <si>
    <t>2023-Aug-ISE-002</t>
  </si>
  <si>
    <t>Dr.Seetha</t>
  </si>
  <si>
    <r>
      <rPr>
        <rFont val="Calibri"/>
        <color theme="1"/>
      </rPr>
      <t xml:space="preserve">2024-May-ISE-001  2024-May-ISE-004 (50% weightage). 
</t>
    </r>
    <r>
      <rPr>
        <rFont val="Calibri"/>
        <color rgb="FFCC0000"/>
      </rPr>
      <t>Pending: R - 0.02, C - 0.519, P - 0.17, I - 0.09, E - 0.36,</t>
    </r>
    <r>
      <rPr>
        <rFont val="Calibri"/>
        <color theme="1"/>
      </rPr>
      <t xml:space="preserve"> 
</t>
    </r>
    <r>
      <rPr>
        <rFont val="Calibri"/>
        <color rgb="FF0000FF"/>
      </rPr>
      <t>Extra: Mandatory Patent - 0.17</t>
    </r>
  </si>
  <si>
    <t>Mrs.Shilpa Pandey</t>
  </si>
  <si>
    <t>Extra: R - 0.16, P - 0.05, Mandatory Patent - 0.08</t>
  </si>
  <si>
    <t>Mr Abhisek Midya</t>
  </si>
  <si>
    <t>Vyshali Rao</t>
  </si>
  <si>
    <t>Extra: R-0.83</t>
  </si>
  <si>
    <t>0.67 Mandatory paper Completed.</t>
  </si>
  <si>
    <t>2023-Oct-ISE-001</t>
  </si>
  <si>
    <t>Devi Shivashankari</t>
  </si>
  <si>
    <t>Dr.Poorani</t>
  </si>
  <si>
    <r>
      <rPr>
        <rFont val="Calibri"/>
        <color rgb="FF000000"/>
      </rPr>
      <t xml:space="preserve">2023-Nov-ISE-001-50% weightage.,  2023-July-ISE-002- Need proper proof of acceptance. </t>
    </r>
    <r>
      <rPr>
        <rFont val="Calibri"/>
        <color rgb="FFCC0000"/>
      </rPr>
      <t>Pending: R - 0.23, E - 0.584</t>
    </r>
    <r>
      <rPr>
        <rFont val="Calibri"/>
        <color rgb="FF000000"/>
      </rPr>
      <t xml:space="preserve">, </t>
    </r>
    <r>
      <rPr>
        <rFont val="Calibri"/>
        <color rgb="FF0000FF"/>
      </rPr>
      <t>Extra: C - 0.005, P - 0.03, Mandatory Patent - 0.53</t>
    </r>
  </si>
  <si>
    <t>0.39+0.428</t>
  </si>
  <si>
    <t>1.21+0.192</t>
  </si>
  <si>
    <t>0.18+0.21</t>
  </si>
  <si>
    <t>0.5 M.Paper Completed, 1.55 M.paper completed, 0.5R load completed, 0.225 R completed, 0.115R completed</t>
  </si>
  <si>
    <t>Sugunadevi C</t>
  </si>
  <si>
    <r>
      <rPr>
        <rFont val="Calibri"/>
        <color rgb="FF1155CC"/>
      </rPr>
      <t>Extra: R-0.3, P-0.02</t>
    </r>
    <r>
      <rPr>
        <rFont val="Calibri"/>
        <color rgb="FF000000"/>
      </rPr>
      <t xml:space="preserve">, </t>
    </r>
    <r>
      <rPr>
        <rFont val="Calibri"/>
        <color rgb="FFCC0000"/>
      </rPr>
      <t>Pending: C-0.114</t>
    </r>
  </si>
  <si>
    <t>Arvind R</t>
  </si>
  <si>
    <r>
      <rPr>
        <rFont val="Calibri"/>
        <color rgb="FF000000"/>
      </rPr>
      <t xml:space="preserve"> </t>
    </r>
    <r>
      <rPr>
        <rFont val="Calibri"/>
        <color rgb="FFCC0000"/>
      </rPr>
      <t xml:space="preserve">Pending: C-0.114,  
</t>
    </r>
    <r>
      <rPr>
        <rFont val="Calibri"/>
        <color rgb="FF1155CC"/>
      </rPr>
      <t>Extra: R - 0.085, P-0.06, Mandatory Patent- 0.03</t>
    </r>
  </si>
  <si>
    <r>
      <rPr>
        <rFont val="Calibri"/>
        <color rgb="FF990000"/>
      </rPr>
      <t xml:space="preserve">Pending : R-0.1, C-0.13, Mandatory Paper-1, </t>
    </r>
    <r>
      <rPr>
        <rFont val="Calibri"/>
        <color rgb="FF1155CC"/>
      </rPr>
      <t>Extra: P-0.01</t>
    </r>
  </si>
  <si>
    <t>Aparna N</t>
  </si>
  <si>
    <t>Chanchal</t>
  </si>
  <si>
    <r>
      <rPr>
        <rFont val="Calibri"/>
        <color theme="1"/>
      </rPr>
      <t xml:space="preserve">2023-Sep-ISE-004 - (Sharing equally with Prof.Shyam),  2024-JUN-ISE-013 - 50% weightage. 
</t>
    </r>
    <r>
      <rPr>
        <rFont val="Calibri"/>
        <color rgb="FFCC0000"/>
      </rPr>
      <t>Pending: Mandatory paper - 0.5</t>
    </r>
    <r>
      <rPr>
        <rFont val="Calibri"/>
        <color theme="1"/>
      </rPr>
      <t xml:space="preserve">, 
</t>
    </r>
    <r>
      <rPr>
        <rFont val="Calibri"/>
        <color rgb="FF0000FF"/>
      </rPr>
      <t>Extra: R - 0.05, I - 0.04</t>
    </r>
  </si>
  <si>
    <t>0.5R completed</t>
  </si>
  <si>
    <t>Suman Patil</t>
  </si>
  <si>
    <t>Ananya Paul New Faculty</t>
  </si>
  <si>
    <t>Komala Devi</t>
  </si>
  <si>
    <r>
      <rPr>
        <rFont val="Calibri"/>
        <color theme="1"/>
      </rPr>
      <t xml:space="preserve">2024-Apr-ISE-001 -50% weightage, 
</t>
    </r>
    <r>
      <rPr>
        <rFont val="Calibri"/>
        <color rgb="FF990000"/>
      </rPr>
      <t>Pending: E-0.13,</t>
    </r>
    <r>
      <rPr>
        <rFont val="Calibri"/>
        <color theme="1"/>
      </rPr>
      <t xml:space="preserve"> </t>
    </r>
    <r>
      <rPr>
        <rFont val="Calibri"/>
        <color rgb="FF1155CC"/>
      </rPr>
      <t>Extra: R-0.47</t>
    </r>
  </si>
  <si>
    <t>One Mandatory Paper completed.</t>
  </si>
  <si>
    <t>Deepa Harish (04 Sept. 23)</t>
  </si>
  <si>
    <r>
      <rPr>
        <rFont val="Calibri"/>
        <color rgb="FFCC0000"/>
      </rPr>
      <t>Pending: R - 0.035</t>
    </r>
    <r>
      <rPr>
        <rFont val="Calibri"/>
        <color theme="1"/>
      </rPr>
      <t xml:space="preserve">, 
</t>
    </r>
    <r>
      <rPr>
        <rFont val="Calibri"/>
        <color rgb="FF0000FF"/>
      </rPr>
      <t>Extra: Mandatory Patent - 0.17</t>
    </r>
  </si>
  <si>
    <t>Manasa C.H (04 Sept. 23)</t>
  </si>
  <si>
    <r>
      <rPr>
        <rFont val="Calibri"/>
        <color rgb="FFCC0000"/>
      </rPr>
      <t>Pending: R- 0.165,</t>
    </r>
    <r>
      <rPr>
        <rFont val="Calibri"/>
        <color theme="1"/>
      </rPr>
      <t xml:space="preserve">                                                            </t>
    </r>
    <r>
      <rPr>
        <rFont val="Calibri"/>
        <color rgb="FF0000FF"/>
      </rPr>
      <t>Extra:  Mandatory Patent - 0.17</t>
    </r>
  </si>
  <si>
    <t>Ciyamala Kushbu (04 Sept. 23)</t>
  </si>
  <si>
    <t>Extra: R - 0.33, P - 0.02, Mandatory Paper - 0.17, Mandatory Patent - 0.17</t>
  </si>
  <si>
    <t>Partha Chattopadhyay (04 Sept. 23) -Rsgnd.</t>
  </si>
  <si>
    <t>Poornima Manjunath (05 Oct. 23)</t>
  </si>
  <si>
    <t>Pending: R - 0.42, Mandatory Paper - 0.75, Mandatory Patent - 0.75</t>
  </si>
  <si>
    <t>Varsha L Jituri (16 Oct. 23)</t>
  </si>
  <si>
    <t>Pending: R - 0.21, Mandatory Paper - 0.66, Mandatory Patent - 0.66</t>
  </si>
  <si>
    <t>Nivedita V S (12 Oct. 23)</t>
  </si>
  <si>
    <t>Pending: R - 0.66, I - 0.08, Mandatory Paper - 0.66, Mandatory Patent - 0.66</t>
  </si>
  <si>
    <t>Sangeeta Bhanja Chaudhuri (25 Oct. 23)</t>
  </si>
  <si>
    <t>Saba Tahseen (25 Nov. 23)</t>
  </si>
  <si>
    <r>
      <rPr>
        <rFont val="Calibri"/>
        <color rgb="FFCC0000"/>
      </rPr>
      <t xml:space="preserve">Pending: R - 0.2, P - 0.08, Mandatory Paper - 0.58, 
</t>
    </r>
    <r>
      <rPr>
        <rFont val="Calibri"/>
        <color rgb="FF0000FF"/>
      </rPr>
      <t>Extra: Mandatory Patent - 0.42</t>
    </r>
  </si>
  <si>
    <t>0.583+1</t>
  </si>
  <si>
    <t>Rakesh Kumar (04 Dec. 23)</t>
  </si>
  <si>
    <t>Pending: R - 0.28, Mandatory Paper - 0.58, Mandatory Patent - 0.58</t>
  </si>
  <si>
    <t>Sheik Abdus Samad (04 Dec. 23)</t>
  </si>
  <si>
    <t>Upasana Mahajan (08 Dec. 23)-Rsgnd</t>
  </si>
  <si>
    <t>NF-Adhiti (26 Dec. 23 )</t>
  </si>
  <si>
    <t>Akhilaa (Partime -Hourly Basis)</t>
  </si>
  <si>
    <t>Neera Chaudhary (05 Feb. 24)</t>
  </si>
  <si>
    <t>Pending: R - 0.14, Mandatory Paper - 0.41, Mandatory Patent - 0.41</t>
  </si>
  <si>
    <t>Apurva Chaudhari (05 Feb. 24)</t>
  </si>
  <si>
    <t>Jayshree M (06 Mar. 24)</t>
  </si>
  <si>
    <r>
      <rPr>
        <rFont val="Calibri"/>
        <color rgb="FFCC0000"/>
        <sz val="10.0"/>
      </rPr>
      <t>Pending: I - 0.08</t>
    </r>
    <r>
      <rPr>
        <rFont val="Calibri"/>
        <color rgb="FF000000"/>
        <sz val="10.0"/>
      </rPr>
      <t xml:space="preserve">, 
</t>
    </r>
    <r>
      <rPr>
        <rFont val="Calibri"/>
        <color rgb="FF0000FF"/>
        <sz val="10.0"/>
      </rPr>
      <t>Extra: R - 0.21, P - 0.01, Mandatory Paper - 0.67, Mandatory Patent - 0.17</t>
    </r>
  </si>
  <si>
    <t>Akansha Akulwar (05 Mar. 24)</t>
  </si>
  <si>
    <t>Pending: R - 0.14, Mandatory Paper - 0.33, Mandatory Patent - 0.33</t>
  </si>
  <si>
    <t>Kanika Agrawal (18 Mar. 24)</t>
  </si>
  <si>
    <t>Pending: R - 0.14, Mandatory Paper - 0.25, Mandatory Patent - 0.25</t>
  </si>
  <si>
    <t>Vijayasanthi M (22 Apr. 24)</t>
  </si>
  <si>
    <t>Pending: R - 0.25, C - 0.067, I - 0.08, Mandatory Paper - 0.16, Mandatory Patent - 0.16</t>
  </si>
  <si>
    <t>Suruchi Sabherwal (06 May. 24)</t>
  </si>
  <si>
    <t>Pending: R - 0.11, C - 0.08, I - 0.08, Mandatory Paper - 0.16, Mandatory Patent - 0.16</t>
  </si>
  <si>
    <t>Extra: R - 0.21, P - 0.03, I - 0.12, E - 0.037</t>
  </si>
  <si>
    <t>Dr.S.Solai Manohar</t>
  </si>
  <si>
    <r>
      <rPr>
        <rFont val="Calibri"/>
        <color theme="1"/>
      </rPr>
      <t xml:space="preserve">2024-Feb-EEE-002 - proof is required with date of acceptance. 
</t>
    </r>
    <r>
      <rPr>
        <rFont val="Calibri"/>
        <color rgb="FFCC0000"/>
      </rPr>
      <t>Pending: R - 2.8, C - 1.42, P - 0.25, Mandatory Paper-1</t>
    </r>
  </si>
  <si>
    <r>
      <rPr>
        <rFont val="Calibri"/>
        <color theme="1"/>
      </rPr>
      <t xml:space="preserve">2024-May-EEE-002 - 50% weightage, </t>
    </r>
    <r>
      <rPr>
        <rFont val="Calibri"/>
        <color rgb="FF0000FF"/>
      </rPr>
      <t>Extra : E- 0.113 (0.08 from AY22-23+ 0.033 from AY 23-24), P - 0.02</t>
    </r>
    <r>
      <rPr>
        <rFont val="Calibri"/>
        <color theme="1"/>
      </rPr>
      <t xml:space="preserve">, </t>
    </r>
    <r>
      <rPr>
        <rFont val="Calibri"/>
        <color rgb="FFCC0000"/>
      </rPr>
      <t>Pending: Mandatory Paper - 0.5</t>
    </r>
  </si>
  <si>
    <t>Pending: R - 1.93, C - 2.76, Mandatory Paper - 2, Mandatory Patent - 2</t>
  </si>
  <si>
    <r>
      <rPr>
        <rFont val="Calibri"/>
        <color rgb="FF0000FF"/>
      </rPr>
      <t>Extra: R - 0.71, C - 0.037</t>
    </r>
    <r>
      <rPr>
        <rFont val="Calibri"/>
        <color theme="1"/>
      </rPr>
      <t>,</t>
    </r>
    <r>
      <rPr>
        <rFont val="Calibri"/>
        <color rgb="FFCC0000"/>
      </rPr>
      <t xml:space="preserve"> Pending: P - 0.03</t>
    </r>
  </si>
  <si>
    <t>2023-Dec-EEE-001</t>
  </si>
  <si>
    <r>
      <rPr>
        <rFont val="Calibri"/>
        <color theme="1"/>
      </rPr>
      <t xml:space="preserve">2023-Apr-EEE-001  - claimed in AY 22-23.
</t>
    </r>
    <r>
      <rPr>
        <rFont val="Calibri"/>
        <color rgb="FF0000FF"/>
      </rPr>
      <t>Extra: R - 0.17, C - 0.094, I - 0.3, Mandatory Patent - 0.75</t>
    </r>
  </si>
  <si>
    <t>2024-Mar-EEE-003</t>
  </si>
  <si>
    <r>
      <rPr>
        <rFont val="Calibri"/>
        <color theme="1"/>
      </rPr>
      <t xml:space="preserve">2024-Jun-EEE-T001 - Receipt and Form 1 missing. 
</t>
    </r>
    <r>
      <rPr>
        <rFont val="Calibri"/>
        <color rgb="FFCC0000"/>
      </rPr>
      <t>Pending: R - 0.14, E - 0.08, Mandatory Paper - 1, Mandatory Patent - 1</t>
    </r>
  </si>
  <si>
    <r>
      <rPr>
        <rFont val="Calibri"/>
        <color theme="1"/>
      </rPr>
      <t xml:space="preserve"> 2024-Apr-EEE-C002-Internal Participants are more than 40%, not considered.</t>
    </r>
    <r>
      <rPr>
        <rFont val="Calibri"/>
        <color rgb="FFCC0000"/>
      </rPr>
      <t xml:space="preserve"> 
Pending: R - 0.34, C - 0.04, I - 0.08</t>
    </r>
    <r>
      <rPr>
        <rFont val="Calibri"/>
        <color theme="1"/>
      </rPr>
      <t xml:space="preserve">, 
</t>
    </r>
    <r>
      <rPr>
        <rFont val="Calibri"/>
        <color rgb="FF0000FF"/>
      </rPr>
      <t>Extra: Mandatory Patent - 1</t>
    </r>
  </si>
  <si>
    <t>2024-Mar-EEE-002</t>
  </si>
  <si>
    <r>
      <rPr>
        <rFont val="Calibri"/>
        <color theme="1"/>
      </rPr>
      <t xml:space="preserve">2024-Apr-EEE-C002-Internal Participants are more than 40%, not considered. 
</t>
    </r>
    <r>
      <rPr>
        <rFont val="Calibri"/>
        <color rgb="FFCC0000"/>
      </rPr>
      <t>Pending: R - 0.02, C - 0.04</t>
    </r>
  </si>
  <si>
    <r>
      <rPr>
        <rFont val="Calibri"/>
        <color theme="1"/>
      </rPr>
      <t xml:space="preserve"> 
</t>
    </r>
    <r>
      <rPr>
        <rFont val="Calibri"/>
        <color rgb="FFCC0000"/>
      </rPr>
      <t>Pending: R - 1.31, C - 1.46, Mandatory Paper - 1</t>
    </r>
    <r>
      <rPr>
        <rFont val="Calibri"/>
        <color theme="1"/>
      </rPr>
      <t xml:space="preserve">,  
</t>
    </r>
    <r>
      <rPr>
        <rFont val="Calibri"/>
        <color rgb="FF0000FF"/>
      </rPr>
      <t>Extra: P - 0.02, E - 0.003</t>
    </r>
  </si>
  <si>
    <r>
      <rPr>
        <rFont val="Calibri"/>
        <color rgb="FFCC0000"/>
      </rPr>
      <t>Pending: R - 0.47, C - 0.283, Mandatory Paper -1</t>
    </r>
    <r>
      <rPr>
        <rFont val="Calibri"/>
        <color theme="1"/>
      </rPr>
      <t xml:space="preserve">, 
</t>
    </r>
    <r>
      <rPr>
        <rFont val="Calibri"/>
        <color rgb="FF0000FF"/>
      </rPr>
      <t>Extra: P - 0.06, I - 0.07</t>
    </r>
  </si>
  <si>
    <r>
      <rPr>
        <rFont val="Calibri"/>
        <color rgb="FFCC0000"/>
      </rPr>
      <t>Pending: R - 0.23, C - 0.143</t>
    </r>
    <r>
      <rPr>
        <rFont val="Calibri"/>
        <color theme="1"/>
      </rPr>
      <t xml:space="preserve">, 
</t>
    </r>
    <r>
      <rPr>
        <rFont val="Calibri"/>
        <color rgb="FF0000FF"/>
      </rPr>
      <t>Extra: P - 0.06</t>
    </r>
  </si>
  <si>
    <t>Q2-2023-Aug-BS-004</t>
  </si>
  <si>
    <r>
      <rPr>
        <rFont val="Calibri"/>
        <color rgb="FF990000"/>
      </rPr>
      <t xml:space="preserve">Pending: R-1.16, C-0.1, I-0.67, E-0.56, Mandatory paper-3, Mandatory Patent-3, </t>
    </r>
    <r>
      <rPr>
        <rFont val="Calibri"/>
        <color rgb="FF1155CC"/>
      </rPr>
      <t>Extra: P- 0.07</t>
    </r>
  </si>
  <si>
    <t>Pending: R - 0.74, C - 0.15, P - 0.03, E - 0.02, Mandatory Paper - 1, Mandatory Patent -1</t>
  </si>
  <si>
    <r>
      <rPr>
        <rFont val="Calibri"/>
        <color theme="1"/>
      </rPr>
      <t xml:space="preserve">2023-Mar-BS-005 -50% weightage, 
</t>
    </r>
    <r>
      <rPr>
        <rFont val="Calibri"/>
        <color rgb="FFCC0000"/>
      </rPr>
      <t>Pending: C - 0.143, P - 0.03, E - 0.02</t>
    </r>
    <r>
      <rPr>
        <rFont val="Calibri"/>
        <color theme="1"/>
      </rPr>
      <t>,</t>
    </r>
    <r>
      <rPr>
        <rFont val="Calibri"/>
        <color rgb="FF0000FF"/>
      </rPr>
      <t xml:space="preserve"> 
Extra: R - 0.54, I - 0.16, Mandatory Patent -1 </t>
    </r>
  </si>
  <si>
    <t>Q1(2023-May-BS-002)</t>
  </si>
  <si>
    <r>
      <rPr>
        <rFont val="Calibri"/>
        <color rgb="FF990000"/>
      </rPr>
      <t>Pending: R-0.59, C-0.053, P-0.03, Mandatory paper-1.67,</t>
    </r>
    <r>
      <rPr>
        <rFont val="Calibri"/>
        <color theme="1"/>
      </rPr>
      <t xml:space="preserve"> E</t>
    </r>
    <r>
      <rPr>
        <rFont val="Calibri"/>
        <color rgb="FF1155CC"/>
      </rPr>
      <t>xtra: Mandatory Patent-0.33</t>
    </r>
  </si>
  <si>
    <t>Dr. Varsha B (01 Mar. 24)</t>
  </si>
  <si>
    <r>
      <rPr>
        <rFont val="Calibri"/>
        <color rgb="FFCC0000"/>
      </rPr>
      <t>Pending: R - 0.19, Mandatory Patent - 0.33</t>
    </r>
    <r>
      <rPr>
        <rFont val="Calibri"/>
        <color theme="1"/>
      </rPr>
      <t xml:space="preserve">, 
</t>
    </r>
    <r>
      <rPr>
        <rFont val="Calibri"/>
        <color rgb="FF0000FF"/>
      </rPr>
      <t xml:space="preserve">Extra: P - 0.03 </t>
    </r>
  </si>
  <si>
    <t>Dr. Raveesha K.H</t>
  </si>
  <si>
    <r>
      <rPr>
        <rFont val="Calibri"/>
        <color rgb="FFCC0000"/>
      </rPr>
      <t>Pending: R - 1.13, C - 0.34, E - 0.116, Mandatory Paper - 3,</t>
    </r>
    <r>
      <rPr>
        <rFont val="Calibri"/>
        <color theme="1"/>
      </rPr>
      <t xml:space="preserve"> 
</t>
    </r>
    <r>
      <rPr>
        <rFont val="Calibri"/>
        <color rgb="FF0000FF"/>
      </rPr>
      <t>Extra: I - 0.16</t>
    </r>
  </si>
  <si>
    <t>Pending: R - 0.28, C - 0.67, P - 0.07, E - 0.02</t>
  </si>
  <si>
    <t>Q1(2023-Aug-BS-001), Q2(2024-Feb-BS-002)</t>
  </si>
  <si>
    <r>
      <rPr>
        <rFont val="Calibri"/>
        <color theme="1"/>
      </rPr>
      <t xml:space="preserve">2024-JUN-BS-T011, 2024-JUN-BS-T012, 2024-JUN-BS-I001 - IPF missing, Filed on July 1st need principal approval. 
</t>
    </r>
    <r>
      <rPr>
        <rFont val="Calibri"/>
        <color rgb="FFCC0000"/>
      </rPr>
      <t>Pending: R - 1.16, C - 0.14, I - 1.25, E - 0.49, Mandatory Paper - 3, Mandatory Patent - 3</t>
    </r>
  </si>
  <si>
    <t>Dr. M. Antony Lilly Grace</t>
  </si>
  <si>
    <t>Pending: R-1.12, C-0.24, E-0.016</t>
  </si>
  <si>
    <t>1(2019-Nov-BS-001)</t>
  </si>
  <si>
    <t>Mrs. Sudarshana .R</t>
  </si>
  <si>
    <t>Pending: R-1.91, C-0.04, E-0.02, Mandatory Paper-4</t>
  </si>
  <si>
    <t>1+0.513</t>
  </si>
  <si>
    <r>
      <rPr>
        <rFont val="Calibri"/>
        <color theme="1"/>
      </rPr>
      <t xml:space="preserve"> 
Extra papers for incentive- 2021-Apr-Bs-001 , 2022-Oct-Bs-004, 2022-Dec-BS-001, 2023-Dec-BS-002, 2023-Feb-BS-005 (50%), 2023-May-BS-003(50%) (Verified) - cannot be carried forward. 
</t>
    </r>
    <r>
      <rPr>
        <rFont val="Calibri"/>
        <color rgb="FFCC0000"/>
      </rPr>
      <t>Pending: C - 0.12, P - 0.01, I - 0.09, E - 0.016</t>
    </r>
    <r>
      <rPr>
        <rFont val="Calibri"/>
        <color theme="1"/>
      </rPr>
      <t xml:space="preserve">,  
</t>
    </r>
    <r>
      <rPr>
        <rFont val="Calibri"/>
        <color rgb="FF0000FF"/>
      </rPr>
      <t>Extra: R - 0.68</t>
    </r>
  </si>
  <si>
    <t>2 (2020-Dec-BS-006, Q2-2023-Dec-BS-004))</t>
  </si>
  <si>
    <t>Dr.Ramdas Balan</t>
  </si>
  <si>
    <t>Pending: R - 0.22, C - 0.91, P - 0.11, I - 0.78, E - 0.02</t>
  </si>
  <si>
    <t>Q2-2023-Dec-BS-001</t>
  </si>
  <si>
    <t>Dr. Vedavathi (12 Feb.2024)</t>
  </si>
  <si>
    <t>Pending: Mandatory paper- 0.33, Mandatory patent- 0.33</t>
  </si>
  <si>
    <r>
      <rPr>
        <rFont val="Calibri"/>
        <color theme="1"/>
      </rPr>
      <t xml:space="preserve">2023-Sep-ISE-004 - Saring equally with Prof.Aneswara. </t>
    </r>
    <r>
      <rPr>
        <rFont val="Calibri"/>
        <color rgb="FFCC0000"/>
      </rPr>
      <t>Pending: R - 1.65, C - 0.21, P - 0.37, I - 0.75, E - 0.21, Mandatory paper- 2.5, Mandatory patent - 2</t>
    </r>
  </si>
  <si>
    <t>Prabhakara S (16 Oct. 23)</t>
  </si>
  <si>
    <t>Pending:  C - 0.42, P - 0.21,I - 0.25, E - 0.21, Mandatory Paper- 0.67, Mandatory Patent - 0.67</t>
  </si>
  <si>
    <t>Mitul P (15 Sept. 23)</t>
  </si>
  <si>
    <t>Pending: C - 0.722, P - 0.42, E - 0.5, Mandatory Paper- 0.75, Mandatory Patent- 0.75</t>
  </si>
  <si>
    <t>Novy Jacob (11 Sept. 23)</t>
  </si>
  <si>
    <r>
      <rPr>
        <rFont val="Calibri"/>
        <color theme="1"/>
      </rPr>
      <t xml:space="preserve"> 2024-Feb-AIML-001 - 50% weightage.                    </t>
    </r>
    <r>
      <rPr>
        <rFont val="Calibri"/>
        <color rgb="FFCC0000"/>
      </rPr>
      <t>Pending:  R - 0.05, E - 0.1, Mandatory Paper - 0.25</t>
    </r>
    <r>
      <rPr>
        <rFont val="Calibri"/>
        <color theme="1"/>
      </rPr>
      <t xml:space="preserve">,                                                                           </t>
    </r>
    <r>
      <rPr>
        <rFont val="Calibri"/>
        <color rgb="FF0000FF"/>
      </rPr>
      <t>Extra: I - 0.06, Mandatory patent- 0.25</t>
    </r>
  </si>
  <si>
    <t>Harshvardhan Das (02 Nov. 23)</t>
  </si>
  <si>
    <r>
      <rPr>
        <rFont val="Calibri"/>
        <color theme="1"/>
      </rPr>
      <t xml:space="preserve">2023-Dec-AIML-002, 2024-Jan-AIML-002- Acceptance prrof is required.                          </t>
    </r>
    <r>
      <rPr>
        <rFont val="Calibri"/>
        <color rgb="FFCC0000"/>
      </rPr>
      <t>Pending: R - 0.83, C - 0.42, P - 0.75, E - 0.5, Mandatory Paper- 0.67, Mandatory Patent - 0.67</t>
    </r>
  </si>
  <si>
    <t>Shivani Gupta (11 Sept. 23)</t>
  </si>
  <si>
    <r>
      <rPr>
        <rFont val="Calibri"/>
        <color rgb="FFCC0000"/>
      </rPr>
      <t>Pending: Mandatory Paper - 0.75</t>
    </r>
    <r>
      <rPr>
        <rFont val="Calibri"/>
        <color theme="1"/>
      </rPr>
      <t xml:space="preserve">,                   </t>
    </r>
    <r>
      <rPr>
        <rFont val="Calibri"/>
        <color rgb="FF0000FF"/>
      </rPr>
      <t>Extra: Mandatory Patent: 0.25</t>
    </r>
  </si>
  <si>
    <t>Anjana Tiwari (24 Jul.23)</t>
  </si>
  <si>
    <t>Pending: R - 0.2, Mandatory Paper - 1</t>
  </si>
  <si>
    <t>Adarsh Benjamin (21 Jun.23)</t>
  </si>
  <si>
    <t xml:space="preserve"> Pending: R - 0.33, Mandatory Paper- 1, Mandatory Patent - 1</t>
  </si>
  <si>
    <t>Navya VK (25 Oct. 23)</t>
  </si>
  <si>
    <r>
      <rPr>
        <rFont val="Calibri"/>
        <color rgb="FFCC0000"/>
      </rPr>
      <t xml:space="preserve"> Pending: R - 0.32, Mandatory Paper- 0.17,                       </t>
    </r>
    <r>
      <rPr>
        <rFont val="Calibri"/>
        <color rgb="FF0000FF"/>
      </rPr>
      <t>Extra: Mandatory Patent - 0.33</t>
    </r>
  </si>
  <si>
    <t>Jeevitha R (03 Nov. 23)</t>
  </si>
  <si>
    <t>Pending: R - 0.32, Mandatory Paper- 0.67, Mandatory Patent - 0.67</t>
  </si>
  <si>
    <t>Priyanka T (02 Nov. 23)</t>
  </si>
  <si>
    <r>
      <rPr>
        <rFont val="Calibri"/>
        <color theme="1"/>
      </rPr>
      <t>2024-Apr-AIML-P001 - Non-Research proposal,</t>
    </r>
    <r>
      <rPr>
        <rFont val="Calibri"/>
        <color rgb="FFCC0000"/>
      </rPr>
      <t xml:space="preserve">                                                                        Pending: R - 0.32, Mandatory Paper- 0.67, Mandatory Patent - 0.67</t>
    </r>
  </si>
  <si>
    <t>Anshika Shukla (06 Nov. 23)</t>
  </si>
  <si>
    <r>
      <rPr>
        <rFont val="Calibri"/>
        <color theme="1"/>
      </rPr>
      <t xml:space="preserve">2024-Apr-AIML-P001 - Non-Research proposal. </t>
    </r>
    <r>
      <rPr>
        <rFont val="Calibri"/>
        <color rgb="FFCC0000"/>
      </rPr>
      <t>Pending: R - 0.63</t>
    </r>
    <r>
      <rPr>
        <rFont val="Calibri"/>
        <color theme="1"/>
      </rPr>
      <t xml:space="preserve">,                                                                  </t>
    </r>
    <r>
      <rPr>
        <rFont val="Calibri"/>
        <color rgb="FF0000FF"/>
      </rPr>
      <t>Extra: Mandatory Paper- 0.33, Mandatory Patent - 0.33</t>
    </r>
  </si>
  <si>
    <t>Divyamani - TA (9 Oct.23)</t>
  </si>
  <si>
    <t>Anjaneyulu Pasala</t>
  </si>
  <si>
    <t>2023-July-AIDS-T001 - IPF missing.  Pending: R - 0.15, C - 0.19, P - 0.17, I - 0.24, E - 0.12,  Mandatory Paper- 1, Mandatory Patent - 1</t>
  </si>
  <si>
    <t>Sam Gilvine Samuvel</t>
  </si>
  <si>
    <r>
      <rPr>
        <rFont val="Calibri"/>
        <color theme="1"/>
      </rPr>
      <t xml:space="preserve"> 2023-Apr-AIDS-001 - claimed in AY 22-23</t>
    </r>
    <r>
      <rPr>
        <rFont val="Calibri"/>
        <color rgb="FFFF0000"/>
      </rPr>
      <t xml:space="preserve">. Pending: R - 0.05, C - 0.34, P - 0.08, E - 0.17, Mandatory Patent - 1.43, 
</t>
    </r>
    <r>
      <rPr>
        <rFont val="Calibri"/>
        <color rgb="FF0000FF"/>
      </rPr>
      <t>Extra: I - 0.16</t>
    </r>
  </si>
  <si>
    <t>Vijay Anand P</t>
  </si>
  <si>
    <r>
      <rPr>
        <rFont val="Calibri"/>
        <color rgb="FFCC0000"/>
      </rPr>
      <t>Pending: C - 0.05, P - 0.08, I - 0.1, E - 0.04, Mandatory Patent - 0.67</t>
    </r>
    <r>
      <rPr>
        <rFont val="Calibri"/>
        <color theme="1"/>
      </rPr>
      <t xml:space="preserve">, 
</t>
    </r>
    <r>
      <rPr>
        <rFont val="Calibri"/>
        <color rgb="FF0000FF"/>
      </rPr>
      <t>Extra: R - 0.07</t>
    </r>
  </si>
  <si>
    <t>2023-Dec-AIDS-001</t>
  </si>
  <si>
    <t>Shubha Rao (4-Sept-2023)</t>
  </si>
  <si>
    <t xml:space="preserve"> Pending: R - 0.38, C - 0.08, I - 0.08, Mandatory Paper- 1, Mandatory Patent - 1</t>
  </si>
  <si>
    <t>Mandatory paper completed</t>
  </si>
  <si>
    <t>Rinisha B (24-Jul-2023)</t>
  </si>
  <si>
    <t xml:space="preserve"> Pending: R - 0.38, C - 0.06, P - 0.03, I - 0.12, E - 0.09, Mandatory Paper- 0.91, Mandatory Patent - 0.91</t>
  </si>
  <si>
    <t>Anushree G (4-Sept.-2023)</t>
  </si>
  <si>
    <t xml:space="preserve"> Pending: R - 0.17, C - 0.02, Mandatory Paper- 0.83, Mandatory Patent - 0.83</t>
  </si>
  <si>
    <t>Rencita Maria Colaco (15-Nov-2023)</t>
  </si>
  <si>
    <t xml:space="preserve"> Pending: R - 0.35, C - 0.13, P - 0.17, Mandatory Paper- 0.58, Mandatory Patent - 0.58</t>
  </si>
  <si>
    <t>Sunil Kumar (26-Dec-2023)</t>
  </si>
  <si>
    <t xml:space="preserve"> Pending: R - 0.35, C - 0.15, P - 0.08, Mandatory Paper- 0.5, Mandatory Patent - 0.5</t>
  </si>
  <si>
    <t>Roma K (11-Dec-2023)</t>
  </si>
  <si>
    <t xml:space="preserve"> Pending: R - 0.33, I - 0.01, Mandatory Paper- 0.5, Mandatory Patent - 0.5</t>
  </si>
  <si>
    <t>Mrs. Jareena Begum (Teaching Assistant)</t>
  </si>
  <si>
    <t xml:space="preserve"> Pending: R - 0.42, C - 0.04, P - 0.08, I - 0.08</t>
  </si>
  <si>
    <t>Rekha P (Teaching Assistant)</t>
  </si>
  <si>
    <t>Pending: R - 0.14</t>
  </si>
  <si>
    <t>K.Meenakshi</t>
  </si>
  <si>
    <t>MAT</t>
  </si>
  <si>
    <r>
      <rPr>
        <rFont val="Calibri"/>
        <color theme="1"/>
      </rPr>
      <t xml:space="preserve">2024-Apr-BS-T002 - Equally shared with Keka madam.  
</t>
    </r>
    <r>
      <rPr>
        <rFont val="Calibri"/>
        <color rgb="FFCC0000"/>
      </rPr>
      <t>Pending: C - 0.091, E - 0.147</t>
    </r>
    <r>
      <rPr>
        <rFont val="Calibri"/>
        <color theme="1"/>
      </rPr>
      <t xml:space="preserve">, 
</t>
    </r>
    <r>
      <rPr>
        <rFont val="Calibri"/>
        <color rgb="FF0000FF"/>
      </rPr>
      <t>Extra: R - 1.06, I - 0.02, P -0.03</t>
    </r>
  </si>
  <si>
    <t>Shweta</t>
  </si>
  <si>
    <t>Nidhi</t>
  </si>
  <si>
    <t>Pending: R - 0.09, C - 0.19, P - 0.08, E - 0.03</t>
  </si>
  <si>
    <t>Rajendra</t>
  </si>
  <si>
    <r>
      <rPr>
        <rFont val="Calibri"/>
        <color theme="1"/>
      </rPr>
      <t>2024-Jan-BS-001 - RC ID taken after communication with Journal (50% weightage considered).</t>
    </r>
    <r>
      <rPr>
        <rFont val="Calibri"/>
        <color rgb="FFCC0000"/>
      </rPr>
      <t xml:space="preserve">                       Pending: C - 0.352, P - 0.21, E - 0.06</t>
    </r>
  </si>
  <si>
    <t>Narasimha Rao(Sep 22)</t>
  </si>
  <si>
    <t>Pending: P - 0.08, C - 0.089, E - 0.04, Mandatory Patent - 0.8</t>
  </si>
  <si>
    <t>Kishore(Joined in Oct 22)</t>
  </si>
  <si>
    <r>
      <rPr>
        <rFont val="Calibri"/>
        <color rgb="FFCC0000"/>
      </rPr>
      <t>Pending: C - 0.057, E - 0.02,</t>
    </r>
    <r>
      <rPr>
        <rFont val="Calibri"/>
        <color theme="1"/>
      </rPr>
      <t xml:space="preserve">                                                                    </t>
    </r>
    <r>
      <rPr>
        <rFont val="Calibri"/>
        <color rgb="FF0000FF"/>
      </rPr>
      <t>Extra: R - 0.12, Mandatory Paper- 0.25, Mandatory Patent- 0.25</t>
    </r>
  </si>
  <si>
    <t>Hanumantha</t>
  </si>
  <si>
    <t>Pending: R - 0.86, C - 0.461, P - 0.42, I - 0.06,  E - 0.04</t>
  </si>
  <si>
    <t>Pratap</t>
  </si>
  <si>
    <r>
      <rPr>
        <rFont val="Calibri"/>
        <color theme="1"/>
      </rPr>
      <t xml:space="preserve">2024-May-BS-T001 - Form 1 &amp; receipt tiltle different.                                                         </t>
    </r>
    <r>
      <rPr>
        <rFont val="Calibri"/>
        <color rgb="FFCC0000"/>
      </rPr>
      <t>Pending: R - 0.58, C - 0.288, P - 0.17, E - 0.05, Mandatory paper - 1,</t>
    </r>
    <r>
      <rPr>
        <rFont val="Calibri"/>
        <color theme="1"/>
      </rPr>
      <t xml:space="preserve">                                   </t>
    </r>
    <r>
      <rPr>
        <rFont val="Calibri"/>
        <color rgb="FF0000FF"/>
      </rPr>
      <t>Extra: Mandatory patent - 1.5</t>
    </r>
  </si>
  <si>
    <t>Asha K N</t>
  </si>
  <si>
    <r>
      <rPr>
        <rFont val="Calibri"/>
        <color rgb="FFCC0000"/>
      </rPr>
      <t>Pending: R - 0.63, C - 0.227, I - 0.04, E - 0.04</t>
    </r>
    <r>
      <rPr>
        <rFont val="Calibri"/>
        <color theme="1"/>
      </rPr>
      <t xml:space="preserve">                                          </t>
    </r>
  </si>
  <si>
    <t>Uma</t>
  </si>
  <si>
    <t>Pending: R - 0.18, C - 0.19, E - 0.04</t>
  </si>
  <si>
    <t>Balaji(Joined in Jan 2023)</t>
  </si>
  <si>
    <t>Pending: C - 0.037, P - 0.04, E - 0.02,                Extra: Mandatory paper - 0.5, R - 0.02</t>
  </si>
  <si>
    <t>Shivakumar(Joined in Apr 22)</t>
  </si>
  <si>
    <t>Pending: R - 0.07, C - 0.21, P - 0.08, E - 0.04</t>
  </si>
  <si>
    <t>Padmavathi(Joined in Oct 22)</t>
  </si>
  <si>
    <t>Pending: R - 0.26, C - 0.117, E - 0.04, Mandatory Paper - 0.75, Mandatory Patent - 0.75</t>
  </si>
  <si>
    <t>Dipansha(Joined in May 2023)</t>
  </si>
  <si>
    <t>Pending: R - 0.14, Mandatory Paper - 1, Mandatory Patent - 1</t>
  </si>
  <si>
    <t>Gokul (12 Feb. 24)</t>
  </si>
  <si>
    <r>
      <rPr>
        <rFont val="Calibri"/>
        <color rgb="FFCC0000"/>
      </rPr>
      <t xml:space="preserve">Pending: R - 0.42, Mandatory Paper - 0.33, </t>
    </r>
    <r>
      <rPr>
        <rFont val="Calibri"/>
        <color rgb="FF0000FF"/>
      </rPr>
      <t>Extra: Mandatory Patent - 0.17</t>
    </r>
  </si>
  <si>
    <t>Archie Thakur (1 Mar 24)</t>
  </si>
  <si>
    <r>
      <rPr>
        <rFont val="Calibri"/>
        <color rgb="FFCC0000"/>
      </rPr>
      <t>Pending: Mandatory patent - 0.33,</t>
    </r>
    <r>
      <rPr>
        <rFont val="Calibri"/>
        <color theme="1"/>
      </rPr>
      <t xml:space="preserve"> </t>
    </r>
    <r>
      <rPr>
        <rFont val="Calibri"/>
        <color rgb="FF0000FF"/>
      </rPr>
      <t>Extra: Mandatory paper - 0.67</t>
    </r>
  </si>
  <si>
    <t>Ms. Gomathi T</t>
  </si>
  <si>
    <t>Extra: R - 0.28, C - 0.02, P - 0.06, E - 0.003</t>
  </si>
  <si>
    <t>RP load Completed</t>
  </si>
  <si>
    <r>
      <rPr>
        <rFont val="Calibri"/>
        <color theme="1"/>
      </rPr>
      <t xml:space="preserve">2 2024-Jun-MCA-001 - 50% weightage,  
</t>
    </r>
    <r>
      <rPr>
        <rFont val="Calibri"/>
        <color rgb="FFCC0000"/>
      </rPr>
      <t>Pending: R - 0.13, C - 0.094, I - 0.18, E - 0.17, Mandatory paper - 2</t>
    </r>
    <r>
      <rPr>
        <rFont val="Calibri"/>
        <color theme="1"/>
      </rPr>
      <t xml:space="preserve">, 
</t>
    </r>
    <r>
      <rPr>
        <rFont val="Calibri"/>
        <color rgb="FF0000FF"/>
      </rPr>
      <t>Extra: P - 0.02</t>
    </r>
  </si>
  <si>
    <t>Pending: R - 0.63, C - 0.141, P - 0.09,  I - 0.24, E - 0.04, Mandatory Paper - 1</t>
  </si>
  <si>
    <t>Dr. Gnaneswari G</t>
  </si>
  <si>
    <r>
      <rPr>
        <rFont val="Calibri"/>
        <color rgb="FFCC0000"/>
      </rPr>
      <t>Pending: R - 0.94</t>
    </r>
    <r>
      <rPr>
        <rFont val="Calibri"/>
        <color theme="1"/>
      </rPr>
      <t xml:space="preserve">, 
</t>
    </r>
    <r>
      <rPr>
        <rFont val="Calibri"/>
        <color rgb="FF0000FF"/>
      </rPr>
      <t>Extra: C - 0.54, P - 0.03, E - 0.026</t>
    </r>
  </si>
  <si>
    <r>
      <rPr>
        <rFont val="Calibri"/>
        <color theme="1"/>
      </rPr>
      <t xml:space="preserve">
</t>
    </r>
    <r>
      <rPr>
        <rFont val="Calibri"/>
        <color rgb="FFCC0000"/>
      </rPr>
      <t>Pending: R - 0.15, C - 0.04</t>
    </r>
    <r>
      <rPr>
        <rFont val="Calibri"/>
        <color theme="1"/>
      </rPr>
      <t xml:space="preserve">, </t>
    </r>
    <r>
      <rPr>
        <rFont val="Calibri"/>
        <color rgb="FF0000FF"/>
      </rPr>
      <t>Extra: P - 0.07</t>
    </r>
  </si>
  <si>
    <r>
      <rPr>
        <rFont val="Calibri"/>
        <color rgb="FFCC0000"/>
      </rPr>
      <t>Pending: R - 0.15, I - 0.01</t>
    </r>
    <r>
      <rPr>
        <rFont val="Calibri"/>
        <color theme="1"/>
      </rPr>
      <t xml:space="preserve">, 
</t>
    </r>
    <r>
      <rPr>
        <rFont val="Calibri"/>
        <color rgb="FF0000FF"/>
      </rPr>
      <t>Extra: C - 0.006, P - 0.02</t>
    </r>
  </si>
  <si>
    <r>
      <rPr>
        <rFont val="Calibri"/>
        <color rgb="FFCC0000"/>
      </rPr>
      <t>Pending: C - 0.04</t>
    </r>
    <r>
      <rPr>
        <rFont val="Calibri"/>
        <color theme="1"/>
      </rPr>
      <t xml:space="preserve">, </t>
    </r>
    <r>
      <rPr>
        <rFont val="Calibri"/>
        <color rgb="FF0000FF"/>
      </rPr>
      <t>Extra: R - 0.03, P - 0.07</t>
    </r>
  </si>
  <si>
    <t>Ms. Dhivya R</t>
  </si>
  <si>
    <t>Extra: R - 0.45, C - 0.006, P - 0.06</t>
  </si>
  <si>
    <t>Extra: R - 0.03, C - 0.002, P - 0.07</t>
  </si>
  <si>
    <t>2023-Dec-MCA-001</t>
  </si>
  <si>
    <t>Ms. Sriraksha (04 Sept. 23)</t>
  </si>
  <si>
    <r>
      <rPr>
        <rFont val="Calibri"/>
        <color rgb="FFCC0000"/>
      </rPr>
      <t>Pending: Mandatory Paper - 0.83</t>
    </r>
    <r>
      <rPr>
        <rFont val="Calibri"/>
        <color theme="1"/>
      </rPr>
      <t xml:space="preserve">, 
</t>
    </r>
    <r>
      <rPr>
        <rFont val="Calibri"/>
        <color rgb="FF0000FF"/>
      </rPr>
      <t>Extra: Mandatory Patent - 0.17</t>
    </r>
  </si>
  <si>
    <t>Dr. Rajalakshmi (2 Nov.23)</t>
  </si>
  <si>
    <r>
      <rPr>
        <rFont val="Calibri"/>
        <color rgb="FFCC0000"/>
      </rPr>
      <t>Pending: R - 0.42, Mandatory Paper - 0.17</t>
    </r>
    <r>
      <rPr>
        <rFont val="Calibri"/>
        <color theme="1"/>
      </rPr>
      <t xml:space="preserve">, 
</t>
    </r>
    <r>
      <rPr>
        <rFont val="Calibri"/>
        <color rgb="FF0000FF"/>
      </rPr>
      <t>Extra: Mandatory Patent - 0.33</t>
    </r>
  </si>
  <si>
    <t>Dr. Bhawana Sharma</t>
  </si>
  <si>
    <t>Pending: R - 2.21, C - 0.04, Mandatory Patent - 2</t>
  </si>
  <si>
    <r>
      <rPr>
        <rFont val="Calibri"/>
        <color rgb="FFCC0000"/>
      </rPr>
      <t xml:space="preserve">Pending: R - 4.03, C - 0.218, P - 0.4, Mandatory Paper - 1.25, Mandatory Patent - 2, 
</t>
    </r>
    <r>
      <rPr>
        <rFont val="Calibri"/>
        <color rgb="FF0000FF"/>
      </rPr>
      <t>Extra: I - 0.11</t>
    </r>
  </si>
  <si>
    <t>Pending: R - 0.92, C - 0.113, Mandatory Paper - 1</t>
  </si>
  <si>
    <t>Dr. Sanjeev</t>
  </si>
  <si>
    <r>
      <rPr>
        <rFont val="Calibri"/>
        <color theme="1"/>
      </rPr>
      <t xml:space="preserve">2024-Feb-MBA-001 - Journal Not indexed in scopus, 2024-Jun-MBA-008A - 50% weightage. 
</t>
    </r>
    <r>
      <rPr>
        <rFont val="Calibri"/>
        <color rgb="FFCC0000"/>
      </rPr>
      <t>Pending: R - 1.99, C - 0.29, E - 0.3, Mandatory Paper - 1, Mandatory Patent - 3</t>
    </r>
  </si>
  <si>
    <t>Pending: R-1.66, C-0.09, E-0.5, Mandatory Paper-1, Mandatory Patent -3</t>
  </si>
  <si>
    <r>
      <rPr>
        <rFont val="Calibri"/>
        <color rgb="FFCC0000"/>
      </rPr>
      <t>Pending: Mandatory Patent - 2</t>
    </r>
    <r>
      <rPr>
        <rFont val="Calibri"/>
        <color theme="1"/>
      </rPr>
      <t xml:space="preserve">, 
</t>
    </r>
    <r>
      <rPr>
        <rFont val="Calibri"/>
        <color rgb="FF0000FF"/>
      </rPr>
      <t>Extra: E - 0.08</t>
    </r>
  </si>
  <si>
    <t>Prof. Manjunatha</t>
  </si>
  <si>
    <t>Prof. Kiran</t>
  </si>
  <si>
    <r>
      <rPr>
        <rFont val="Calibri"/>
        <color rgb="FF0000FF"/>
      </rPr>
      <t xml:space="preserve">Extra: C - 0.34, 
</t>
    </r>
    <r>
      <rPr>
        <rFont val="Calibri"/>
        <color rgb="FF000000"/>
      </rPr>
      <t>2024-Mar-MBA-005, 2024-Mar-MBA-006 - these papers cannot be carried forward.</t>
    </r>
  </si>
  <si>
    <r>
      <rPr>
        <rFont val="Calibri"/>
        <color theme="1"/>
      </rPr>
      <t xml:space="preserve">2023-APR-MBA-001, 2023-Jun-MBA-001  - Publication proof is missing, 2023-Oct-MBA-001 - not indexed in scopus. 
</t>
    </r>
    <r>
      <rPr>
        <rFont val="Calibri"/>
        <color rgb="FFCC0000"/>
      </rPr>
      <t>Pending: R - 1, P - 0.15, Mandatory Paper -2, Mandatory Patent - 2</t>
    </r>
  </si>
  <si>
    <t xml:space="preserve">Dr. Chandrika </t>
  </si>
  <si>
    <r>
      <rPr>
        <rFont val="Calibri"/>
        <color theme="1"/>
      </rPr>
      <t xml:space="preserve">2023-Dec-MBS-P001-Submission Proof is missing, 2023-Sep-MBA-004,2024-Apr-MBA-002 - scopus indexed proof required. 
</t>
    </r>
    <r>
      <rPr>
        <rFont val="Calibri"/>
        <color rgb="FFCC0000"/>
      </rPr>
      <t>Pending: R - 1.21, C - 0.04, P - 0.15, I - 0.5, Mandatory patent - 1</t>
    </r>
  </si>
  <si>
    <t>Prof. Bhavana</t>
  </si>
  <si>
    <t>Prof. Libeesh (1 April 2024)</t>
  </si>
  <si>
    <t>Pendging: Mandatory Paper - 0.25, Mandatory Patent - 0.25</t>
  </si>
  <si>
    <t>Prof. Bharatah C (3 Jun. 2024)</t>
  </si>
  <si>
    <t>Pendging: R - 0.42, Mandatory Paper - 0.08, Mandatory Patent - 0.08</t>
  </si>
  <si>
    <t>New faculty</t>
  </si>
  <si>
    <t>Mr. Guruprasad H C</t>
  </si>
  <si>
    <r>
      <rPr>
        <rFont val="Calibri"/>
        <color theme="1"/>
      </rPr>
      <t xml:space="preserve">2024-Apr-CIV-001 - 50% weightage. 
</t>
    </r>
    <r>
      <rPr>
        <rFont val="Calibri"/>
        <color rgb="FFCC0000"/>
      </rPr>
      <t>Pending: R - 0.25, C - 0.1, I - 0.33, Mandatory patent - 2.5</t>
    </r>
  </si>
  <si>
    <t>Mr. Ravi Kant Talluri</t>
  </si>
  <si>
    <r>
      <rPr>
        <rFont val="Calibri"/>
        <color rgb="FFCC0000"/>
      </rPr>
      <t xml:space="preserve">Pending: R-0.72, I - 0.04, Mandatory Paper-2, Mandatory Patent -2,                       </t>
    </r>
    <r>
      <rPr>
        <rFont val="Calibri"/>
        <color rgb="FF0000FF"/>
      </rPr>
      <t>Extra: C- 0.03</t>
    </r>
  </si>
  <si>
    <r>
      <rPr>
        <rFont val="Calibri"/>
        <color theme="1"/>
      </rPr>
      <t xml:space="preserve">2024-July-Civil-T001, 2023-JUN-CIVIL-T001 - Receipt, Form 1 missing.  
</t>
    </r>
    <r>
      <rPr>
        <rFont val="Calibri"/>
        <color rgb="FFCC0000"/>
      </rPr>
      <t>Pending: R - 0.52, C - 0.1, I - 0.34, E - 0.18,  Mandatory Paper-1, Mandatory Patent -1</t>
    </r>
  </si>
  <si>
    <t>Mr. Shivakumara</t>
  </si>
  <si>
    <t>Pending: R-0.5, C -0.22, I - 0.33, E-0.04. Mandatory Paper-1, Mandatory Patent -0.5</t>
  </si>
  <si>
    <r>
      <rPr>
        <rFont val="Calibri"/>
        <color rgb="FFCC0000"/>
      </rPr>
      <t>Pending: R-0.5, C -0.1, I - 0.33, Mandatory Paper- 0.58,</t>
    </r>
    <r>
      <rPr>
        <rFont val="Calibri"/>
        <color rgb="FF0000FF"/>
      </rPr>
      <t xml:space="preserve"> Extra: Mandatory Patent -0.42</t>
    </r>
  </si>
  <si>
    <t>Pending: C - 0.19, E - 0.04, Mandatory Paper- 2</t>
  </si>
  <si>
    <r>
      <rPr>
        <rFont val="Calibri"/>
        <color theme="1"/>
      </rPr>
      <t xml:space="preserve">M. Patent - 2023-Jun-Mech-T001, need clarity.                                                                                             </t>
    </r>
    <r>
      <rPr>
        <rFont val="Calibri"/>
        <color rgb="FFCC0000"/>
      </rPr>
      <t>Pending: R - 1.75, C - 0.81, P - 0.17, E - 0.34, Mandatory Paper- 2, Mandatory Patent- 2</t>
    </r>
  </si>
  <si>
    <r>
      <rPr>
        <rFont val="Calibri"/>
        <color rgb="FF434343"/>
      </rPr>
      <t xml:space="preserve"> 2024-Jun-Mech-P002 - proposal submitted before receiving RC ID.                                  </t>
    </r>
    <r>
      <rPr>
        <rFont val="Calibri"/>
        <color rgb="FFCC0000"/>
      </rPr>
      <t>Pending: P - 0.08</t>
    </r>
    <r>
      <rPr>
        <rFont val="Calibri"/>
        <color rgb="FF434343"/>
      </rPr>
      <t xml:space="preserve">,                          
</t>
    </r>
    <r>
      <rPr>
        <rFont val="Calibri"/>
        <color rgb="FF0000FF"/>
      </rPr>
      <t>EXtra: R - 0.44, C - 0.13, E - 0.017</t>
    </r>
  </si>
  <si>
    <t>2(Q2-2022-Nov-Mech-001, Q1-2023-Sep-Mech-002)</t>
  </si>
  <si>
    <t>Mr. Harish P</t>
  </si>
  <si>
    <r>
      <rPr>
        <rFont val="Calibri"/>
        <color rgb="FFCC0000"/>
      </rPr>
      <t>Pending: C - 0.2, E - 0.04</t>
    </r>
    <r>
      <rPr>
        <rFont val="Calibri"/>
        <color theme="1"/>
      </rPr>
      <t xml:space="preserve">, 
</t>
    </r>
    <r>
      <rPr>
        <rFont val="Calibri"/>
        <color rgb="FF0000FF"/>
      </rPr>
      <t>Extra: R - 0.07</t>
    </r>
  </si>
  <si>
    <t>Mr. Puneeth Kumar</t>
  </si>
  <si>
    <r>
      <rPr>
        <rFont val="Calibri"/>
        <color rgb="FFCC0000"/>
      </rPr>
      <t>Pending: C - 0.19, P - 0.08, E - 0.04</t>
    </r>
    <r>
      <rPr>
        <rFont val="Calibri"/>
        <color theme="1"/>
      </rPr>
      <t xml:space="preserve">,                         </t>
    </r>
    <r>
      <rPr>
        <rFont val="Calibri"/>
        <color rgb="FF0000FF"/>
      </rPr>
      <t>Extra : R - 0.02</t>
    </r>
  </si>
  <si>
    <t>Mr.Venkatesh Naik</t>
  </si>
  <si>
    <r>
      <rPr>
        <rFont val="Calibri"/>
        <color rgb="FFCC0000"/>
      </rPr>
      <t>Pending: C - 0.19, P - 0.08, E - 0.04</t>
    </r>
    <r>
      <rPr>
        <rFont val="Calibri"/>
        <color theme="1"/>
      </rPr>
      <t xml:space="preserve">,                         </t>
    </r>
    <r>
      <rPr>
        <rFont val="Calibri"/>
        <color rgb="FF0000FF"/>
      </rPr>
      <t>Extra : R - 0.27, I - 0.055</t>
    </r>
  </si>
  <si>
    <t>Mr. Narendra N</t>
  </si>
  <si>
    <r>
      <rPr>
        <rFont val="Calibri"/>
        <color rgb="FF000000"/>
      </rPr>
      <t xml:space="preserve">
</t>
    </r>
    <r>
      <rPr>
        <rFont val="Calibri"/>
        <color rgb="FF0000FF"/>
      </rPr>
      <t>Extra: R - 0.83, P - 0.05, I - 0.055, C - 0.003</t>
    </r>
  </si>
  <si>
    <t>Mr. Prashant Hatti</t>
  </si>
  <si>
    <r>
      <rPr>
        <rFont val="Calibri"/>
        <color theme="1"/>
      </rPr>
      <t xml:space="preserve">  
</t>
    </r>
    <r>
      <rPr>
        <rFont val="Calibri"/>
        <color rgb="FFCC0000"/>
      </rPr>
      <t>Pending: C - 0.19, I - 0.46, E - 0.04</t>
    </r>
    <r>
      <rPr>
        <rFont val="Calibri"/>
        <color theme="1"/>
      </rPr>
      <t>,</t>
    </r>
    <r>
      <rPr>
        <rFont val="Calibri"/>
        <color rgb="FF0000FF"/>
      </rPr>
      <t xml:space="preserve"> 
Extra: R - 0.52</t>
    </r>
  </si>
  <si>
    <t>Pending: R- 1.67, C-0.14, E-0.04, Mandatory Paper-3, Mandatory Patent -3</t>
  </si>
  <si>
    <t>Mr.Vinay M N</t>
  </si>
  <si>
    <t>Mr.Manikandan H</t>
  </si>
  <si>
    <t>Q2-2023-oct-Mech-002</t>
  </si>
  <si>
    <t>Mr.Maharudresh.A.C</t>
  </si>
  <si>
    <t>Pending: R- 0.74, C-0.2, E-0.04, Mandatory Paper-3.78, Mandatory Patent -3.78</t>
  </si>
  <si>
    <t>Mr.Navaneeth.B</t>
  </si>
  <si>
    <t>Pending: R- 0.43, C-0.19, E-0.04, Mandatory Paper-2, Mandatory Patent -2</t>
  </si>
  <si>
    <t>Mrs. S. Rekha Swian</t>
  </si>
  <si>
    <r>
      <rPr>
        <rFont val="Times New Roman"/>
        <b/>
        <color rgb="FF0000FF"/>
        <sz val="10.0"/>
      </rPr>
      <t>Note:</t>
    </r>
    <r>
      <rPr>
        <rFont val="Times New Roman"/>
        <color theme="1"/>
        <sz val="10.0"/>
      </rPr>
      <t xml:space="preserve"> </t>
    </r>
    <r>
      <rPr>
        <rFont val="Times New Roman"/>
        <b/>
        <color rgb="FFCC0000"/>
        <sz val="10.0"/>
      </rPr>
      <t>Mandatory paper and patent to be counted from Jul`23-Jun,`24</t>
    </r>
  </si>
  <si>
    <t>Sept.`22 - Jan.`23</t>
  </si>
  <si>
    <t>Feb.`23 - Jun.`23</t>
  </si>
  <si>
    <t>Odd Sem. 2022-23</t>
  </si>
  <si>
    <t>Even Sem. 2022-23</t>
  </si>
  <si>
    <t>2022-23</t>
  </si>
  <si>
    <t>JUL-AUG 2022</t>
  </si>
  <si>
    <t>Faculty should provide a link with access.</t>
  </si>
  <si>
    <t xml:space="preserve">Total Target for AY 2022-23 </t>
  </si>
  <si>
    <t>Mandatory Paper</t>
  </si>
  <si>
    <t>Mandatory Patent</t>
  </si>
  <si>
    <t>2023-Jun-ECE-T010 is considered for Mandatory patent. 2022-June-ECE-010 is considered for Mandatory paper. object Tracking Robot using SIFT based computer vision - RC ID is missing for this paper. Pending Loads: 1.9RP, 0.43C</t>
  </si>
  <si>
    <t>Rs. 1,00,531 generated=For C load Rs. 30,000/-(proof is verified)+ Rs.11,500/- (equal -Rs. 23,000/-sharing Prof. Sharmilae &amp; Prof. Meenakshi) verified+ Rs. 59,031 (verified). Extra: 0.33E, Pending Loads: RP: 1.278, C: 0.16</t>
  </si>
  <si>
    <t>2023-Jun-ECe-T016 IPR form is missing.  Rs.11,500/- (equal -Rs. 23,000/-sharing Prof. Sharmilae &amp; Prof. Meenakshi) verified+ Rs. 18,000/-+Rs. 10,000. Total: Rs. 39,500 received for C load. Extra: Mandatory patent:0.25, I: 0.24, Pending:  0.76RP, C: 0.457</t>
  </si>
  <si>
    <t>Received Rs. 21,950/- to CMRIT account.  (0.037RPSharing taken from prof. Shreedar) . Pending: 0.023RP, C: 0.644.</t>
  </si>
  <si>
    <t>Rs. 15,900/- considered for C load, Extra: 0.86RP, Pending: C: 0.434</t>
  </si>
  <si>
    <t>Dr Imtiyaz Ahmed B K</t>
  </si>
  <si>
    <t>Pending: RP: 0.36, C: 0.62</t>
  </si>
  <si>
    <t>Pending: RP: 0.22, C: 0.567, Mandatory Paper-1</t>
  </si>
  <si>
    <t>Prof.Pappa M</t>
  </si>
  <si>
    <t xml:space="preserve"> Extra: 0.456RP, Pending Loads: C: 0.129, Rs. 36,300/-  received to CMRIT account (excluding expenses), sharing equally with Prof. Venkatesh.</t>
  </si>
  <si>
    <t>Received Rs. 21,950/- to CMRIT account. Extra: 0.55I,  Pending: 0.084C</t>
  </si>
  <si>
    <t>Dr.Aswini N</t>
  </si>
  <si>
    <t>Extra: 0.006C, Pending RP: 0.06</t>
  </si>
  <si>
    <t>Prof.Sridevi.S</t>
  </si>
  <si>
    <t>Pending: RP: 0.933, I: 0.37, Mandatory Patent-0.75, Extra: Mandatory Paper: 0.25</t>
  </si>
  <si>
    <t>Pending: RP: 0.89, I: 0.92, Mandatory Paper-3, Mandatory Patent-2.</t>
  </si>
  <si>
    <t>Prof.Aritri Debnath</t>
  </si>
  <si>
    <t>Extra: RP: 0.125</t>
  </si>
  <si>
    <t>Dr.Harsha B K</t>
  </si>
  <si>
    <t>2022-DEC-ECE-003-Indexed in scopus-proof verified. 2022-Jun-ECE-008-Claimed in AY 12-22. pending: RP:0.67, E: 0.42</t>
  </si>
  <si>
    <t>Extra: 0.04RP</t>
  </si>
  <si>
    <t>2022-June-ECE-015-RPload claimed for AY 21-22 (Need Clarity). Pending: RP: 0.17, Mandatory Paper-0.5</t>
  </si>
  <si>
    <t>Completed: 0.42RP, Mandatory Paper: 0.67 (Transferred from Prof. Adarsh)</t>
  </si>
  <si>
    <t>Pending: 0.05RP</t>
  </si>
  <si>
    <t>Pending: 0.08RP</t>
  </si>
  <si>
    <t>Extra: 0.12RP</t>
  </si>
  <si>
    <t>Pending: RP:0.5</t>
  </si>
  <si>
    <t>Pending: 0.783RP, I: 0.08, E: 0.42</t>
  </si>
  <si>
    <t>Extra: 0.41RP, E: 0.24E</t>
  </si>
  <si>
    <t>Extra: 0.18RP</t>
  </si>
  <si>
    <t>Extra: RP:0.05</t>
  </si>
  <si>
    <t>2023-Jun-ECE-007- RC procedure not completed before that received acceptance from conference-50% weightage is given. Pending Loads: RP: 0.04, I: 0.08</t>
  </si>
  <si>
    <t>Extra: 0.11, Mandatory Patent: 0.2</t>
  </si>
  <si>
    <t>Rs. 18,000/- received to CMRIT account. Extra: 0.251RP, Pending: 0.13C</t>
  </si>
  <si>
    <t>Pending Loads: RP: 0.42, Mandatory Paper-2</t>
  </si>
  <si>
    <t>Extra: 0.08, Pending: 0.17C</t>
  </si>
  <si>
    <t>2023-Jan-ECE-007, 2022-Nov-ECE-002 RC ID received after accepatance from Conference. 2022-June-ECE-P001 RC ID taken after proposal submission. Extra: 0.2RP, I: 0.09.</t>
  </si>
  <si>
    <t>Rs. 36,300/-  received to CMRIT account (excluding expenses), sharing equally with Prof. Pappa. Extra: 0.31RP, Pending: 0.049C</t>
  </si>
  <si>
    <t xml:space="preserve"> For Book Chapters acceptance follow CMRIT norms. Received Rs. 36,600/- to CMRIT account. Extra: 0.074 C, Pending: RP: 0.67</t>
  </si>
  <si>
    <r>
      <rPr>
        <rFont val="Calibri"/>
        <color theme="1"/>
      </rPr>
      <t xml:space="preserve">Extra: 0.003C
</t>
    </r>
    <r>
      <rPr>
        <rFont val="Calibri"/>
        <color rgb="FFFF0000"/>
      </rPr>
      <t>0.33 Patent, 0.33 Man. Paper</t>
    </r>
  </si>
  <si>
    <t xml:space="preserve"> 2021-Sep-ECE-001 claimed in last AY (Extra 0.125 is considered now). Extra: 1.125RP, Mandatory Paper: 0.58, Mandatory Patent: 0.58 </t>
  </si>
  <si>
    <t>Pending: 0.267RP, C: 1.59</t>
  </si>
  <si>
    <t>Extra: RP: 0.5, Mandatory Patent: 0.25, Pending: C: 0.42</t>
  </si>
  <si>
    <t>Dr.Raja M</t>
  </si>
  <si>
    <t>Mandatory patent RC ID-2022-DEC-CSE-T008 is considered. 2022-DEC-CSE-003 - Paper not indexed in scopus. 2022-June-CSE-C001 - Last year C load, 2023-Mar-CSE-C001-need 60% external participants list, Rs. 39,300/- considered for C load (Rs. 18,000/- received to CMRIT account 20% sharing to Prof. Raja and 80% sharing to Prof. Kesav), Pending loads: RP: 0.83, C: 1.366, E: 0.09, Mandatory patent-1.</t>
  </si>
  <si>
    <t>Need acceptance proof for Mandatory paper, prsent proof is not giving paper details.. C load need more clarity with RC ID.</t>
  </si>
  <si>
    <r>
      <rPr>
        <rFont val="Calibri"/>
        <color theme="1"/>
      </rPr>
      <t>Extra: I:0.43, Pending: RP: 0.11, C: 0.257, E: 0.21</t>
    </r>
    <r>
      <rPr>
        <rFont val="Calibri"/>
        <color rgb="FFFF0000"/>
      </rPr>
      <t xml:space="preserve"> (C: 0.26 transferred from Prof. Pushpa, Rs. 32,033 received to CMRIT (verified))</t>
    </r>
  </si>
  <si>
    <t xml:space="preserve"> 2022-Dec-CSE-008, 2022-Sep-CSE-001, 2022-Sep-CSE-005- Rc ID is taken after publishing in Journal, Need principal approval to consider. Rs. 55,512/- is considered for C load. Extra: RP: 0.58, I: 0.165, Pending: C: 0.01, E: 0.005</t>
  </si>
  <si>
    <t>RC ID : 2022-Sep-CSE-003 different title. Pending: RP: 0.46, C: 0.21, Receipt is missing for C load calculation.</t>
  </si>
  <si>
    <t>Pending: 0.227RP, C: 0.21</t>
  </si>
  <si>
    <t>Extra: RP: 0.653</t>
  </si>
  <si>
    <t>one paper sharing with Prof. Aparna(ISE), Extra: RP: 0.463</t>
  </si>
  <si>
    <t>Pending: RP: 0.92, C: 0.583,  Mandatory paper-1, Mandatory Ptent - 2</t>
  </si>
  <si>
    <t xml:space="preserve"> Extra: 0.58RP</t>
  </si>
  <si>
    <t>2022-Jun-CSE-001- is considered for Last year load. Extra: 0.5RP</t>
  </si>
  <si>
    <t>Mr. Shivaraj Veerappa Banakar</t>
  </si>
  <si>
    <t>Pending: Mandatory paper-2, Mandatory Ptent - 1</t>
  </si>
  <si>
    <t>Pending loads: 0.17RP</t>
  </si>
  <si>
    <t>Mandatory paper: 2022-June-CSE-007  extra paper, to be shiftef in 2022-23 academic year:  published included in IEEE Explore 
Mandatory paper 0.18 load :  2023-May-CS-007 claimed for 0.33 , NMITCON 2023
Patent : RC ID :2023-Jan-CSE-T004. Approved , filed, and published. Patent details not yet updated in the mandatory patent tab.
All proofs link:</t>
  </si>
  <si>
    <t xml:space="preserve">Extra: 0.5 RP </t>
  </si>
  <si>
    <t>Mr.Pratham Majumder</t>
  </si>
  <si>
    <t>Extra: 0.293</t>
  </si>
  <si>
    <t>2023-Jun-CSE-011 -RC ID is taken after getting acceptance fron conference.</t>
  </si>
  <si>
    <r>
      <rPr>
        <rFont val="Calibri"/>
        <color theme="1"/>
      </rPr>
      <t xml:space="preserve">2023-Jun-CSE-008 -equal sharing with Prof. P N Singh. Pending: RP: 0.17, </t>
    </r>
    <r>
      <rPr>
        <rFont val="Calibri"/>
        <color rgb="FFFF0000"/>
      </rPr>
      <t>Mandatory paper-1</t>
    </r>
  </si>
  <si>
    <t>Mrs. J Suneetha</t>
  </si>
  <si>
    <t>2022-Apr-CSE-001- published in (AY 21-22), need to be claimed previously and carried forwarded.</t>
  </si>
  <si>
    <t>2023-Mar-CSE-007, 2023-Jun-CSE-005 - these two papers are considered for RP load. Extra: 0.17RP</t>
  </si>
  <si>
    <t>Pending: Mandatory Paper-1, Mandatory Patent-1</t>
  </si>
  <si>
    <t>Pending: Mandatory Paper-1</t>
  </si>
  <si>
    <t>Pending Loads: 0.21RP, Mandatory Paper-1</t>
  </si>
  <si>
    <t>Pending: 1.16RP, C: 1.035</t>
  </si>
  <si>
    <t xml:space="preserve">Extra: 0.6RP,  0.12 I, Mandatory patent: 0.24, Pending: C: 0.873 </t>
  </si>
  <si>
    <t>Dr.R.Anand</t>
  </si>
  <si>
    <t>2023-Apr-ISE-T002 claimed by Anand sir.  Rs. 55,000/- received by CMRIT(shared equally by Swathi mam and Anand sir). Extra: 0.39RP</t>
  </si>
  <si>
    <r>
      <rPr>
        <rFont val="Calibri"/>
        <color theme="1"/>
      </rPr>
      <t xml:space="preserve"> Rs. 55,000/- received by CMRIT(shared equally by Swathi mam and Anand sir). Extra: 0.34RP, I: 0.09, Mandatory Patent: 1.26. </t>
    </r>
    <r>
      <rPr>
        <rFont val="Calibri"/>
        <color rgb="FFFF0000"/>
      </rPr>
      <t>Pending: RP: 1.151, C: 0.15, Mandatory paper: 1.875,  (from Sudahar sir)</t>
    </r>
  </si>
  <si>
    <t>Dr.Mannarmanan</t>
  </si>
  <si>
    <t xml:space="preserve">Extra: 0.24 Mandatory Patent, Pending: 0.3RP, C: 0.46 </t>
  </si>
  <si>
    <t>2021-Nov-ISE-001- AY (21-22) paper need to be claimed previously and carried forwarded-50% weightage is considered. Proposal Rs. 2,97,620/- received to CMRIT account. Extra: 0.47 RP, C: 0.004, Mandatory Patent: 0.24.</t>
  </si>
  <si>
    <t>Exrea: 0.8RP, Pending: C: 0.489, I: 0.36, Mandatory patent: 0.33</t>
  </si>
  <si>
    <t>Extra: 0.22RP, Mandatory Patent: 0.08</t>
  </si>
  <si>
    <t>Extra: 0.07RP, Pending: Mandatory paper - 1, Mandatory patent-0.14</t>
  </si>
  <si>
    <r>
      <rPr>
        <rFont val="Calibri"/>
        <color theme="1"/>
      </rPr>
      <t xml:space="preserve">Extra: 0.22RP, </t>
    </r>
    <r>
      <rPr>
        <rFont val="Calibri"/>
        <color rgb="FFFF0000"/>
      </rPr>
      <t>Pendind loads: RP:0.52, Mandatory paper: 0.67</t>
    </r>
  </si>
  <si>
    <t>2022-Aug-ISE-002 - RC approval is not taken for mandatory paper. 2023-Apr-CSE-003 - RC ID is taken after Paper got accepted in journal - 50 % weightage. Pending: 0.23RP, Mandatory Paper-0.5, Mandatory Patent-0.76</t>
  </si>
  <si>
    <t>Dr.Ramya.C</t>
  </si>
  <si>
    <t>2023-Mar-ISE-004 - RC ID is taken after paper got published i journal (Mandatory Paper). 2023-May-ISE-P002 - RC Review not done- 50% weightage is given. EXtra: 0.41RP, Pending: E: 0.42, Mandatory Paper-0.5</t>
  </si>
  <si>
    <t>Harish.L</t>
  </si>
  <si>
    <t>Pending Loads: 0.2 RP, Mandatory paper - 1.17</t>
  </si>
  <si>
    <t>0.5 Mandatory Patent filed (shared with Rashmi) in July, need permission letter from principal  to consider for AY (22-23)</t>
  </si>
  <si>
    <t>Divya Singh</t>
  </si>
  <si>
    <t>Pending: 0.15RP</t>
  </si>
  <si>
    <t>Rashmi D</t>
  </si>
  <si>
    <t>Christin Shanuja</t>
  </si>
  <si>
    <t>Pending: 0.14RP, Mandatory paper- 0.71, Mandatory patent- 0.97</t>
  </si>
  <si>
    <t>Sugunadevi</t>
  </si>
  <si>
    <t>Pending: RP: 0.5, Mandatory paper-1</t>
  </si>
  <si>
    <t>Pending: RP: 0.84, Mandatory paper- 0.21, Mandatory patent- 0.97</t>
  </si>
  <si>
    <t xml:space="preserve">Rakheeba Taseen </t>
  </si>
  <si>
    <t>Pending load: 0.5RP (Paper presented not published- LOW:14/07/23. DOJ: 10/10/2022)</t>
  </si>
  <si>
    <t>Pending: Mandatory paper-1</t>
  </si>
  <si>
    <t>Aparna</t>
  </si>
  <si>
    <t>RP load shared with Prof. Manju (CSE), Extra: Mandatory Paper: 0.417, Mandatory Patent: 0.417, Pending: RP: 0.05, E: 0.025</t>
  </si>
  <si>
    <t>Pending: RP: 0.42, Mandatory paper-1, Mandatory patent-1</t>
  </si>
  <si>
    <t>Anaswara- New Faculty</t>
  </si>
  <si>
    <t>Suman Patil New Faculty</t>
  </si>
  <si>
    <t>Extra : 0.8RP, 0.16I, 0.12E</t>
  </si>
  <si>
    <t>Pending : 1.36RP, 1.003C</t>
  </si>
  <si>
    <t>Pending : 0.33 RP, 0.125 C, 0.17E,
Mandatory paper -1</t>
  </si>
  <si>
    <t>Filed patent without early publication, Patent receipt not uploaded, Pending : 
1.83 RP, 2.42 C, Mandatory Paper-1, Mandatory patent-1</t>
  </si>
  <si>
    <t>Dr. VIJI K</t>
  </si>
  <si>
    <t>Extra : 0.02RP</t>
  </si>
  <si>
    <r>
      <rPr>
        <rFont val="Calibri"/>
        <color theme="1"/>
      </rPr>
      <t xml:space="preserve">Extra : 0.57RP, Patent (from Dipthoshi Roy) Published, Pending: </t>
    </r>
    <r>
      <rPr>
        <rFont val="Calibri"/>
        <color rgb="FFFF0000"/>
      </rPr>
      <t>0.4125RP (transfered from Dipthoshi Roy)</t>
    </r>
  </si>
  <si>
    <t>Extra : 0.47RP
Pending : 0.38 I</t>
  </si>
  <si>
    <t>Mr. Velrajkumar P</t>
  </si>
  <si>
    <t xml:space="preserve"> Extra : 0.07 RP
Pending : 1.14 C, 0.09E</t>
  </si>
  <si>
    <t>Extra : 0.045 RP</t>
  </si>
  <si>
    <t>Pending : 0.03RP , 0.08 I</t>
  </si>
  <si>
    <t>Extra: 0.02 RP</t>
  </si>
  <si>
    <t>Extra: 0.05 RP</t>
  </si>
  <si>
    <t>Mrs.Parvathy Thampi</t>
  </si>
  <si>
    <t>Pending : 0.48 RP</t>
  </si>
  <si>
    <t>Pending : 0.14 RP &amp; 0.08I</t>
  </si>
  <si>
    <t>Ms. Reshma P Eldho</t>
  </si>
  <si>
    <r>
      <rPr>
        <rFont val="Calibri"/>
        <color theme="1"/>
      </rPr>
      <t xml:space="preserve">Extra : 0.215RP, </t>
    </r>
    <r>
      <rPr>
        <rFont val="Calibri"/>
        <color rgb="FFFF0000"/>
      </rPr>
      <t>Pending Load: 0.075RP (Transferred from Prof. Priyanka)</t>
    </r>
  </si>
  <si>
    <t>Ms Lokasree BS</t>
  </si>
  <si>
    <t>Extra : 0.09 RP</t>
  </si>
  <si>
    <t>Extra: 0.135 RP</t>
  </si>
  <si>
    <t>Pending: 1.334C, RP: 0.86</t>
  </si>
  <si>
    <t>Pending loads: 0.18RP, 0.055I, C: 0.042, Mandatory paper-1</t>
  </si>
  <si>
    <t>Extra: 0.22RP, Pending: C:0.042, I: 0.055</t>
  </si>
  <si>
    <t>Pending: Mandatory paper-2, Mandatory patent-2, C: 0.04, I: 0.5, E: 0.31, RP: 0.99</t>
  </si>
  <si>
    <t>Pending loads: 0.27RP, C: 0.042, Mandatory paper-1, Mandatory Patent-2</t>
  </si>
  <si>
    <t>Extra: 0.4RP,  Mandatory patent-1, 0.16I, Pending Loads: 0.042C</t>
  </si>
  <si>
    <t>DOJ:November 2022. Mandatory paper and Mandatory patent target is 0.67. Pending: 0.02RP, C:0.042, Mandatory paper-0.67 and Mandatory patent - 0.67</t>
  </si>
  <si>
    <t>Pending: RP: 1.13, C: 0.25, E:0.08, Mandatory Paper-2</t>
  </si>
  <si>
    <t>Pending: RP: 0.12, C: 0.583</t>
  </si>
  <si>
    <t>Pending: 1.08RP, C:0.083, I: 1.08, E: 0.25, Mandatory paper-2 and Mandatory patent - 2</t>
  </si>
  <si>
    <t>Pending: RP:0.88, C: 0.167</t>
  </si>
  <si>
    <t xml:space="preserve">Pending: 1.625RP, Mandatory paper-3 </t>
  </si>
  <si>
    <t>Dr. Tukaram Shet</t>
  </si>
  <si>
    <t>Pending: 2.72RP, C:0.6,Mandatory paper-1 and Mandatory patent - 1</t>
  </si>
  <si>
    <t xml:space="preserve"> Extra-7 papers done &amp; Verified. Pending: C: 0.045, Extra: 1.04</t>
  </si>
  <si>
    <t>Extra: 0.08, Pending: C: 0.573, I: 0.92</t>
  </si>
  <si>
    <t>Pending: RP: 1.06, I: 0.75, Mandatory Paper-2, Mandatory Patent-1.</t>
  </si>
  <si>
    <t>Ms. Sowmya T.</t>
  </si>
  <si>
    <t>2023-Apr-AIML-T002-50% sharing of I load with Shyamili madam. Extra: I: 0.075, Pending: RP: 0.15</t>
  </si>
  <si>
    <t>Ms. Shyamili Das</t>
  </si>
  <si>
    <t>Mandatory paper RC ID is taken after the conference and review process also not completed.</t>
  </si>
  <si>
    <t>Mandatory Patent Completed</t>
  </si>
  <si>
    <t>Dr.Anjaneyulu Pasala</t>
  </si>
  <si>
    <t>Pending Loads: RP: 0.05, I: 0.17</t>
  </si>
  <si>
    <t>2023-Apr-AIDS-002 - RC Review process not completed. To consider C load need RC ID/Principal approval letter. Pending Loads: RP: 1.08, C: 0.17, I: 0.07, Mandatory patent -1</t>
  </si>
  <si>
    <t>Pending: RP: 0.67, I: 0.07, Mandatory paper-1, Mandatory Patent- 0.67</t>
  </si>
  <si>
    <t>Extra: Rp: 0.53, Pending: C: 0.171, 2023-Mar-BS-T004-claimed by Hanumantha sir.</t>
  </si>
  <si>
    <t>Pending: C: 0.212, I: 0.18, E: 0.6, Mandatory Paper-3</t>
  </si>
  <si>
    <t>Extra: Rp: 0.5, Pending: C: 0.19</t>
  </si>
  <si>
    <t>2022-Jan-BS-008 is already carried forward and considered. Pending: 0.03RP, C: 0.228</t>
  </si>
  <si>
    <t>Extra: 0.5RP, Mandatory Paper: 0.2, Pending: Mandatory Patent: 0.8, C: 0.02</t>
  </si>
  <si>
    <t>Extra: 0.25 Mandatory paper, Pending: Mandatory Patent-0.75, C: 0.014</t>
  </si>
  <si>
    <t>2021-Mar-BS-T002 - IPR form is missing. 2023-Mar-BS-T005 - Patent filed proof required, Extra: I: 0.17, Mandatory Patent-1, Pending: RP: 1.54, C: 0.242.</t>
  </si>
  <si>
    <t>Pending: RP:0.07, C: 0.196</t>
  </si>
  <si>
    <t>Pending: RP: 0.42, C: 0.147, I:0.04</t>
  </si>
  <si>
    <t>Extra: I: 0.26, Pending: C: 0.134</t>
  </si>
  <si>
    <t>Pending: RP: 0.29, C:0.031, Mandatory Patent: 0.5, Mandatory Paper: 0.5</t>
  </si>
  <si>
    <t>Mandatory patent filed on june 2022.  Pending: RP: 0.44, C: 0.123, Mandatory paper: 0, Mandatory Patent: 1</t>
  </si>
  <si>
    <t>Extra: Mandatory paper: 0.25, Pending:  C: 0.035, Mandatory Patent: 0.75</t>
  </si>
  <si>
    <r>
      <rPr>
        <rFont val="Calibri"/>
        <color theme="1"/>
      </rPr>
      <t xml:space="preserve">Rs. 25,550/- received to CMRIT account., Extra: 0.25RP, C: 0.045, E: 0.06, </t>
    </r>
    <r>
      <rPr>
        <rFont val="Calibri"/>
        <color rgb="FFFF0000"/>
      </rPr>
      <t>Pending loads:  Mandatory paper -1, RP: 0.5</t>
    </r>
  </si>
  <si>
    <t>Rs. 25,550/- received to CMRIT account. Extra: 0.02RP, Pending load: Mandatory Paper-1, C: 0.118, I: 0.19</t>
  </si>
  <si>
    <t>Rs. 35,550/- received to CMRIT account. Patent filed for I load with early publication not with examination fee. 3 papers submitted to Q1/Q2 journals, didn't get acceptance yet. Pending loads: RP: 0.22, C: 0.161, I: 0.19</t>
  </si>
  <si>
    <t>Rs. 32,800/- received for C load. Pending: C: 0.006</t>
  </si>
  <si>
    <t>Ms.Komala Devi</t>
  </si>
  <si>
    <t>Rs. 26,800/- received to CMRIT account. Extra: 0.2 RP, C: 0.029</t>
  </si>
  <si>
    <t>Extra: 0.06E</t>
  </si>
  <si>
    <t>Extra: 0.17 RP</t>
  </si>
  <si>
    <t>Ms.Sandhya M</t>
  </si>
  <si>
    <t>Pending: 0.1 RP</t>
  </si>
  <si>
    <t>Extra: 0.17RP</t>
  </si>
  <si>
    <t>Pending: RP: 2.16, Mandatory Paper-1, Mandatory Patent - 1</t>
  </si>
  <si>
    <t>Pending: RP: 2.23, I: 1.45, Mandatory Paper-2.25, Mandatory Patent - 2</t>
  </si>
  <si>
    <t>Mandatory Patent (Sharing with Dr. Mohan) need RC ID, early publication is not paid. RC ID is not taken for start-up, need principal approval. 3 papers published (not scopus indexed, RC ID is not taken). Pending: RP: 1.78, C: 0.183, E: 0.2, Mandatory Paper-2, Mandatory Patent-2.</t>
  </si>
  <si>
    <t>Mandatory Patent (Sharing with Dr. Sanjeev) need RC ID, early publication is not paid. RP proof to be saved with RC ID for verification. Pending: RP: 0.63, C: 0.033, Mandatory Paper-2, Mandatory Patent-2.</t>
  </si>
  <si>
    <t>2022-DEC-MBA-001- Not indexed in scopus. 2022-DEC-MBA-002, DEC-MBA-003 RC review process not completed- received principal approval.  Extra: E: 0.08, Pending: RP: 1.66 , Mandatory Patent-2.</t>
  </si>
  <si>
    <t>Pending: RP: 3.45, C: 0.033, Mandatory Paper-3, Mandatory Patent - 2</t>
  </si>
  <si>
    <t>Pending: RP: 1.71, Mandatory Paper- 1, Mandatory Patent - 1</t>
  </si>
  <si>
    <t>Rs. 75,000/- received to CMRIT account. Mandatory Patent  IPR form is required. Mandatory paper RC approval is not taken. Extra: C: 0.3, Pending: RP: 0.47,  Mandatory Paper-1, Mandatory Patent-1.</t>
  </si>
  <si>
    <t>Pending: RP: 1, Mandatory Paper-1, Mandatory Patent - 1</t>
  </si>
  <si>
    <t>Dr. Chandrika (Joining on 15 May)</t>
  </si>
  <si>
    <t>Dr. Uma Lakshmi  (05, June '23)</t>
  </si>
  <si>
    <t>Prof. Bhavana (Apr.`23)</t>
  </si>
  <si>
    <t>Extra: 0.12, Pending- C: 0.083, I: 0.21, Mandatory patent: 1.5, 2023-Apr-Civ-001- RC ID is taken after receiving acceptance from conference.</t>
  </si>
  <si>
    <t>Extra: 0.028C, Pending- RP: 0.72,  I: 0.04, Mandatory patent: 1, Mandatory paper: 2, Received Rs. 1,500/-</t>
  </si>
  <si>
    <t>Pending- RP: 0.05, C: 0.083, I: 0.17, E: 0.14</t>
  </si>
  <si>
    <t xml:space="preserve">Pending- RP: 0.91, C: 0.2, I: 0.04, E: 0.04, Mandatory patent: 0.5 </t>
  </si>
  <si>
    <t>Extra: Mandatory paper: 0.42, Mandatory Patent: 0.42, Pending: RP: 0.15, C: 0.083, I: 0.04</t>
  </si>
  <si>
    <t xml:space="preserve"> Pending Loads: C:0.083, Mandatory paper-1</t>
  </si>
  <si>
    <t>Patent is filed without RC approval. Pending Loads: RP:1.24, C:0.708, E: 0.25, Mandatory paper-1, Mandatory patent-1</t>
  </si>
  <si>
    <t>Dr. Arunkumar</t>
  </si>
  <si>
    <t>2023-Jun-Mech-001, 2022-Aug-Mech-003, 2022-Aug-Mech-002 - RC ID is taken after getting acceptace/published from Journal (50% weightage is given by Principal). Pending Loads: RP: 0.42, C:0.083, E: 0.25</t>
  </si>
  <si>
    <t>2023-Apr-Mech-001- RC ID is taken after receiving acceptance from Journal-50% wightage is given. Rs. 59,000/- receiced to CMRIT. Extra: C: 0.277, Extra: 0.58RP, E: 0.08</t>
  </si>
  <si>
    <t>Extra: 0.19RP, Pending Loads: C:0.083</t>
  </si>
  <si>
    <t>Extra: 0.17RP, Pending Loads: C:0.083</t>
  </si>
  <si>
    <t>Mandatory patent early publication fee receipt is missing. Extra: 0.23RP, Pending load: 0.083C</t>
  </si>
  <si>
    <t>Mandatory paper acceptance is received on July 15th, need principal permission t consider the same. Extra: 0.01RP, Pending Loads: C:0.083</t>
  </si>
  <si>
    <t xml:space="preserve">Professors Prashanth and Manikandan filed 2023-Apr-Mech-T001 patent, claimed by Prof. Prashanth.  Pending Loads: RP: 0.19, C:0.083, I: 0.38, </t>
  </si>
  <si>
    <t>Pending Loads: RP:1, C:0.083, Mandatory paper-2, Mandatory patent-2</t>
  </si>
  <si>
    <t>Pending Loads: RP:0.36, C:0.083, Mandatory paper-1, Mandatory patent-2</t>
  </si>
  <si>
    <t xml:space="preserve"> Pending Loads: RP: 1.05, C:0.083, I: 0.38, Mandatory paper-1.125</t>
  </si>
  <si>
    <t>Pending Loads: RP:0.34, C:0.143, Mandatory paper-2.78, Mandatory patent-2.78</t>
  </si>
  <si>
    <t>Pending Loads: RP:0.37, C:0.083, Mandatory paper-1, Mandatory patent-1</t>
  </si>
  <si>
    <t>Pending Loads: RP:0.33, C:0.083, Mandatory paper-1, Mandatory patent-1</t>
  </si>
  <si>
    <t>&gt;=2</t>
  </si>
  <si>
    <t>&lt;2</t>
  </si>
  <si>
    <t>CMR Institute of Technology, Bengaluru</t>
  </si>
  <si>
    <t>Total 
# Faculty</t>
  </si>
  <si>
    <t>TRCPIE 
Target</t>
  </si>
  <si>
    <t>Teaching 
Load</t>
  </si>
  <si>
    <t>R
Target</t>
  </si>
  <si>
    <t>R
Actual</t>
  </si>
  <si>
    <t>P
Target</t>
  </si>
  <si>
    <t>P
Actual</t>
  </si>
  <si>
    <t>C
Target</t>
  </si>
  <si>
    <t>C
Actual</t>
  </si>
  <si>
    <t>I
Target</t>
  </si>
  <si>
    <t>I
Actual</t>
  </si>
  <si>
    <t>E
Target</t>
  </si>
  <si>
    <t>E
Actual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</si>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</sst>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Calibri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color theme="1"/>
      <name val="Calibri"/>
      <scheme val="minor"/>
    </font>
    <font>
      <b/>
      <sz val="10.0"/>
      <color theme="1"/>
      <name val="Calibri"/>
      <scheme val="minor"/>
    </font>
    <font>
      <color theme="1"/>
      <name val="Times New Roman"/>
    </font>
    <font>
      <b/>
      <color rgb="FFFF0000"/>
      <name val="Calibri"/>
      <scheme val="minor"/>
    </font>
    <font>
      <b/>
      <sz val="9.0"/>
      <color theme="1"/>
      <name val="Calibri"/>
      <scheme val="minor"/>
    </font>
    <font>
      <b/>
      <sz val="11.0"/>
      <color rgb="FFFF0000"/>
      <name val="Times New Roman"/>
    </font>
    <font>
      <b/>
      <color theme="1"/>
      <name val="Calibri"/>
      <scheme val="minor"/>
    </font>
    <font/>
    <font>
      <b/>
      <color theme="1"/>
      <name val="Times New Roman"/>
    </font>
    <font>
      <b/>
      <color rgb="FF0000FF"/>
      <name val="Calibri"/>
      <scheme val="minor"/>
    </font>
    <font>
      <sz val="11.0"/>
      <color rgb="FF000000"/>
      <name val="Times New Roman"/>
    </font>
    <font>
      <sz val="10.0"/>
      <color rgb="FF000000"/>
      <name val="Times New Roman"/>
    </font>
    <font>
      <b/>
      <u/>
      <sz val="14.0"/>
      <color rgb="FF0000FF"/>
    </font>
    <font>
      <color rgb="FF000000"/>
      <name val="Calibri"/>
    </font>
    <font>
      <color rgb="FF434343"/>
      <name val="Calibri"/>
      <scheme val="minor"/>
    </font>
    <font>
      <color rgb="FF00FFFF"/>
      <name val="Calibri"/>
      <scheme val="minor"/>
    </font>
    <font>
      <color rgb="FF000000"/>
      <name val="Calibri"/>
      <scheme val="minor"/>
    </font>
    <font>
      <color rgb="FFFF0000"/>
      <name val="Calibri"/>
    </font>
    <font>
      <color rgb="FFFF0000"/>
      <name val="Calibri"/>
      <scheme val="minor"/>
    </font>
    <font>
      <color rgb="FFCC0000"/>
      <name val="Calibri"/>
      <scheme val="minor"/>
    </font>
    <font>
      <color rgb="FF0000FF"/>
      <name val="Calibri"/>
      <scheme val="minor"/>
    </font>
    <font>
      <color rgb="FF0000FF"/>
      <name val="Calibri"/>
    </font>
    <font>
      <color rgb="FF1155CC"/>
      <name val="Calibri"/>
      <scheme val="minor"/>
    </font>
    <font>
      <sz val="10.0"/>
      <color rgb="FF000000"/>
      <name val="&quot;Times New Roman&quot;"/>
    </font>
    <font>
      <color rgb="FF000000"/>
      <name val="&quot;Times New Roman&quot;"/>
    </font>
    <font>
      <sz val="10.0"/>
      <color theme="1"/>
      <name val="Calibri"/>
      <scheme val="minor"/>
    </font>
    <font>
      <color rgb="FF990000"/>
      <name val="Calibri"/>
      <scheme val="minor"/>
    </font>
    <font>
      <sz val="10.0"/>
      <color rgb="FFCC0000"/>
      <name val="Calibri"/>
    </font>
    <font>
      <sz val="9.0"/>
      <color theme="1"/>
      <name val="Times New Roman"/>
    </font>
    <font>
      <color rgb="FFCC0000"/>
      <name val="Calibri"/>
    </font>
    <font>
      <color theme="1"/>
      <name val="Arial"/>
    </font>
    <font>
      <b/>
      <color rgb="FFFF0000"/>
      <name val="Calibri"/>
    </font>
    <font>
      <color rgb="FF00FFFF"/>
      <name val="Calibri"/>
    </font>
    <font>
      <b/>
      <u/>
      <color rgb="FF0000FF"/>
    </font>
    <font>
      <b/>
      <sz val="14.0"/>
      <color rgb="FFFF0000"/>
      <name val="Calibri"/>
      <scheme val="minor"/>
    </font>
    <font>
      <b/>
      <u/>
      <color rgb="FF0000FF"/>
    </font>
    <font>
      <u/>
      <color rgb="FF0000FF"/>
      <name val="Calibri"/>
      <scheme val="minor"/>
    </font>
    <font>
      <sz val="10.0"/>
      <color rgb="FFFF0000"/>
      <name val="Times New Roman"/>
    </font>
    <font>
      <sz val="10.0"/>
      <color rgb="FF000000"/>
      <name val="Calibri"/>
    </font>
    <font>
      <sz val="10.0"/>
      <color rgb="FFFF0000"/>
      <name val="&quot;Times New Roman&quot;"/>
    </font>
    <font>
      <sz val="10.0"/>
      <color rgb="FF434343"/>
      <name val="&quot;Times New Roman&quot;"/>
    </font>
    <font>
      <b/>
      <sz val="10.0"/>
      <color rgb="FF000000"/>
      <name val="&quot;Times New Roman&quot;"/>
    </font>
    <font>
      <sz val="11.0"/>
      <color theme="1"/>
      <name val="Calibri"/>
    </font>
    <font>
      <u/>
      <color rgb="FF0000FF"/>
      <name val="Calibri"/>
      <scheme val="minor"/>
    </font>
    <font>
      <b/>
      <sz val="9.0"/>
      <color theme="1"/>
      <name val="Arial"/>
    </font>
    <font>
      <color rgb="FF000000"/>
      <name val="Arial"/>
    </font>
    <font>
      <u/>
      <color rgb="FF222222"/>
      <name val="Arial"/>
    </font>
    <font>
      <u/>
      <color rgb="FF1155CC"/>
      <name val="Arial"/>
    </font>
    <font>
      <u/>
      <color rgb="FF0000FF"/>
      <name val="Arial"/>
    </font>
    <font>
      <color rgb="FF1155CC"/>
      <name val="Arial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sz val="12.0"/>
      <color theme="1"/>
      <name val="Calibri"/>
    </font>
    <font>
      <sz val="12.0"/>
      <color rgb="FFFF0000"/>
      <name val="Calibri"/>
    </font>
    <font>
      <sz val="12.0"/>
      <color rgb="FF000000"/>
      <name val="Calibri"/>
    </font>
    <font>
      <sz val="12.0"/>
      <color rgb="FF0000FF"/>
      <name val="Calibri"/>
    </font>
    <font>
      <b/>
      <sz val="11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CC0D9"/>
        <bgColor rgb="FFCCC0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5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9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10" fontId="9" numFmtId="0" xfId="0" applyAlignment="1" applyFont="1">
      <alignment horizontal="center" readingOrder="0" vertical="center"/>
    </xf>
    <xf borderId="0" fillId="10" fontId="9" numFmtId="0" xfId="0" applyAlignment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12" fontId="9" numFmtId="0" xfId="0" applyAlignment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2" fillId="0" fontId="10" numFmtId="0" xfId="0" applyBorder="1" applyFont="1"/>
    <xf borderId="3" fillId="0" fontId="10" numFmtId="0" xfId="0" applyBorder="1" applyFont="1"/>
    <xf borderId="0" fillId="0" fontId="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4" fillId="13" fontId="9" numFmtId="0" xfId="0" applyAlignment="1" applyBorder="1" applyFill="1" applyFont="1">
      <alignment horizontal="center" readingOrder="0" vertical="center"/>
    </xf>
    <xf borderId="4" fillId="13" fontId="2" numFmtId="0" xfId="0" applyAlignment="1" applyBorder="1" applyFont="1">
      <alignment horizontal="center" readingOrder="0" vertical="center"/>
    </xf>
    <xf borderId="4" fillId="13" fontId="11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14" fontId="9" numFmtId="0" xfId="0" applyAlignment="1" applyBorder="1" applyFill="1" applyFont="1">
      <alignment horizontal="center" readingOrder="0" vertical="center"/>
    </xf>
    <xf borderId="4" fillId="14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shrinkToFit="0" vertical="top" wrapText="0"/>
    </xf>
    <xf borderId="4" fillId="6" fontId="5" numFmtId="0" xfId="0" applyAlignment="1" applyBorder="1" applyFont="1">
      <alignment horizontal="center" readingOrder="0" shrinkToFit="0" vertical="center" wrapText="1"/>
    </xf>
    <xf borderId="4" fillId="6" fontId="14" numFmtId="0" xfId="0" applyAlignment="1" applyBorder="1" applyFont="1">
      <alignment horizontal="center" readingOrder="0" vertical="center"/>
    </xf>
    <xf borderId="4" fillId="15" fontId="14" numFmtId="0" xfId="0" applyAlignment="1" applyBorder="1" applyFill="1" applyFont="1">
      <alignment horizontal="center" readingOrder="0" vertical="center"/>
    </xf>
    <xf borderId="4" fillId="6" fontId="3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5" fillId="6" fontId="15" numFmtId="0" xfId="0" applyAlignment="1" applyBorder="1" applyFont="1">
      <alignment horizontal="left" readingOrder="0" shrinkToFit="0" vertical="top" wrapText="1"/>
    </xf>
    <xf borderId="5" fillId="6" fontId="3" numFmtId="0" xfId="0" applyBorder="1" applyFont="1"/>
    <xf borderId="4" fillId="6" fontId="3" numFmtId="0" xfId="0" applyBorder="1" applyFont="1"/>
    <xf borderId="4" fillId="6" fontId="3" numFmtId="0" xfId="0" applyAlignment="1" applyBorder="1" applyFont="1">
      <alignment readingOrder="0"/>
    </xf>
    <xf borderId="0" fillId="6" fontId="3" numFmtId="0" xfId="0" applyFont="1"/>
    <xf borderId="4" fillId="6" fontId="16" numFmtId="0" xfId="0" applyAlignment="1" applyBorder="1" applyFont="1">
      <alignment horizontal="center" readingOrder="0" shrinkToFit="0" wrapText="0"/>
    </xf>
    <xf borderId="3" fillId="6" fontId="16" numFmtId="0" xfId="0" applyAlignment="1" applyBorder="1" applyFont="1">
      <alignment horizontal="center" readingOrder="0" shrinkToFit="0" wrapText="0"/>
    </xf>
    <xf borderId="6" fillId="0" fontId="10" numFmtId="0" xfId="0" applyBorder="1" applyFont="1"/>
    <xf borderId="4" fillId="6" fontId="17" numFmtId="0" xfId="0" applyAlignment="1" applyBorder="1" applyFont="1">
      <alignment horizontal="center" readingOrder="0" vertical="center"/>
    </xf>
    <xf borderId="0" fillId="6" fontId="3" numFmtId="0" xfId="0" applyAlignment="1" applyFont="1">
      <alignment readingOrder="0"/>
    </xf>
    <xf borderId="4" fillId="6" fontId="13" numFmtId="0" xfId="0" applyAlignment="1" applyBorder="1" applyFont="1">
      <alignment horizontal="left" readingOrder="0" vertical="top"/>
    </xf>
    <xf borderId="4" fillId="6" fontId="18" numFmtId="0" xfId="0" applyAlignment="1" applyBorder="1" applyFont="1">
      <alignment horizontal="center" readingOrder="0" vertical="center"/>
    </xf>
    <xf borderId="4" fillId="6" fontId="18" numFmtId="0" xfId="0" applyAlignment="1" applyBorder="1" applyFont="1">
      <alignment horizontal="center" readingOrder="0" shrinkToFit="0" vertical="center" wrapText="1"/>
    </xf>
    <xf borderId="7" fillId="6" fontId="16" numFmtId="0" xfId="0" applyAlignment="1" applyBorder="1" applyFont="1">
      <alignment horizontal="center" readingOrder="0" shrinkToFit="0" wrapText="0"/>
    </xf>
    <xf borderId="8" fillId="6" fontId="16" numFmtId="0" xfId="0" applyAlignment="1" applyBorder="1" applyFont="1">
      <alignment horizontal="center" readingOrder="0" shrinkToFit="0" wrapText="0"/>
    </xf>
    <xf borderId="4" fillId="6" fontId="19" numFmtId="0" xfId="0" applyAlignment="1" applyBorder="1" applyFont="1">
      <alignment horizontal="center" readingOrder="0" shrinkToFit="0" vertical="center" wrapText="1"/>
    </xf>
    <xf borderId="4" fillId="6" fontId="20" numFmtId="0" xfId="0" applyAlignment="1" applyBorder="1" applyFont="1">
      <alignment horizontal="center" vertical="center"/>
    </xf>
    <xf borderId="4" fillId="6" fontId="21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readingOrder="0" vertical="center"/>
    </xf>
    <xf borderId="4" fillId="6" fontId="21" numFmtId="0" xfId="0" applyAlignment="1" applyBorder="1" applyFont="1">
      <alignment horizontal="center" readingOrder="0" shrinkToFit="0" vertical="center" wrapText="1"/>
    </xf>
    <xf borderId="4" fillId="15" fontId="3" numFmtId="0" xfId="0" applyAlignment="1" applyBorder="1" applyFont="1">
      <alignment horizontal="center" readingOrder="0" vertical="center"/>
    </xf>
    <xf borderId="4" fillId="6" fontId="22" numFmtId="0" xfId="0" applyAlignment="1" applyBorder="1" applyFont="1">
      <alignment horizontal="center" readingOrder="0" shrinkToFit="0" vertical="center" wrapText="1"/>
    </xf>
    <xf borderId="4" fillId="6" fontId="21" numFmtId="0" xfId="0" applyAlignment="1" applyBorder="1" applyFont="1">
      <alignment horizontal="center" vertical="center"/>
    </xf>
    <xf borderId="4" fillId="6" fontId="23" numFmtId="0" xfId="0" applyAlignment="1" applyBorder="1" applyFont="1">
      <alignment horizontal="center" readingOrder="0" shrinkToFit="0" vertical="center" wrapText="1"/>
    </xf>
    <xf borderId="4" fillId="6" fontId="24" numFmtId="0" xfId="0" applyAlignment="1" applyBorder="1" applyFont="1">
      <alignment horizontal="center" readingOrder="0" shrinkToFit="0" wrapText="1"/>
    </xf>
    <xf borderId="4" fillId="0" fontId="13" numFmtId="0" xfId="0" applyAlignment="1" applyBorder="1" applyFont="1">
      <alignment horizontal="left" readingOrder="0" vertical="top"/>
    </xf>
    <xf borderId="4" fillId="0" fontId="3" numFmtId="0" xfId="0" applyBorder="1" applyFont="1"/>
    <xf borderId="4" fillId="6" fontId="19" numFmtId="0" xfId="0" applyAlignment="1" applyBorder="1" applyFont="1">
      <alignment readingOrder="0"/>
    </xf>
    <xf borderId="0" fillId="6" fontId="19" numFmtId="0" xfId="0" applyAlignment="1" applyFont="1">
      <alignment readingOrder="0"/>
    </xf>
    <xf borderId="4" fillId="6" fontId="3" numFmtId="0" xfId="0" applyAlignment="1" applyBorder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4" fillId="15" fontId="14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readingOrder="0" shrinkToFit="0" vertical="center" wrapText="1"/>
    </xf>
    <xf borderId="4" fillId="6" fontId="20" numFmtId="0" xfId="0" applyAlignment="1" applyBorder="1" applyFont="1">
      <alignment horizontal="center"/>
    </xf>
    <xf borderId="4" fillId="6" fontId="16" numFmtId="0" xfId="0" applyAlignment="1" applyBorder="1" applyFont="1">
      <alignment horizontal="center" readingOrder="0" shrinkToFit="0" vertical="center" wrapText="1"/>
    </xf>
    <xf borderId="7" fillId="6" fontId="16" numFmtId="0" xfId="0" applyAlignment="1" applyBorder="1" applyFont="1">
      <alignment horizontal="center" readingOrder="0" shrinkToFit="0" vertical="center" wrapText="0"/>
    </xf>
    <xf borderId="8" fillId="6" fontId="16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/>
    </xf>
    <xf borderId="5" fillId="6" fontId="5" numFmtId="0" xfId="0" applyAlignment="1" applyBorder="1" applyFont="1">
      <alignment readingOrder="0" shrinkToFit="0" vertical="center" wrapText="1"/>
    </xf>
    <xf borderId="4" fillId="6" fontId="25" numFmtId="0" xfId="0" applyAlignment="1" applyBorder="1" applyFont="1">
      <alignment horizontal="center" readingOrder="0" shrinkToFit="0" vertical="center" wrapText="1"/>
    </xf>
    <xf borderId="4" fillId="6" fontId="16" numFmtId="0" xfId="0" applyAlignment="1" applyBorder="1" applyFont="1">
      <alignment horizontal="center" readingOrder="0" shrinkToFit="0" wrapText="1"/>
    </xf>
    <xf borderId="0" fillId="6" fontId="3" numFmtId="0" xfId="0" applyAlignment="1" applyFont="1">
      <alignment horizontal="center" vertical="center"/>
    </xf>
    <xf borderId="4" fillId="6" fontId="26" numFmtId="0" xfId="0" applyAlignment="1" applyBorder="1" applyFont="1">
      <alignment horizontal="center" readingOrder="0" vertical="center"/>
    </xf>
    <xf borderId="4" fillId="15" fontId="26" numFmtId="0" xfId="0" applyAlignment="1" applyBorder="1" applyFont="1">
      <alignment horizontal="center" vertical="center"/>
    </xf>
    <xf borderId="4" fillId="15" fontId="26" numFmtId="0" xfId="0" applyAlignment="1" applyBorder="1" applyFont="1">
      <alignment horizontal="center" readingOrder="0" vertical="center"/>
    </xf>
    <xf borderId="8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readingOrder="0" shrinkToFit="0" vertical="center" wrapText="1"/>
    </xf>
    <xf borderId="5" fillId="6" fontId="27" numFmtId="0" xfId="0" applyAlignment="1" applyBorder="1" applyFont="1">
      <alignment horizontal="left" readingOrder="0"/>
    </xf>
    <xf borderId="4" fillId="15" fontId="27" numFmtId="0" xfId="0" applyAlignment="1" applyBorder="1" applyFont="1">
      <alignment horizontal="center" readingOrder="0"/>
    </xf>
    <xf borderId="0" fillId="15" fontId="27" numFmtId="0" xfId="0" applyAlignment="1" applyFont="1">
      <alignment horizontal="center" readingOrder="0"/>
    </xf>
    <xf borderId="4" fillId="15" fontId="26" numFmtId="0" xfId="0" applyAlignment="1" applyBorder="1" applyFont="1">
      <alignment horizontal="center" vertical="center"/>
    </xf>
    <xf borderId="4" fillId="6" fontId="28" numFmtId="0" xfId="0" applyAlignment="1" applyBorder="1" applyFont="1">
      <alignment horizontal="center" readingOrder="0" vertical="center"/>
    </xf>
    <xf borderId="4" fillId="15" fontId="28" numFmtId="0" xfId="0" applyAlignment="1" applyBorder="1" applyFont="1">
      <alignment horizontal="center" readingOrder="0" vertical="center"/>
    </xf>
    <xf borderId="4" fillId="15" fontId="28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center" readingOrder="0" vertical="center"/>
    </xf>
    <xf borderId="4" fillId="6" fontId="20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center" vertical="center"/>
    </xf>
    <xf borderId="4" fillId="6" fontId="3" numFmtId="0" xfId="0" applyAlignment="1" applyBorder="1" applyFont="1">
      <alignment vertical="center"/>
    </xf>
    <xf borderId="0" fillId="6" fontId="3" numFmtId="0" xfId="0" applyAlignment="1" applyFont="1">
      <alignment vertical="center"/>
    </xf>
    <xf borderId="4" fillId="6" fontId="16" numFmtId="0" xfId="0" applyAlignment="1" applyBorder="1" applyFont="1">
      <alignment horizontal="center" readingOrder="0" shrinkToFit="0" vertical="center" wrapText="0"/>
    </xf>
    <xf borderId="3" fillId="6" fontId="16" numFmtId="0" xfId="0" applyAlignment="1" applyBorder="1" applyFont="1">
      <alignment horizontal="center" readingOrder="0" shrinkToFit="0" vertical="center" wrapText="0"/>
    </xf>
    <xf borderId="7" fillId="6" fontId="5" numFmtId="0" xfId="0" applyAlignment="1" applyBorder="1" applyFont="1">
      <alignment readingOrder="0" vertical="center"/>
    </xf>
    <xf borderId="7" fillId="6" fontId="5" numFmtId="0" xfId="0" applyAlignment="1" applyBorder="1" applyFont="1">
      <alignment readingOrder="0" shrinkToFit="0" vertical="center" wrapText="1"/>
    </xf>
    <xf borderId="4" fillId="6" fontId="17" numFmtId="0" xfId="0" applyAlignment="1" applyBorder="1" applyFont="1">
      <alignment horizontal="center" readingOrder="0" shrinkToFit="0" vertical="center" wrapText="1"/>
    </xf>
    <xf borderId="4" fillId="6" fontId="29" numFmtId="0" xfId="0" applyAlignment="1" applyBorder="1" applyFont="1">
      <alignment horizontal="center" readingOrder="0" shrinkToFit="0" vertical="center" wrapText="1"/>
    </xf>
    <xf borderId="4" fillId="6" fontId="30" numFmtId="0" xfId="0" applyAlignment="1" applyBorder="1" applyFont="1">
      <alignment horizontal="center" readingOrder="0"/>
    </xf>
    <xf borderId="7" fillId="6" fontId="31" numFmtId="0" xfId="0" applyAlignment="1" applyBorder="1" applyFont="1">
      <alignment readingOrder="0" shrinkToFit="0" vertical="center" wrapText="1"/>
    </xf>
    <xf borderId="4" fillId="6" fontId="5" numFmtId="0" xfId="0" applyAlignment="1" applyBorder="1" applyFont="1">
      <alignment readingOrder="0" vertical="center"/>
    </xf>
    <xf borderId="4" fillId="6" fontId="20" numFmtId="0" xfId="0" applyAlignment="1" applyBorder="1" applyFont="1">
      <alignment horizontal="center" readingOrder="0" vertical="center"/>
    </xf>
    <xf borderId="4" fillId="6" fontId="31" numFmtId="0" xfId="0" applyAlignment="1" applyBorder="1" applyFont="1">
      <alignment horizontal="center" readingOrder="0" shrinkToFit="0" vertical="center" wrapText="1"/>
    </xf>
    <xf borderId="4" fillId="6" fontId="32" numFmtId="0" xfId="0" applyAlignment="1" applyBorder="1" applyFont="1">
      <alignment horizontal="center" readingOrder="0" shrinkToFit="0" wrapText="1"/>
    </xf>
    <xf borderId="3" fillId="6" fontId="3" numFmtId="0" xfId="0" applyAlignment="1" applyBorder="1" applyFont="1">
      <alignment horizontal="center" readingOrder="0" vertical="center"/>
    </xf>
    <xf borderId="4" fillId="15" fontId="28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4" fillId="6" fontId="33" numFmtId="0" xfId="0" applyAlignment="1" applyBorder="1" applyFont="1">
      <alignment horizontal="center" readingOrder="0" vertical="bottom"/>
    </xf>
    <xf borderId="4" fillId="6" fontId="34" numFmtId="0" xfId="0" applyAlignment="1" applyBorder="1" applyFont="1">
      <alignment horizontal="center" vertical="center"/>
    </xf>
    <xf borderId="4" fillId="6" fontId="33" numFmtId="0" xfId="0" applyAlignment="1" applyBorder="1" applyFont="1">
      <alignment horizontal="center" readingOrder="0" vertical="center"/>
    </xf>
    <xf borderId="4" fillId="15" fontId="28" numFmtId="0" xfId="0" applyAlignment="1" applyBorder="1" applyFont="1">
      <alignment horizontal="center" readingOrder="0" vertical="center"/>
    </xf>
    <xf borderId="4" fillId="6" fontId="20" numFmtId="0" xfId="0" applyAlignment="1" applyBorder="1" applyFont="1">
      <alignment horizontal="center" readingOrder="0" shrinkToFit="0" wrapText="1"/>
    </xf>
    <xf borderId="4" fillId="6" fontId="35" numFmtId="0" xfId="0" applyAlignment="1" applyBorder="1" applyFont="1">
      <alignment horizontal="center" readingOrder="0" shrinkToFit="0" wrapText="1"/>
    </xf>
    <xf borderId="4" fillId="6" fontId="28" numFmtId="0" xfId="0" applyAlignment="1" applyBorder="1" applyFont="1">
      <alignment horizontal="center" vertical="center"/>
    </xf>
    <xf borderId="5" fillId="6" fontId="5" numFmtId="0" xfId="0" applyAlignment="1" applyBorder="1" applyFont="1">
      <alignment readingOrder="0" vertical="center"/>
    </xf>
    <xf borderId="4" fillId="6" fontId="5" numFmtId="0" xfId="0" applyAlignment="1" applyBorder="1" applyFont="1">
      <alignment shrinkToFit="0" vertical="center" wrapText="1"/>
    </xf>
    <xf borderId="4" fillId="6" fontId="28" numFmtId="2" xfId="0" applyAlignment="1" applyBorder="1" applyFont="1" applyNumberFormat="1">
      <alignment horizontal="center" vertical="center"/>
    </xf>
    <xf borderId="4" fillId="6" fontId="28" numFmtId="2" xfId="0" applyAlignment="1" applyBorder="1" applyFont="1" applyNumberFormat="1">
      <alignment horizontal="center" readingOrder="0" vertical="center"/>
    </xf>
    <xf borderId="7" fillId="0" fontId="10" numFmtId="0" xfId="0" applyBorder="1" applyFont="1"/>
    <xf borderId="4" fillId="6" fontId="1" numFmtId="0" xfId="0" applyAlignment="1" applyBorder="1" applyFont="1">
      <alignment horizontal="left" readingOrder="0" vertical="center"/>
    </xf>
    <xf borderId="4" fillId="6" fontId="3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left" vertical="center"/>
    </xf>
    <xf borderId="0" fillId="6" fontId="5" numFmtId="0" xfId="0" applyAlignment="1" applyFont="1">
      <alignment horizontal="center" vertical="center"/>
    </xf>
    <xf borderId="0" fillId="6" fontId="28" numFmtId="0" xfId="0" applyAlignment="1" applyFont="1">
      <alignment horizontal="center" vertical="center"/>
    </xf>
    <xf borderId="0" fillId="6" fontId="3" numFmtId="0" xfId="0" applyAlignment="1" applyFont="1">
      <alignment horizontal="center" shrinkToFit="0" vertical="center" wrapText="1"/>
    </xf>
    <xf borderId="0" fillId="6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4" fillId="6" fontId="4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left" readingOrder="0" shrinkToFit="0" vertical="center" wrapText="0"/>
    </xf>
    <xf borderId="3" fillId="6" fontId="16" numFmtId="0" xfId="0" applyAlignment="1" applyBorder="1" applyFont="1">
      <alignment horizontal="center" readingOrder="0" shrinkToFit="0" vertical="center" wrapText="1"/>
    </xf>
    <xf borderId="4" fillId="6" fontId="13" numFmtId="0" xfId="0" applyAlignment="1" applyBorder="1" applyFont="1">
      <alignment horizontal="left" readingOrder="0" vertical="center"/>
    </xf>
    <xf borderId="7" fillId="6" fontId="16" numFmtId="0" xfId="0" applyAlignment="1" applyBorder="1" applyFont="1">
      <alignment horizontal="center" readingOrder="0" shrinkToFit="0" vertical="center" wrapText="1"/>
    </xf>
    <xf borderId="8" fillId="6" fontId="16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left" readingOrder="0" vertical="center"/>
    </xf>
    <xf borderId="7" fillId="6" fontId="16" numFmtId="0" xfId="0" applyAlignment="1" applyBorder="1" applyFont="1">
      <alignment horizontal="center" readingOrder="0" shrinkToFit="0" wrapText="1"/>
    </xf>
    <xf borderId="8" fillId="6" fontId="16" numFmtId="0" xfId="0" applyAlignment="1" applyBorder="1" applyFont="1">
      <alignment horizontal="center" readingOrder="0" shrinkToFit="0" wrapText="1"/>
    </xf>
    <xf borderId="3" fillId="6" fontId="16" numFmtId="0" xfId="0" applyAlignment="1" applyBorder="1" applyFont="1">
      <alignment horizontal="center" readingOrder="0" shrinkToFit="0" wrapText="1"/>
    </xf>
    <xf borderId="5" fillId="6" fontId="27" numFmtId="0" xfId="0" applyAlignment="1" applyBorder="1" applyFont="1">
      <alignment horizontal="left" readingOrder="0" vertical="center"/>
    </xf>
    <xf borderId="3" fillId="6" fontId="16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4" fillId="6" fontId="14" numFmtId="0" xfId="0" applyAlignment="1" applyBorder="1" applyFont="1">
      <alignment horizontal="center" readingOrder="0" shrinkToFit="0" vertical="center" wrapText="1"/>
    </xf>
    <xf borderId="4" fillId="6" fontId="14" numFmtId="0" xfId="0" applyAlignment="1" applyBorder="1" applyFont="1">
      <alignment horizontal="righ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0" fillId="16" fontId="11" numFmtId="0" xfId="0" applyAlignment="1" applyFill="1" applyFont="1">
      <alignment horizontal="center" readingOrder="0" vertical="center"/>
    </xf>
    <xf borderId="0" fillId="17" fontId="9" numFmtId="0" xfId="0" applyAlignment="1" applyFill="1" applyFont="1">
      <alignment horizontal="center" readingOrder="0" vertical="center"/>
    </xf>
    <xf borderId="0" fillId="14" fontId="9" numFmtId="0" xfId="0" applyAlignment="1" applyFont="1">
      <alignment horizontal="center" readingOrder="0" vertical="center"/>
    </xf>
    <xf borderId="4" fillId="0" fontId="36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readingOrder="0" shrinkToFit="0" wrapText="0"/>
    </xf>
    <xf borderId="3" fillId="0" fontId="16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vertical="center"/>
    </xf>
    <xf borderId="5" fillId="12" fontId="37" numFmtId="0" xfId="0" applyAlignment="1" applyBorder="1" applyFont="1">
      <alignment horizontal="left" readingOrder="0" shrinkToFit="0" vertical="top" wrapText="1"/>
    </xf>
    <xf borderId="5" fillId="0" fontId="3" numFmtId="0" xfId="0" applyBorder="1" applyFont="1"/>
    <xf borderId="7" fillId="0" fontId="16" numFmtId="0" xfId="0" applyAlignment="1" applyBorder="1" applyFont="1">
      <alignment horizontal="center" readingOrder="0" shrinkToFit="0" wrapText="0"/>
    </xf>
    <xf borderId="8" fillId="0" fontId="16" numFmtId="0" xfId="0" applyAlignment="1" applyBorder="1" applyFont="1">
      <alignment horizontal="center" readingOrder="0" shrinkToFit="0" wrapText="0"/>
    </xf>
    <xf borderId="4" fillId="18" fontId="18" numFmtId="0" xfId="0" applyAlignment="1" applyBorder="1" applyFill="1" applyFont="1">
      <alignment horizontal="center" readingOrder="0" vertical="center"/>
    </xf>
    <xf borderId="4" fillId="18" fontId="18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vertical="center"/>
    </xf>
    <xf borderId="4" fillId="0" fontId="3" numFmtId="0" xfId="0" applyAlignment="1" applyBorder="1" applyFont="1">
      <alignment readingOrder="0" vertical="center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readingOrder="0" vertical="center"/>
    </xf>
    <xf borderId="4" fillId="18" fontId="5" numFmtId="0" xfId="0" applyAlignment="1" applyBorder="1" applyFont="1">
      <alignment shrinkToFit="0" vertical="center" wrapText="1"/>
    </xf>
    <xf borderId="4" fillId="3" fontId="14" numFmtId="0" xfId="0" applyAlignment="1" applyBorder="1" applyFont="1">
      <alignment horizontal="center" readingOrder="0" vertical="center"/>
    </xf>
    <xf borderId="4" fillId="3" fontId="14" numFmtId="0" xfId="0" applyAlignment="1" applyBorder="1" applyFont="1">
      <alignment horizontal="center" vertical="center"/>
    </xf>
    <xf borderId="4" fillId="18" fontId="3" numFmtId="0" xfId="0" applyAlignment="1" applyBorder="1" applyFont="1">
      <alignment horizontal="center" readingOrder="0" vertical="center"/>
    </xf>
    <xf borderId="4" fillId="18" fontId="3" numFmtId="0" xfId="0" applyAlignment="1" applyBorder="1" applyFont="1">
      <alignment horizontal="center" readingOrder="0" shrinkToFit="0" vertical="center" wrapText="1"/>
    </xf>
    <xf borderId="4" fillId="19" fontId="3" numFmtId="0" xfId="0" applyAlignment="1" applyBorder="1" applyFill="1" applyFont="1">
      <alignment horizontal="center" readingOrder="0" vertical="center"/>
    </xf>
    <xf borderId="4" fillId="8" fontId="3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/>
    </xf>
    <xf borderId="4" fillId="8" fontId="23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vertical="center"/>
    </xf>
    <xf borderId="5" fillId="6" fontId="11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 shrinkToFit="0" vertical="center" wrapText="0"/>
    </xf>
    <xf borderId="8" fillId="0" fontId="16" numFmtId="0" xfId="0" applyAlignment="1" applyBorder="1" applyFont="1">
      <alignment horizontal="center" readingOrder="0" shrinkToFit="0" vertical="center" wrapText="0"/>
    </xf>
    <xf borderId="4" fillId="8" fontId="14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8" fontId="22" numFmtId="0" xfId="0" applyAlignment="1" applyBorder="1" applyFont="1">
      <alignment horizontal="center" readingOrder="0" shrinkToFit="0" vertical="center" wrapText="1"/>
    </xf>
    <xf borderId="4" fillId="8" fontId="21" numFmtId="0" xfId="0" applyAlignment="1" applyBorder="1" applyFont="1">
      <alignment horizontal="center" readingOrder="0" shrinkToFit="0" vertical="center" wrapText="1"/>
    </xf>
    <xf borderId="5" fillId="18" fontId="5" numFmtId="0" xfId="0" applyAlignment="1" applyBorder="1" applyFont="1">
      <alignment readingOrder="0" shrinkToFit="0" vertical="center" wrapText="1"/>
    </xf>
    <xf borderId="4" fillId="18" fontId="11" numFmtId="0" xfId="0" applyAlignment="1" applyBorder="1" applyFont="1">
      <alignment horizontal="center" shrinkToFit="0" vertical="center" wrapText="1"/>
    </xf>
    <xf borderId="4" fillId="18" fontId="3" numFmtId="0" xfId="0" applyBorder="1" applyFont="1"/>
    <xf borderId="4" fillId="18" fontId="14" numFmtId="0" xfId="0" applyAlignment="1" applyBorder="1" applyFont="1">
      <alignment horizontal="center" readingOrder="0" vertical="center"/>
    </xf>
    <xf borderId="4" fillId="18" fontId="16" numFmtId="0" xfId="0" applyAlignment="1" applyBorder="1" applyFont="1">
      <alignment horizontal="center" readingOrder="0" shrinkToFit="0" wrapText="0"/>
    </xf>
    <xf borderId="3" fillId="18" fontId="16" numFmtId="0" xfId="0" applyAlignment="1" applyBorder="1" applyFont="1">
      <alignment horizontal="center" readingOrder="0" shrinkToFit="0" wrapText="0"/>
    </xf>
    <xf borderId="4" fillId="18" fontId="3" numFmtId="0" xfId="0" applyAlignment="1" applyBorder="1" applyFont="1">
      <alignment horizontal="center" vertical="center"/>
    </xf>
    <xf borderId="4" fillId="18" fontId="20" numFmtId="0" xfId="0" applyAlignment="1" applyBorder="1" applyFont="1">
      <alignment horizontal="center" vertical="center"/>
    </xf>
    <xf borderId="4" fillId="18" fontId="20" numFmtId="0" xfId="0" applyAlignment="1" applyBorder="1" applyFont="1">
      <alignment horizontal="center"/>
    </xf>
    <xf borderId="4" fillId="18" fontId="3" numFmtId="0" xfId="0" applyAlignment="1" applyBorder="1" applyFont="1">
      <alignment readingOrder="0"/>
    </xf>
    <xf borderId="5" fillId="6" fontId="5" numFmtId="0" xfId="0" applyAlignment="1" applyBorder="1" applyFont="1">
      <alignment shrinkToFit="0" vertical="center" wrapText="1"/>
    </xf>
    <xf borderId="4" fillId="18" fontId="22" numFmtId="0" xfId="0" applyAlignment="1" applyBorder="1" applyFont="1">
      <alignment horizontal="center" readingOrder="0" shrinkToFit="0" vertical="center" wrapText="1"/>
    </xf>
    <xf borderId="5" fillId="18" fontId="5" numFmtId="0" xfId="0" applyAlignment="1" applyBorder="1" applyFont="1">
      <alignment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vertical="center"/>
    </xf>
    <xf borderId="3" fillId="6" fontId="11" numFmtId="0" xfId="0" applyAlignment="1" applyBorder="1" applyFont="1">
      <alignment horizontal="center" vertical="center"/>
    </xf>
    <xf borderId="7" fillId="18" fontId="5" numFmtId="0" xfId="0" applyAlignment="1" applyBorder="1" applyFont="1">
      <alignment vertical="center"/>
    </xf>
    <xf borderId="8" fillId="6" fontId="11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 readingOrder="0" vertical="center"/>
    </xf>
    <xf borderId="4" fillId="3" fontId="26" numFmtId="0" xfId="0" applyAlignment="1" applyBorder="1" applyFont="1">
      <alignment horizontal="center" vertical="center"/>
    </xf>
    <xf borderId="4" fillId="3" fontId="26" numFmtId="0" xfId="0" applyAlignment="1" applyBorder="1" applyFont="1">
      <alignment horizontal="center" readingOrder="0" vertical="center"/>
    </xf>
    <xf borderId="4" fillId="6" fontId="26" numFmtId="0" xfId="0" applyAlignment="1" applyBorder="1" applyFont="1">
      <alignment horizontal="center" vertical="center"/>
    </xf>
    <xf borderId="4" fillId="6" fontId="27" numFmtId="0" xfId="0" applyAlignment="1" applyBorder="1" applyFont="1">
      <alignment horizontal="center" readingOrder="0"/>
    </xf>
    <xf borderId="0" fillId="6" fontId="27" numFmtId="0" xfId="0" applyAlignment="1" applyFont="1">
      <alignment horizontal="center" readingOrder="0"/>
    </xf>
    <xf borderId="4" fillId="3" fontId="3" numFmtId="0" xfId="0" applyBorder="1" applyFont="1"/>
    <xf borderId="4" fillId="4" fontId="3" numFmtId="0" xfId="0" applyAlignment="1" applyBorder="1" applyFont="1">
      <alignment horizontal="center" readingOrder="0" vertical="center"/>
    </xf>
    <xf borderId="4" fillId="6" fontId="26" numFmtId="0" xfId="0" applyAlignment="1" applyBorder="1" applyFont="1">
      <alignment horizontal="center" vertical="center"/>
    </xf>
    <xf borderId="5" fillId="6" fontId="5" numFmtId="0" xfId="0" applyAlignment="1" applyBorder="1" applyFont="1">
      <alignment shrinkToFit="0" vertical="center" wrapText="1"/>
    </xf>
    <xf borderId="4" fillId="0" fontId="28" numFmtId="0" xfId="0" applyAlignment="1" applyBorder="1" applyFont="1">
      <alignment horizontal="center" readingOrder="0" vertical="center"/>
    </xf>
    <xf borderId="4" fillId="6" fontId="28" numFmtId="0" xfId="0" applyAlignment="1" applyBorder="1" applyFont="1">
      <alignment horizontal="center" vertical="center"/>
    </xf>
    <xf borderId="5" fillId="6" fontId="11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readingOrder="0" shrinkToFit="0" vertical="center" wrapText="0"/>
    </xf>
    <xf borderId="3" fillId="0" fontId="16" numFmtId="0" xfId="0" applyAlignment="1" applyBorder="1" applyFont="1">
      <alignment horizontal="center" readingOrder="0" shrinkToFit="0" vertical="center" wrapText="0"/>
    </xf>
    <xf borderId="4" fillId="18" fontId="19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7" fillId="6" fontId="5" numFmtId="0" xfId="0" applyAlignment="1" applyBorder="1" applyFont="1">
      <alignment vertical="center"/>
    </xf>
    <xf borderId="7" fillId="6" fontId="5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7" fillId="18" fontId="5" numFmtId="0" xfId="0" applyAlignment="1" applyBorder="1" applyFont="1">
      <alignment readingOrder="0" vertical="center"/>
    </xf>
    <xf borderId="4" fillId="3" fontId="28" numFmtId="0" xfId="0" applyAlignment="1" applyBorder="1" applyFont="1">
      <alignment horizontal="center" readingOrder="0" vertical="center"/>
    </xf>
    <xf borderId="4" fillId="0" fontId="29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shrinkToFit="0" vertical="center" wrapText="1"/>
    </xf>
    <xf borderId="4" fillId="18" fontId="30" numFmtId="0" xfId="0" applyAlignment="1" applyBorder="1" applyFont="1">
      <alignment horizontal="center" readingOrder="0"/>
    </xf>
    <xf borderId="4" fillId="8" fontId="20" numFmtId="0" xfId="0" applyAlignment="1" applyBorder="1" applyFont="1">
      <alignment horizontal="center" vertical="center"/>
    </xf>
    <xf borderId="4" fillId="8" fontId="20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readingOrder="0" shrinkToFit="0" vertical="center" wrapText="1"/>
    </xf>
    <xf borderId="4" fillId="18" fontId="5" numFmtId="0" xfId="0" applyAlignment="1" applyBorder="1" applyFont="1">
      <alignment readingOrder="0" shrinkToFit="0" vertical="center" wrapText="1"/>
    </xf>
    <xf borderId="4" fillId="3" fontId="28" numFmtId="0" xfId="0" applyAlignment="1" applyBorder="1" applyFont="1">
      <alignment horizontal="center" vertical="center"/>
    </xf>
    <xf borderId="4" fillId="3" fontId="28" numFmtId="0" xfId="0" applyAlignment="1" applyBorder="1" applyFont="1">
      <alignment horizontal="center" vertical="center"/>
    </xf>
    <xf borderId="4" fillId="18" fontId="5" numFmtId="0" xfId="0" applyAlignment="1" applyBorder="1" applyFont="1">
      <alignment shrinkToFit="0" vertical="center" wrapText="1"/>
    </xf>
    <xf borderId="4" fillId="0" fontId="33" numFmtId="0" xfId="0" applyAlignment="1" applyBorder="1" applyFont="1">
      <alignment horizontal="center" vertical="bottom"/>
    </xf>
    <xf borderId="4" fillId="0" fontId="33" numFmtId="0" xfId="0" applyAlignment="1" applyBorder="1" applyFont="1">
      <alignment horizontal="center" vertical="bottom"/>
    </xf>
    <xf borderId="4" fillId="0" fontId="34" numFmtId="0" xfId="0" applyAlignment="1" applyBorder="1" applyFont="1">
      <alignment horizontal="center" vertical="center"/>
    </xf>
    <xf borderId="4" fillId="6" fontId="5" numFmtId="0" xfId="0" applyAlignment="1" applyBorder="1" applyFont="1">
      <alignment vertical="center"/>
    </xf>
    <xf borderId="4" fillId="0" fontId="33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center" vertical="center"/>
    </xf>
    <xf borderId="4" fillId="18" fontId="5" numFmtId="0" xfId="0" applyAlignment="1" applyBorder="1" applyFont="1">
      <alignment vertical="center"/>
    </xf>
    <xf borderId="4" fillId="3" fontId="28" numFmtId="0" xfId="0" applyAlignment="1" applyBorder="1" applyFont="1">
      <alignment horizontal="center" readingOrder="0" vertical="center"/>
    </xf>
    <xf borderId="7" fillId="18" fontId="11" numFmtId="0" xfId="0" applyAlignment="1" applyBorder="1" applyFont="1">
      <alignment vertical="center"/>
    </xf>
    <xf borderId="4" fillId="0" fontId="3" numFmtId="0" xfId="0" applyAlignment="1" applyBorder="1" applyFont="1">
      <alignment readingOrder="0"/>
    </xf>
    <xf borderId="4" fillId="18" fontId="35" numFmtId="0" xfId="0" applyAlignment="1" applyBorder="1" applyFont="1">
      <alignment horizontal="center" readingOrder="0" shrinkToFit="0" wrapText="1"/>
    </xf>
    <xf borderId="4" fillId="6" fontId="11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vertical="center"/>
    </xf>
    <xf borderId="0" fillId="2" fontId="9" numFmtId="0" xfId="0" applyAlignment="1" applyFont="1">
      <alignment horizontal="center" readingOrder="0" vertical="center"/>
    </xf>
    <xf borderId="4" fillId="0" fontId="38" numFmtId="0" xfId="0" applyAlignment="1" applyBorder="1" applyFont="1">
      <alignment horizontal="left" readingOrder="0" shrinkToFit="0" vertical="center" wrapText="1"/>
    </xf>
    <xf borderId="4" fillId="6" fontId="1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vertical="center"/>
    </xf>
    <xf borderId="3" fillId="6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5" fillId="3" fontId="39" numFmtId="0" xfId="0" applyAlignment="1" applyBorder="1" applyFont="1">
      <alignment horizontal="left" readingOrder="0" shrinkToFit="0" vertical="center" wrapText="1"/>
    </xf>
    <xf borderId="8" fillId="6" fontId="1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vertical="center"/>
    </xf>
    <xf borderId="8" fillId="3" fontId="14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4" fillId="20" fontId="17" numFmtId="0" xfId="0" applyAlignment="1" applyBorder="1" applyFill="1" applyFont="1">
      <alignment horizontal="center" readingOrder="0" vertical="center"/>
    </xf>
    <xf borderId="8" fillId="0" fontId="14" numFmtId="0" xfId="0" applyAlignment="1" applyBorder="1" applyFont="1">
      <alignment horizontal="center" vertical="center"/>
    </xf>
    <xf borderId="0" fillId="0" fontId="3" numFmtId="0" xfId="0" applyAlignment="1" applyFont="1">
      <alignment readingOrder="0" vertical="center"/>
    </xf>
    <xf borderId="4" fillId="18" fontId="14" numFmtId="0" xfId="0" applyAlignment="1" applyBorder="1" applyFont="1">
      <alignment horizontal="left" readingOrder="0" vertical="center"/>
    </xf>
    <xf borderId="8" fillId="18" fontId="14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vertical="center"/>
    </xf>
    <xf borderId="4" fillId="8" fontId="21" numFmtId="0" xfId="0" applyAlignment="1" applyBorder="1" applyFont="1">
      <alignment horizontal="center" readingOrder="0" vertical="center"/>
    </xf>
    <xf borderId="4" fillId="8" fontId="21" numFmtId="0" xfId="0" applyAlignment="1" applyBorder="1" applyFont="1">
      <alignment horizontal="center" vertical="center"/>
    </xf>
    <xf borderId="4" fillId="8" fontId="3" numFmtId="0" xfId="0" applyAlignment="1" applyBorder="1" applyFont="1">
      <alignment horizontal="center" vertical="center"/>
    </xf>
    <xf borderId="4" fillId="8" fontId="3" numFmtId="0" xfId="0" applyAlignment="1" applyBorder="1" applyFont="1">
      <alignment readingOrder="0"/>
    </xf>
    <xf borderId="8" fillId="6" fontId="40" numFmtId="0" xfId="0" applyAlignment="1" applyBorder="1" applyFont="1">
      <alignment horizontal="center" readingOrder="0" vertical="center"/>
    </xf>
    <xf borderId="8" fillId="0" fontId="40" numFmtId="0" xfId="0" applyAlignment="1" applyBorder="1" applyFont="1">
      <alignment horizontal="center" readingOrder="0" vertical="center"/>
    </xf>
    <xf borderId="8" fillId="0" fontId="40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left" readingOrder="0" vertical="center"/>
    </xf>
    <xf borderId="0" fillId="6" fontId="24" numFmtId="0" xfId="0" applyAlignment="1" applyFont="1">
      <alignment horizontal="center" readingOrder="0" shrinkToFit="0" wrapText="1"/>
    </xf>
    <xf borderId="4" fillId="0" fontId="3" numFmtId="0" xfId="0" applyAlignment="1" applyBorder="1" applyFont="1">
      <alignment vertical="center"/>
    </xf>
    <xf borderId="4" fillId="2" fontId="19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8" fillId="6" fontId="14" numFmtId="0" xfId="0" applyAlignment="1" applyBorder="1" applyFont="1">
      <alignment horizontal="center" vertical="center"/>
    </xf>
    <xf borderId="4" fillId="18" fontId="5" numFmtId="0" xfId="0" applyAlignment="1" applyBorder="1" applyFont="1">
      <alignment horizontal="center" readingOrder="0" vertical="center"/>
    </xf>
    <xf borderId="8" fillId="3" fontId="14" numFmtId="0" xfId="0" applyAlignment="1" applyBorder="1" applyFont="1">
      <alignment horizontal="center" vertical="center"/>
    </xf>
    <xf borderId="0" fillId="8" fontId="3" numFmtId="0" xfId="0" applyAlignment="1" applyFont="1">
      <alignment horizontal="center" vertical="center"/>
    </xf>
    <xf borderId="3" fillId="3" fontId="14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left" readingOrder="0" vertical="center"/>
    </xf>
    <xf borderId="4" fillId="21" fontId="17" numFmtId="0" xfId="0" applyAlignment="1" applyBorder="1" applyFill="1" applyFont="1">
      <alignment horizontal="center" readingOrder="0" vertical="center"/>
    </xf>
    <xf borderId="4" fillId="0" fontId="17" numFmtId="0" xfId="0" applyAlignment="1" applyBorder="1" applyFont="1">
      <alignment readingOrder="0"/>
    </xf>
    <xf borderId="4" fillId="21" fontId="21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readingOrder="0" vertical="center"/>
    </xf>
    <xf borderId="8" fillId="8" fontId="1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8" fontId="3" numFmtId="0" xfId="0" applyFont="1"/>
    <xf borderId="4" fillId="8" fontId="3" numFmtId="0" xfId="0" applyBorder="1" applyFont="1"/>
    <xf borderId="4" fillId="6" fontId="5" numFmtId="0" xfId="0" applyAlignment="1" applyBorder="1" applyFont="1">
      <alignment readingOrder="0" shrinkToFit="0" vertical="bottom" wrapText="1"/>
    </xf>
    <xf borderId="7" fillId="6" fontId="5" numFmtId="0" xfId="0" applyAlignment="1" applyBorder="1" applyFont="1">
      <alignment readingOrder="0" vertical="bottom"/>
    </xf>
    <xf borderId="3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left" readingOrder="0" vertical="center"/>
    </xf>
    <xf borderId="7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8" fillId="3" fontId="14" numFmtId="0" xfId="0" applyAlignment="1" applyBorder="1" applyFont="1">
      <alignment horizontal="center" vertical="center"/>
    </xf>
    <xf borderId="4" fillId="20" fontId="21" numFmtId="0" xfId="0" applyAlignment="1" applyBorder="1" applyFont="1">
      <alignment horizontal="center" readingOrder="0" vertical="center"/>
    </xf>
    <xf borderId="7" fillId="18" fontId="14" numFmtId="0" xfId="0" applyAlignment="1" applyBorder="1" applyFont="1">
      <alignment horizontal="left" readingOrder="0" vertical="center"/>
    </xf>
    <xf borderId="7" fillId="0" fontId="14" numFmtId="0" xfId="0" applyAlignment="1" applyBorder="1" applyFont="1">
      <alignment horizontal="center" vertical="center"/>
    </xf>
    <xf borderId="8" fillId="3" fontId="14" numFmtId="0" xfId="0" applyAlignment="1" applyBorder="1" applyFont="1">
      <alignment horizontal="center" readingOrder="0" vertical="center"/>
    </xf>
    <xf borderId="7" fillId="6" fontId="14" numFmtId="0" xfId="0" applyAlignment="1" applyBorder="1" applyFont="1">
      <alignment horizontal="left" readingOrder="0" vertical="center"/>
    </xf>
    <xf borderId="3" fillId="0" fontId="14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left" readingOrder="0" vertical="center"/>
    </xf>
    <xf borderId="10" fillId="0" fontId="14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vertical="center"/>
    </xf>
    <xf borderId="8" fillId="3" fontId="26" numFmtId="0" xfId="0" applyAlignment="1" applyBorder="1" applyFont="1">
      <alignment horizontal="center" vertical="center"/>
    </xf>
    <xf borderId="8" fillId="3" fontId="2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left" readingOrder="0" vertical="center"/>
    </xf>
    <xf borderId="0" fillId="6" fontId="41" numFmtId="0" xfId="0" applyAlignment="1" applyFont="1">
      <alignment horizontal="center" readingOrder="0" shrinkToFit="0" wrapText="1"/>
    </xf>
    <xf borderId="3" fillId="0" fontId="26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horizontal="center" vertical="center"/>
    </xf>
    <xf borderId="3" fillId="3" fontId="26" numFmtId="0" xfId="0" applyAlignment="1" applyBorder="1" applyFont="1">
      <alignment horizontal="center" readingOrder="0" vertical="center"/>
    </xf>
    <xf borderId="3" fillId="3" fontId="26" numFmtId="0" xfId="0" applyAlignment="1" applyBorder="1" applyFont="1">
      <alignment horizontal="center" vertical="center"/>
    </xf>
    <xf borderId="7" fillId="6" fontId="26" numFmtId="0" xfId="0" applyAlignment="1" applyBorder="1" applyFont="1">
      <alignment horizontal="center" readingOrder="0" vertical="center"/>
    </xf>
    <xf borderId="8" fillId="6" fontId="26" numFmtId="0" xfId="0" applyAlignment="1" applyBorder="1" applyFont="1">
      <alignment horizontal="center" readingOrder="0" vertical="center"/>
    </xf>
    <xf borderId="8" fillId="6" fontId="42" numFmtId="0" xfId="0" applyAlignment="1" applyBorder="1" applyFont="1">
      <alignment horizontal="center" vertical="center"/>
    </xf>
    <xf borderId="8" fillId="3" fontId="43" numFmtId="0" xfId="0" applyAlignment="1" applyBorder="1" applyFont="1">
      <alignment horizontal="center" readingOrder="0" vertical="center"/>
    </xf>
    <xf borderId="8" fillId="3" fontId="43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center" vertical="center"/>
    </xf>
    <xf borderId="7" fillId="6" fontId="14" numFmtId="0" xfId="0" applyAlignment="1" applyBorder="1" applyFont="1">
      <alignment horizontal="left" readingOrder="0" shrinkToFit="0" vertical="center" wrapText="0"/>
    </xf>
    <xf borderId="8" fillId="6" fontId="26" numFmtId="0" xfId="0" applyAlignment="1" applyBorder="1" applyFont="1">
      <alignment horizontal="center" vertical="center"/>
    </xf>
    <xf borderId="8" fillId="3" fontId="26" numFmtId="0" xfId="0" applyAlignment="1" applyBorder="1" applyFont="1">
      <alignment horizontal="center" vertical="center"/>
    </xf>
    <xf borderId="8" fillId="0" fontId="44" numFmtId="0" xfId="0" applyAlignment="1" applyBorder="1" applyFont="1">
      <alignment horizontal="center" vertical="center"/>
    </xf>
    <xf borderId="8" fillId="3" fontId="4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readingOrder="0" vertical="center"/>
    </xf>
    <xf borderId="4" fillId="0" fontId="2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6" fontId="27" numFmtId="0" xfId="0" applyAlignment="1" applyBorder="1" applyFont="1">
      <alignment horizontal="left" readingOrder="0" vertical="center"/>
    </xf>
    <xf borderId="4" fillId="0" fontId="28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readingOrder="0" vertical="center"/>
    </xf>
    <xf borderId="4" fillId="8" fontId="1" numFmtId="0" xfId="0" applyAlignment="1" applyBorder="1" applyFont="1">
      <alignment horizontal="left" readingOrder="0" vertical="center"/>
    </xf>
    <xf borderId="0" fillId="0" fontId="28" numFmtId="0" xfId="0" applyAlignment="1" applyFont="1">
      <alignment horizontal="center" readingOrder="0" vertical="center"/>
    </xf>
    <xf borderId="4" fillId="22" fontId="28" numFmtId="0" xfId="0" applyAlignment="1" applyBorder="1" applyFill="1" applyFont="1">
      <alignment horizontal="center" readingOrder="0" vertical="center"/>
    </xf>
    <xf borderId="4" fillId="22" fontId="3" numFmtId="0" xfId="0" applyAlignment="1" applyBorder="1" applyFont="1">
      <alignment horizontal="center" vertical="center"/>
    </xf>
    <xf borderId="4" fillId="22" fontId="28" numFmtId="0" xfId="0" applyAlignment="1" applyBorder="1" applyFont="1">
      <alignment horizontal="center" vertical="center"/>
    </xf>
    <xf borderId="0" fillId="6" fontId="30" numFmtId="0" xfId="0" applyAlignment="1" applyFont="1">
      <alignment horizontal="center" readingOrder="0"/>
    </xf>
    <xf borderId="4" fillId="2" fontId="3" numFmtId="0" xfId="0" applyAlignment="1" applyBorder="1" applyFont="1">
      <alignment horizontal="center" readingOrder="0" vertical="center"/>
    </xf>
    <xf borderId="0" fillId="6" fontId="27" numFmtId="0" xfId="0" applyAlignment="1" applyFont="1">
      <alignment horizontal="left" readingOrder="0"/>
    </xf>
    <xf borderId="0" fillId="6" fontId="32" numFmtId="0" xfId="0" applyAlignment="1" applyFont="1">
      <alignment horizontal="center" readingOrder="0"/>
    </xf>
    <xf borderId="4" fillId="18" fontId="1" numFmtId="0" xfId="0" applyAlignment="1" applyBorder="1" applyFont="1">
      <alignment horizontal="left" readingOrder="0" vertical="center"/>
    </xf>
    <xf borderId="4" fillId="0" fontId="27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readingOrder="0" vertical="center"/>
    </xf>
    <xf borderId="4" fillId="21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7" fillId="6" fontId="45" numFmtId="0" xfId="0" applyAlignment="1" applyBorder="1" applyFont="1">
      <alignment horizontal="center" readingOrder="0" shrinkToFit="0" vertical="bottom" wrapText="0"/>
    </xf>
    <xf borderId="8" fillId="6" fontId="45" numFmtId="0" xfId="0" applyAlignment="1" applyBorder="1" applyFont="1">
      <alignment horizontal="center" readingOrder="0" shrinkToFit="0" vertical="bottom" wrapText="0"/>
    </xf>
    <xf borderId="8" fillId="6" fontId="45" numFmtId="0" xfId="0" applyAlignment="1" applyBorder="1" applyFont="1">
      <alignment horizontal="center" shrinkToFit="0" vertical="bottom" wrapText="0"/>
    </xf>
    <xf borderId="12" fillId="6" fontId="45" numFmtId="0" xfId="0" applyAlignment="1" applyBorder="1" applyFont="1">
      <alignment horizontal="center" readingOrder="0" shrinkToFit="0" vertical="bottom" wrapText="0"/>
    </xf>
    <xf borderId="4" fillId="18" fontId="1" numFmtId="0" xfId="0" applyAlignment="1" applyBorder="1" applyFont="1">
      <alignment horizontal="left" vertical="center"/>
    </xf>
    <xf borderId="0" fillId="6" fontId="32" numFmtId="0" xfId="0" applyAlignment="1" applyFont="1">
      <alignment horizontal="center" readingOrder="0" shrinkToFit="0" wrapText="1"/>
    </xf>
    <xf borderId="4" fillId="18" fontId="1" numFmtId="0" xfId="0" applyAlignment="1" applyBorder="1" applyFont="1">
      <alignment horizontal="left" readingOrder="0" vertical="center"/>
    </xf>
    <xf borderId="4" fillId="0" fontId="28" numFmtId="0" xfId="0" applyAlignment="1" applyBorder="1" applyFont="1">
      <alignment horizontal="center" readingOrder="0" vertical="center"/>
    </xf>
    <xf borderId="4" fillId="23" fontId="21" numFmtId="0" xfId="0" applyAlignment="1" applyBorder="1" applyFill="1" applyFont="1">
      <alignment horizontal="center" readingOrder="0" vertical="center"/>
    </xf>
    <xf borderId="4" fillId="6" fontId="28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left" readingOrder="0" vertical="center"/>
    </xf>
    <xf borderId="4" fillId="6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18" fontId="2" numFmtId="0" xfId="0" applyAlignment="1" applyFont="1">
      <alignment horizontal="center" readingOrder="0" shrinkToFit="0" vertical="center" wrapText="1"/>
    </xf>
    <xf borderId="0" fillId="18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11" fontId="9" numFmtId="0" xfId="0" applyAlignment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readingOrder="0" vertical="center"/>
    </xf>
    <xf borderId="2" fillId="0" fontId="14" numFmtId="0" xfId="0" applyAlignment="1" applyBorder="1" applyFont="1">
      <alignment horizontal="center" readingOrder="0" vertical="center"/>
    </xf>
    <xf borderId="4" fillId="0" fontId="46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24" fontId="21" numFmtId="0" xfId="0" applyAlignment="1" applyBorder="1" applyFill="1" applyFont="1">
      <alignment horizontal="center" readingOrder="0" vertical="center"/>
    </xf>
    <xf borderId="4" fillId="24" fontId="21" numFmtId="0" xfId="0" applyAlignment="1" applyBorder="1" applyFont="1">
      <alignment horizontal="center" vertical="center"/>
    </xf>
    <xf borderId="4" fillId="24" fontId="3" numFmtId="0" xfId="0" applyBorder="1" applyFont="1"/>
    <xf borderId="4" fillId="24" fontId="3" numFmtId="0" xfId="0" applyAlignment="1" applyBorder="1" applyFont="1">
      <alignment readingOrder="0"/>
    </xf>
    <xf borderId="4" fillId="0" fontId="14" numFmtId="0" xfId="0" applyAlignment="1" applyBorder="1" applyFont="1">
      <alignment readingOrder="0" vertical="center"/>
    </xf>
    <xf borderId="0" fillId="6" fontId="16" numFmtId="0" xfId="0" applyAlignment="1" applyFont="1">
      <alignment horizontal="center" readingOrder="0" shrinkToFit="0" wrapText="1"/>
    </xf>
    <xf borderId="4" fillId="0" fontId="47" numFmtId="0" xfId="0" applyAlignment="1" applyBorder="1" applyFont="1">
      <alignment horizontal="left" readingOrder="0" shrinkToFit="0" vertical="center" wrapText="1"/>
    </xf>
    <xf borderId="8" fillId="6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readingOrder="0" vertical="center"/>
    </xf>
    <xf borderId="0" fillId="6" fontId="48" numFmtId="0" xfId="0" applyAlignment="1" applyFont="1">
      <alignment readingOrder="0" shrinkToFit="0" wrapText="1"/>
    </xf>
    <xf borderId="4" fillId="0" fontId="21" numFmtId="0" xfId="0" applyAlignment="1" applyBorder="1" applyFont="1">
      <alignment readingOrder="0"/>
    </xf>
    <xf borderId="0" fillId="6" fontId="49" numFmtId="0" xfId="0" applyAlignment="1" applyFont="1">
      <alignment readingOrder="0" shrinkToFit="0" wrapText="1"/>
    </xf>
    <xf borderId="3" fillId="0" fontId="14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12" fillId="0" fontId="14" numFmtId="0" xfId="0" applyAlignment="1" applyBorder="1" applyFont="1">
      <alignment horizontal="center" readingOrder="0" vertical="center"/>
    </xf>
    <xf borderId="7" fillId="6" fontId="14" numFmtId="0" xfId="0" applyAlignment="1" applyBorder="1" applyFont="1">
      <alignment readingOrder="0" vertical="center"/>
    </xf>
    <xf borderId="4" fillId="0" fontId="14" numFmtId="0" xfId="0" applyAlignment="1" applyBorder="1" applyFont="1">
      <alignment horizontal="center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13" fillId="0" fontId="14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3" fillId="6" fontId="14" numFmtId="0" xfId="0" applyAlignment="1" applyBorder="1" applyFont="1">
      <alignment horizontal="center" vertical="center"/>
    </xf>
    <xf borderId="13" fillId="6" fontId="14" numFmtId="0" xfId="0" applyAlignment="1" applyBorder="1" applyFont="1">
      <alignment horizontal="center" readingOrder="0" vertical="center"/>
    </xf>
    <xf borderId="4" fillId="25" fontId="3" numFmtId="0" xfId="0" applyAlignment="1" applyBorder="1" applyFill="1" applyFont="1">
      <alignment horizontal="center" vertical="center"/>
    </xf>
    <xf borderId="8" fillId="6" fontId="43" numFmtId="0" xfId="0" applyAlignment="1" applyBorder="1" applyFont="1">
      <alignment horizontal="center" readingOrder="0" vertical="center"/>
    </xf>
    <xf borderId="8" fillId="6" fontId="43" numFmtId="0" xfId="0" applyAlignment="1" applyBorder="1" applyFont="1">
      <alignment horizontal="center" vertical="center"/>
    </xf>
    <xf borderId="8" fillId="0" fontId="33" numFmtId="0" xfId="0" applyAlignment="1" applyBorder="1" applyFont="1">
      <alignment readingOrder="0" shrinkToFit="0" vertical="center" wrapText="1"/>
    </xf>
    <xf borderId="8" fillId="0" fontId="43" numFmtId="0" xfId="0" applyAlignment="1" applyBorder="1" applyFont="1">
      <alignment horizontal="center" readingOrder="0" vertical="center"/>
    </xf>
    <xf borderId="8" fillId="0" fontId="43" numFmtId="0" xfId="0" applyAlignment="1" applyBorder="1" applyFont="1">
      <alignment horizontal="center" vertical="center"/>
    </xf>
    <xf borderId="8" fillId="0" fontId="43" numFmtId="0" xfId="0" applyAlignment="1" applyBorder="1" applyFont="1">
      <alignment horizontal="center" readingOrder="0" vertical="center"/>
    </xf>
    <xf borderId="8" fillId="0" fontId="33" numFmtId="0" xfId="0" applyAlignment="1" applyBorder="1" applyFont="1">
      <alignment readingOrder="0" shrinkToFit="0" vertical="center" wrapText="1"/>
    </xf>
    <xf borderId="8" fillId="0" fontId="26" numFmtId="0" xfId="0" applyAlignment="1" applyBorder="1" applyFont="1">
      <alignment horizontal="center" readingOrder="0" vertical="center"/>
    </xf>
    <xf borderId="8" fillId="0" fontId="50" numFmtId="0" xfId="0" applyAlignment="1" applyBorder="1" applyFont="1">
      <alignment shrinkToFit="0" vertical="center" wrapText="1"/>
    </xf>
    <xf borderId="8" fillId="0" fontId="5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6" fontId="48" numFmtId="0" xfId="0" applyAlignment="1" applyFont="1">
      <alignment horizontal="left" readingOrder="0"/>
    </xf>
    <xf borderId="4" fillId="0" fontId="3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0" fillId="6" fontId="52" numFmtId="0" xfId="0" applyAlignment="1" applyFont="1">
      <alignment readingOrder="0" shrinkToFit="0" wrapText="1"/>
    </xf>
    <xf borderId="4" fillId="6" fontId="27" numFmtId="0" xfId="0" applyAlignment="1" applyBorder="1" applyFont="1">
      <alignment readingOrder="0"/>
    </xf>
    <xf borderId="4" fillId="0" fontId="1" numFmtId="0" xfId="0" applyAlignment="1" applyBorder="1" applyFont="1">
      <alignment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4" fillId="22" fontId="28" numFmtId="0" xfId="0" applyAlignment="1" applyBorder="1" applyFont="1">
      <alignment horizontal="center" vertical="center"/>
    </xf>
    <xf borderId="0" fillId="22" fontId="3" numFmtId="0" xfId="0" applyAlignment="1" applyFont="1">
      <alignment horizontal="center" vertical="center"/>
    </xf>
    <xf borderId="4" fillId="22" fontId="28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4" fillId="0" fontId="27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vertical="center"/>
    </xf>
    <xf borderId="4" fillId="26" fontId="3" numFmtId="0" xfId="0" applyAlignment="1" applyBorder="1" applyFill="1" applyFont="1">
      <alignment horizontal="center" readingOrder="0" vertical="center"/>
    </xf>
    <xf borderId="4" fillId="26" fontId="27" numFmtId="0" xfId="0" applyAlignment="1" applyBorder="1" applyFont="1">
      <alignment readingOrder="0"/>
    </xf>
    <xf borderId="4" fillId="26" fontId="5" numFmtId="0" xfId="0" applyAlignment="1" applyBorder="1" applyFont="1">
      <alignment horizontal="center" readingOrder="0" vertical="center"/>
    </xf>
    <xf borderId="4" fillId="26" fontId="3" numFmtId="0" xfId="0" applyAlignment="1" applyBorder="1" applyFont="1">
      <alignment horizontal="center" vertical="center"/>
    </xf>
    <xf borderId="4" fillId="26" fontId="28" numFmtId="0" xfId="0" applyAlignment="1" applyBorder="1" applyFont="1">
      <alignment horizontal="center" vertical="center"/>
    </xf>
    <xf borderId="4" fillId="26" fontId="28" numFmtId="0" xfId="0" applyAlignment="1" applyBorder="1" applyFont="1">
      <alignment horizontal="center" readingOrder="0" vertical="center"/>
    </xf>
    <xf borderId="4" fillId="26" fontId="3" numFmtId="0" xfId="0" applyAlignment="1" applyBorder="1" applyFont="1">
      <alignment horizontal="center" readingOrder="0" shrinkToFit="0" vertical="center" wrapText="1"/>
    </xf>
    <xf borderId="0" fillId="26" fontId="3" numFmtId="0" xfId="0" applyAlignment="1" applyFont="1">
      <alignment horizontal="center" vertical="center"/>
    </xf>
    <xf borderId="4" fillId="26" fontId="3" numFmtId="0" xfId="0" applyAlignment="1" applyBorder="1" applyFont="1">
      <alignment horizontal="left" readingOrder="0" shrinkToFit="0" vertical="center" wrapText="1"/>
    </xf>
    <xf borderId="0" fillId="26" fontId="3" numFmtId="0" xfId="0" applyFont="1"/>
    <xf borderId="4" fillId="26" fontId="3" numFmtId="0" xfId="0" applyBorder="1" applyFont="1"/>
    <xf borderId="4" fillId="0" fontId="6" numFmtId="0" xfId="0" applyAlignment="1" applyBorder="1" applyFont="1">
      <alignment readingOrder="0"/>
    </xf>
    <xf borderId="4" fillId="0" fontId="6" numFmtId="0" xfId="0" applyBorder="1" applyFont="1"/>
    <xf borderId="0" fillId="0" fontId="45" numFmtId="0" xfId="0" applyAlignment="1" applyFont="1">
      <alignment vertical="center"/>
    </xf>
    <xf borderId="0" fillId="0" fontId="53" numFmtId="0" xfId="0" applyAlignment="1" applyFont="1">
      <alignment horizontal="center" readingOrder="0" vertical="center"/>
    </xf>
    <xf borderId="0" fillId="0" fontId="45" numFmtId="0" xfId="0" applyAlignment="1" applyFont="1">
      <alignment horizontal="center" vertical="center"/>
    </xf>
    <xf borderId="1" fillId="27" fontId="54" numFmtId="0" xfId="0" applyAlignment="1" applyBorder="1" applyFill="1" applyFont="1">
      <alignment horizontal="center" readingOrder="0" vertical="center"/>
    </xf>
    <xf borderId="14" fillId="28" fontId="53" numFmtId="0" xfId="0" applyAlignment="1" applyBorder="1" applyFill="1" applyFont="1">
      <alignment horizontal="center" shrinkToFit="0" vertical="center" wrapText="1"/>
    </xf>
    <xf borderId="15" fillId="28" fontId="54" numFmtId="0" xfId="0" applyAlignment="1" applyBorder="1" applyFont="1">
      <alignment horizontal="center" shrinkToFit="0" vertical="center" wrapText="1"/>
    </xf>
    <xf borderId="15" fillId="4" fontId="54" numFmtId="0" xfId="0" applyAlignment="1" applyBorder="1" applyFont="1">
      <alignment horizontal="center" shrinkToFit="0" vertical="center" wrapText="1"/>
    </xf>
    <xf borderId="15" fillId="28" fontId="55" numFmtId="0" xfId="0" applyAlignment="1" applyBorder="1" applyFont="1">
      <alignment horizontal="center" shrinkToFit="0" vertical="center" wrapText="1"/>
    </xf>
    <xf borderId="15" fillId="28" fontId="55" numFmtId="0" xfId="0" applyAlignment="1" applyBorder="1" applyFont="1">
      <alignment horizontal="center" readingOrder="0" shrinkToFit="0" vertical="center" wrapText="1"/>
    </xf>
    <xf borderId="15" fillId="28" fontId="54" numFmtId="0" xfId="0" applyAlignment="1" applyBorder="1" applyFont="1">
      <alignment horizontal="center" readingOrder="0" shrinkToFit="0" vertical="center" wrapText="1"/>
    </xf>
    <xf borderId="15" fillId="28" fontId="56" numFmtId="0" xfId="0" applyAlignment="1" applyBorder="1" applyFont="1">
      <alignment horizontal="center" shrinkToFit="0" vertical="center" wrapText="1"/>
    </xf>
    <xf borderId="15" fillId="14" fontId="54" numFmtId="0" xfId="0" applyAlignment="1" applyBorder="1" applyFont="1">
      <alignment horizontal="center" shrinkToFit="0" vertical="center" wrapText="1"/>
    </xf>
    <xf borderId="16" fillId="0" fontId="45" numFmtId="0" xfId="0" applyAlignment="1" applyBorder="1" applyFont="1">
      <alignment horizontal="center" shrinkToFit="0" vertical="center" wrapText="1"/>
    </xf>
    <xf borderId="17" fillId="6" fontId="57" numFmtId="0" xfId="0" applyAlignment="1" applyBorder="1" applyFont="1">
      <alignment horizontal="center" shrinkToFit="0" vertical="center" wrapText="1"/>
    </xf>
    <xf borderId="17" fillId="6" fontId="57" numFmtId="0" xfId="0" applyAlignment="1" applyBorder="1" applyFont="1">
      <alignment horizontal="center" readingOrder="0" shrinkToFit="0" vertical="center" wrapText="1"/>
    </xf>
    <xf borderId="17" fillId="6" fontId="58" numFmtId="0" xfId="0" applyAlignment="1" applyBorder="1" applyFont="1">
      <alignment horizontal="center" shrinkToFit="0" vertical="center" wrapText="1"/>
    </xf>
    <xf borderId="17" fillId="6" fontId="59" numFmtId="0" xfId="0" applyAlignment="1" applyBorder="1" applyFont="1">
      <alignment horizontal="center" readingOrder="0" shrinkToFit="0" vertical="center" wrapText="1"/>
    </xf>
    <xf borderId="17" fillId="6" fontId="58" numFmtId="0" xfId="0" applyAlignment="1" applyBorder="1" applyFont="1">
      <alignment horizontal="center" readingOrder="0" shrinkToFit="0" vertical="center" wrapText="1"/>
    </xf>
    <xf borderId="17" fillId="6" fontId="60" numFmtId="0" xfId="0" applyAlignment="1" applyBorder="1" applyFont="1">
      <alignment horizontal="center" readingOrder="0" shrinkToFit="0" vertical="center" wrapText="1"/>
    </xf>
    <xf borderId="17" fillId="6" fontId="57" numFmtId="0" xfId="0" applyAlignment="1" applyBorder="1" applyFont="1">
      <alignment readingOrder="0" shrinkToFit="0" vertical="center" wrapText="1"/>
    </xf>
    <xf borderId="17" fillId="6" fontId="59" numFmtId="0" xfId="0" applyAlignment="1" applyBorder="1" applyFont="1">
      <alignment horizontal="center" shrinkToFit="0" vertical="center" wrapText="1"/>
    </xf>
    <xf borderId="17" fillId="6" fontId="60" numFmtId="0" xfId="0" applyAlignment="1" applyBorder="1" applyFont="1">
      <alignment horizontal="center" shrinkToFit="0" vertical="center" wrapText="1"/>
    </xf>
    <xf borderId="17" fillId="6" fontId="57" numFmtId="0" xfId="0" applyAlignment="1" applyBorder="1" applyFont="1">
      <alignment shrinkToFit="0" vertical="center" wrapText="1"/>
    </xf>
    <xf borderId="0" fillId="6" fontId="45" numFmtId="0" xfId="0" applyAlignment="1" applyFont="1">
      <alignment vertical="center"/>
    </xf>
    <xf borderId="0" fillId="6" fontId="61" numFmtId="0" xfId="0" applyAlignment="1" applyFont="1">
      <alignment horizontal="center" vertical="center"/>
    </xf>
    <xf borderId="0" fillId="6" fontId="4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0</xdr:row>
      <xdr:rowOff>0</xdr:rowOff>
    </xdr:from>
    <xdr:ext cx="2857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QMuSGE9VsRfNnFV3-twOHi-aCfDq9vM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1CFblZ8NFVs1gr5BdcMBPXm96NBeEppL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31gsV6Eb-DauGhdzI6IQUsSUG-SyGIn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/>
  <cols>
    <col customWidth="1" min="1" max="1" width="5.57"/>
    <col customWidth="1" min="2" max="2" width="27.57"/>
    <col customWidth="1" min="3" max="3" width="6.71"/>
    <col customWidth="1" min="4" max="4" width="4.86"/>
    <col customWidth="1" min="5" max="7" width="5.71"/>
    <col customWidth="1" min="8" max="8" width="5.57"/>
    <col customWidth="1" min="9" max="9" width="6.29"/>
    <col customWidth="1" min="10" max="15" width="5.43"/>
    <col customWidth="1" min="16" max="16" width="8.29"/>
    <col customWidth="1" min="17" max="17" width="7.86"/>
    <col customWidth="1" min="18" max="18" width="3.14"/>
    <col customWidth="1" min="19" max="19" width="5.71"/>
    <col customWidth="1" min="20" max="21" width="5.57"/>
    <col customWidth="1" min="22" max="22" width="5.43"/>
    <col customWidth="1" min="23" max="23" width="5.71"/>
    <col customWidth="1" min="24" max="25" width="6.86"/>
    <col customWidth="1" min="26" max="26" width="2.14"/>
    <col customWidth="1" min="27" max="27" width="6.57"/>
    <col customWidth="1" min="28" max="29" width="5.57"/>
    <col customWidth="1" min="30" max="30" width="6.71"/>
    <col customWidth="1" min="31" max="32" width="5.86"/>
    <col customWidth="1" min="33" max="33" width="7.0"/>
    <col customWidth="1" min="34" max="34" width="3.43"/>
    <col customWidth="1" min="35" max="36" width="5.71"/>
    <col customWidth="1" min="37" max="37" width="5.14"/>
    <col customWidth="1" min="38" max="38" width="5.0"/>
    <col customWidth="1" min="39" max="39" width="5.29"/>
    <col customWidth="1" min="40" max="40" width="6.14"/>
    <col customWidth="1" min="41" max="41" width="6.57"/>
    <col customWidth="1" min="42" max="42" width="34.57"/>
    <col customWidth="1" min="43" max="43" width="3.43"/>
    <col customWidth="1" min="44" max="44" width="49.57"/>
    <col customWidth="1" min="45" max="45" width="3.43"/>
    <col customWidth="1" min="46" max="46" width="10.57"/>
    <col customWidth="1" min="47" max="48" width="5.43"/>
    <col customWidth="1" min="49" max="49" width="5.71"/>
    <col customWidth="1" min="50" max="50" width="6.29"/>
    <col customWidth="1" min="51" max="51" width="6.57"/>
    <col customWidth="1" min="52" max="52" width="8.86"/>
    <col customWidth="1" min="53" max="53" width="15.86"/>
    <col customWidth="1" min="54" max="54" width="18.14"/>
    <col customWidth="1" min="55" max="55" width="18.0"/>
    <col customWidth="1" min="56" max="56" width="23.29"/>
    <col customWidth="1" min="57" max="57" width="4.43"/>
    <col customWidth="1" hidden="1" min="58" max="58" width="6.57"/>
    <col customWidth="1" hidden="1" min="59" max="59" width="6.29"/>
    <col customWidth="1" hidden="1" min="60" max="61" width="6.71"/>
    <col customWidth="1" hidden="1" min="62" max="62" width="6.0"/>
    <col customWidth="1" hidden="1" min="63" max="63" width="3.29"/>
    <col customWidth="1" hidden="1" min="64" max="65" width="6.29"/>
    <col customWidth="1" hidden="1" min="66" max="67" width="6.71"/>
    <col customWidth="1" hidden="1" min="68" max="68" width="5.57"/>
  </cols>
  <sheetData>
    <row r="1" ht="13.5" customHeight="1">
      <c r="A1" s="1" t="s">
        <v>0</v>
      </c>
      <c r="D1" s="2" t="s">
        <v>1</v>
      </c>
      <c r="J1" s="3" t="s">
        <v>2</v>
      </c>
      <c r="P1" s="4" t="s">
        <v>3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  <c r="AQ1" s="5"/>
      <c r="AR1" s="7"/>
      <c r="AT1" s="5"/>
      <c r="AU1" s="5"/>
      <c r="AV1" s="5"/>
      <c r="AW1" s="5"/>
      <c r="AX1" s="5"/>
      <c r="AY1" s="5"/>
      <c r="AZ1" s="5"/>
      <c r="BF1" s="8" t="s">
        <v>1</v>
      </c>
      <c r="BK1" s="9"/>
      <c r="BL1" s="10" t="s">
        <v>2</v>
      </c>
    </row>
    <row r="2">
      <c r="D2" s="11" t="s">
        <v>4</v>
      </c>
      <c r="J2" s="12" t="s">
        <v>5</v>
      </c>
      <c r="P2" s="13" t="s">
        <v>6</v>
      </c>
      <c r="R2" s="5"/>
      <c r="S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 t="s">
        <v>7</v>
      </c>
      <c r="AP2" s="16"/>
      <c r="AQ2" s="5"/>
      <c r="AR2" s="16" t="s">
        <v>8</v>
      </c>
      <c r="AT2" s="5"/>
      <c r="AU2" s="5"/>
      <c r="AV2" s="5"/>
      <c r="AW2" s="5"/>
      <c r="AX2" s="5"/>
      <c r="AY2" s="5"/>
      <c r="AZ2" s="5"/>
      <c r="BF2" s="17" t="s">
        <v>4</v>
      </c>
      <c r="BK2" s="18"/>
      <c r="BL2" s="19" t="s">
        <v>5</v>
      </c>
    </row>
    <row r="3" ht="30.75" customHeight="1">
      <c r="D3" s="20" t="s">
        <v>9</v>
      </c>
      <c r="R3" s="21"/>
      <c r="S3" s="22" t="s">
        <v>10</v>
      </c>
      <c r="AA3" s="23" t="s">
        <v>11</v>
      </c>
      <c r="AI3" s="24" t="s">
        <v>12</v>
      </c>
      <c r="AP3" s="25"/>
      <c r="AQ3" s="5"/>
      <c r="AR3" s="26" t="s">
        <v>13</v>
      </c>
      <c r="AS3" s="27"/>
      <c r="AT3" s="28" t="s">
        <v>14</v>
      </c>
      <c r="BB3" s="29" t="s">
        <v>15</v>
      </c>
      <c r="BC3" s="30"/>
      <c r="BD3" s="31"/>
      <c r="BE3" s="32"/>
      <c r="BF3" s="33"/>
      <c r="BK3" s="34"/>
      <c r="BL3" s="34"/>
      <c r="BM3" s="34"/>
      <c r="BN3" s="34"/>
      <c r="BO3" s="34"/>
      <c r="BP3" s="34"/>
    </row>
    <row r="4" ht="37.5" customHeight="1">
      <c r="A4" s="35" t="s">
        <v>16</v>
      </c>
      <c r="B4" s="36" t="s">
        <v>17</v>
      </c>
      <c r="C4" s="37" t="s">
        <v>18</v>
      </c>
      <c r="D4" s="38" t="s">
        <v>19</v>
      </c>
      <c r="E4" s="38" t="s">
        <v>20</v>
      </c>
      <c r="F4" s="38" t="s">
        <v>21</v>
      </c>
      <c r="G4" s="38" t="s">
        <v>22</v>
      </c>
      <c r="H4" s="38" t="s">
        <v>23</v>
      </c>
      <c r="I4" s="38" t="s">
        <v>24</v>
      </c>
      <c r="J4" s="39" t="s">
        <v>19</v>
      </c>
      <c r="K4" s="39" t="s">
        <v>20</v>
      </c>
      <c r="L4" s="39" t="s">
        <v>21</v>
      </c>
      <c r="M4" s="39" t="s">
        <v>22</v>
      </c>
      <c r="N4" s="39" t="s">
        <v>23</v>
      </c>
      <c r="O4" s="39" t="s">
        <v>24</v>
      </c>
      <c r="P4" s="40" t="s">
        <v>25</v>
      </c>
      <c r="Q4" s="40" t="s">
        <v>26</v>
      </c>
      <c r="R4" s="32"/>
      <c r="S4" s="38" t="s">
        <v>20</v>
      </c>
      <c r="T4" s="38" t="s">
        <v>21</v>
      </c>
      <c r="U4" s="38" t="s">
        <v>22</v>
      </c>
      <c r="V4" s="38" t="s">
        <v>23</v>
      </c>
      <c r="W4" s="38" t="s">
        <v>24</v>
      </c>
      <c r="X4" s="41" t="s">
        <v>27</v>
      </c>
      <c r="Y4" s="41" t="s">
        <v>28</v>
      </c>
      <c r="AA4" s="38" t="s">
        <v>20</v>
      </c>
      <c r="AB4" s="38" t="s">
        <v>21</v>
      </c>
      <c r="AC4" s="38" t="s">
        <v>22</v>
      </c>
      <c r="AD4" s="38" t="s">
        <v>23</v>
      </c>
      <c r="AE4" s="38" t="s">
        <v>24</v>
      </c>
      <c r="AF4" s="41" t="s">
        <v>27</v>
      </c>
      <c r="AG4" s="41" t="s">
        <v>28</v>
      </c>
      <c r="AI4" s="42" t="s">
        <v>20</v>
      </c>
      <c r="AJ4" s="42" t="s">
        <v>21</v>
      </c>
      <c r="AK4" s="42" t="s">
        <v>22</v>
      </c>
      <c r="AL4" s="42" t="s">
        <v>23</v>
      </c>
      <c r="AM4" s="42" t="s">
        <v>24</v>
      </c>
      <c r="AN4" s="43" t="s">
        <v>29</v>
      </c>
      <c r="AO4" s="43" t="s">
        <v>30</v>
      </c>
      <c r="AP4" s="43" t="s">
        <v>31</v>
      </c>
      <c r="AQ4" s="5"/>
      <c r="AR4" s="44"/>
      <c r="AS4" s="5"/>
      <c r="AT4" s="42" t="s">
        <v>20</v>
      </c>
      <c r="AU4" s="42" t="s">
        <v>21</v>
      </c>
      <c r="AV4" s="42" t="s">
        <v>22</v>
      </c>
      <c r="AW4" s="42" t="s">
        <v>23</v>
      </c>
      <c r="AX4" s="42" t="s">
        <v>24</v>
      </c>
      <c r="AY4" s="43" t="s">
        <v>29</v>
      </c>
      <c r="AZ4" s="43" t="s">
        <v>26</v>
      </c>
      <c r="BA4" s="43" t="s">
        <v>31</v>
      </c>
      <c r="BB4" s="45" t="s">
        <v>32</v>
      </c>
      <c r="BC4" s="45" t="s">
        <v>33</v>
      </c>
      <c r="BD4" s="45" t="s">
        <v>34</v>
      </c>
      <c r="BE4" s="46"/>
      <c r="BF4" s="38" t="s">
        <v>35</v>
      </c>
      <c r="BG4" s="38" t="s">
        <v>36</v>
      </c>
      <c r="BH4" s="38" t="s">
        <v>37</v>
      </c>
      <c r="BI4" s="38" t="s">
        <v>38</v>
      </c>
      <c r="BJ4" s="38" t="s">
        <v>39</v>
      </c>
      <c r="BK4" s="32"/>
      <c r="BL4" s="39" t="s">
        <v>35</v>
      </c>
      <c r="BM4" s="39" t="s">
        <v>36</v>
      </c>
      <c r="BN4" s="39" t="s">
        <v>37</v>
      </c>
      <c r="BO4" s="39" t="s">
        <v>38</v>
      </c>
      <c r="BP4" s="39" t="s">
        <v>39</v>
      </c>
    </row>
    <row r="5">
      <c r="A5" s="47">
        <v>1.0</v>
      </c>
      <c r="B5" s="48" t="s">
        <v>40</v>
      </c>
      <c r="C5" s="49" t="s">
        <v>41</v>
      </c>
      <c r="D5" s="50">
        <v>0.0</v>
      </c>
      <c r="E5" s="50">
        <v>0.0</v>
      </c>
      <c r="F5" s="50">
        <v>0.0</v>
      </c>
      <c r="G5" s="50">
        <v>0.0</v>
      </c>
      <c r="H5" s="50">
        <v>0.0</v>
      </c>
      <c r="I5" s="50">
        <v>0.0</v>
      </c>
      <c r="J5" s="51"/>
      <c r="K5" s="51"/>
      <c r="L5" s="51"/>
      <c r="M5" s="51"/>
      <c r="N5" s="51"/>
      <c r="O5" s="51"/>
      <c r="P5" s="52">
        <v>1.0</v>
      </c>
      <c r="Q5" s="52">
        <v>1.0</v>
      </c>
      <c r="R5" s="53"/>
      <c r="S5" s="47"/>
      <c r="T5" s="47"/>
      <c r="U5" s="47"/>
      <c r="V5" s="47"/>
      <c r="W5" s="47"/>
      <c r="X5" s="54"/>
      <c r="Y5" s="54"/>
      <c r="Z5" s="53"/>
      <c r="AA5" s="54">
        <f t="shared" ref="AA5:AE5" si="1">ROUND(E5*0.5+K5*0.5-S5,2)</f>
        <v>0</v>
      </c>
      <c r="AB5" s="54">
        <f t="shared" si="1"/>
        <v>0</v>
      </c>
      <c r="AC5" s="54">
        <f t="shared" si="1"/>
        <v>0</v>
      </c>
      <c r="AD5" s="54">
        <f t="shared" si="1"/>
        <v>0</v>
      </c>
      <c r="AE5" s="54">
        <f t="shared" si="1"/>
        <v>0</v>
      </c>
      <c r="AF5" s="54">
        <f t="shared" ref="AF5:AG5" si="2">ROUND(P5-X5,2)</f>
        <v>1</v>
      </c>
      <c r="AG5" s="54">
        <f t="shared" si="2"/>
        <v>1</v>
      </c>
      <c r="AH5" s="53"/>
      <c r="AI5" s="47"/>
      <c r="AJ5" s="47"/>
      <c r="AK5" s="47"/>
      <c r="AL5" s="47"/>
      <c r="AM5" s="47"/>
      <c r="AN5" s="47"/>
      <c r="AO5" s="47"/>
      <c r="AP5" s="52"/>
      <c r="AQ5" s="53"/>
      <c r="AR5" s="55" t="s">
        <v>42</v>
      </c>
      <c r="AS5" s="56"/>
      <c r="AT5" s="54"/>
      <c r="AU5" s="54"/>
      <c r="AV5" s="54"/>
      <c r="AW5" s="54"/>
      <c r="AX5" s="54"/>
      <c r="AY5" s="54"/>
      <c r="AZ5" s="54"/>
      <c r="BA5" s="57"/>
      <c r="BB5" s="58"/>
      <c r="BC5" s="57"/>
      <c r="BD5" s="57"/>
      <c r="BE5" s="59"/>
      <c r="BF5" s="60"/>
      <c r="BG5" s="61"/>
      <c r="BH5" s="61"/>
      <c r="BI5" s="61"/>
      <c r="BJ5" s="61"/>
      <c r="BK5" s="53"/>
      <c r="BL5" s="54"/>
      <c r="BM5" s="54"/>
      <c r="BN5" s="54"/>
      <c r="BO5" s="54"/>
      <c r="BP5" s="54"/>
    </row>
    <row r="6">
      <c r="A6" s="47">
        <v>2.0</v>
      </c>
      <c r="B6" s="48" t="s">
        <v>43</v>
      </c>
      <c r="C6" s="49" t="s">
        <v>41</v>
      </c>
      <c r="D6" s="50"/>
      <c r="E6" s="50">
        <v>0.3</v>
      </c>
      <c r="F6" s="50">
        <v>0.3</v>
      </c>
      <c r="G6" s="50">
        <v>0.2</v>
      </c>
      <c r="H6" s="50">
        <v>0.2</v>
      </c>
      <c r="I6" s="50">
        <v>0.0</v>
      </c>
      <c r="J6" s="51"/>
      <c r="K6" s="51"/>
      <c r="L6" s="51"/>
      <c r="M6" s="51"/>
      <c r="N6" s="51"/>
      <c r="O6" s="51"/>
      <c r="P6" s="52">
        <v>1.0</v>
      </c>
      <c r="Q6" s="52">
        <v>1.0</v>
      </c>
      <c r="R6" s="62"/>
      <c r="S6" s="54"/>
      <c r="T6" s="54"/>
      <c r="U6" s="47"/>
      <c r="V6" s="47"/>
      <c r="W6" s="47"/>
      <c r="X6" s="54"/>
      <c r="Y6" s="47"/>
      <c r="Z6" s="62"/>
      <c r="AA6" s="54">
        <f t="shared" ref="AA6:AE6" si="3">ROUND(E6*0.5+K6*0.5-S6,2)</f>
        <v>0.15</v>
      </c>
      <c r="AB6" s="54">
        <f t="shared" si="3"/>
        <v>0.15</v>
      </c>
      <c r="AC6" s="54">
        <f t="shared" si="3"/>
        <v>0.1</v>
      </c>
      <c r="AD6" s="54">
        <f t="shared" si="3"/>
        <v>0.1</v>
      </c>
      <c r="AE6" s="54">
        <f t="shared" si="3"/>
        <v>0</v>
      </c>
      <c r="AF6" s="54">
        <f t="shared" ref="AF6:AG6" si="4">ROUND(P6-X6,2)</f>
        <v>1</v>
      </c>
      <c r="AG6" s="54">
        <f t="shared" si="4"/>
        <v>1</v>
      </c>
      <c r="AH6" s="62"/>
      <c r="AI6" s="47"/>
      <c r="AJ6" s="47"/>
      <c r="AK6" s="47"/>
      <c r="AL6" s="47"/>
      <c r="AM6" s="47"/>
      <c r="AN6" s="47"/>
      <c r="AO6" s="47"/>
      <c r="AP6" s="52"/>
      <c r="AQ6" s="62"/>
      <c r="AR6" s="62"/>
      <c r="AS6" s="62"/>
      <c r="AT6" s="63"/>
      <c r="AU6" s="63"/>
      <c r="AV6" s="54"/>
      <c r="AW6" s="54"/>
      <c r="AX6" s="54"/>
      <c r="AY6" s="54"/>
      <c r="AZ6" s="54"/>
      <c r="BA6" s="58"/>
      <c r="BB6" s="58"/>
      <c r="BC6" s="58"/>
      <c r="BD6" s="58"/>
      <c r="BE6" s="64"/>
      <c r="BF6" s="60"/>
      <c r="BG6" s="61"/>
      <c r="BH6" s="61"/>
      <c r="BI6" s="61"/>
      <c r="BJ6" s="61"/>
      <c r="BK6" s="62"/>
      <c r="BL6" s="54"/>
      <c r="BM6" s="54"/>
      <c r="BN6" s="54"/>
      <c r="BO6" s="54"/>
      <c r="BP6" s="54"/>
    </row>
    <row r="7">
      <c r="A7" s="47">
        <v>3.0</v>
      </c>
      <c r="B7" s="65" t="s">
        <v>44</v>
      </c>
      <c r="C7" s="49" t="s">
        <v>41</v>
      </c>
      <c r="D7" s="50">
        <v>2.0</v>
      </c>
      <c r="E7" s="50">
        <v>1.0</v>
      </c>
      <c r="F7" s="50">
        <v>0.4</v>
      </c>
      <c r="G7" s="50">
        <v>0.3</v>
      </c>
      <c r="H7" s="50">
        <v>0.0</v>
      </c>
      <c r="I7" s="50">
        <v>0.3</v>
      </c>
      <c r="J7" s="51"/>
      <c r="K7" s="51"/>
      <c r="L7" s="51"/>
      <c r="M7" s="51"/>
      <c r="N7" s="51"/>
      <c r="O7" s="51"/>
      <c r="P7" s="52">
        <v>1.0</v>
      </c>
      <c r="Q7" s="52">
        <v>1.0</v>
      </c>
      <c r="R7" s="62"/>
      <c r="S7" s="47">
        <v>0.236</v>
      </c>
      <c r="T7" s="54"/>
      <c r="U7" s="54"/>
      <c r="V7" s="54"/>
      <c r="W7" s="54"/>
      <c r="X7" s="54"/>
      <c r="Y7" s="54"/>
      <c r="Z7" s="62"/>
      <c r="AA7" s="54">
        <f t="shared" ref="AA7:AE7" si="5">ROUND(E7*0.5+K7*0.5-S7,2)</f>
        <v>0.26</v>
      </c>
      <c r="AB7" s="54">
        <f t="shared" si="5"/>
        <v>0.2</v>
      </c>
      <c r="AC7" s="54">
        <f t="shared" si="5"/>
        <v>0.15</v>
      </c>
      <c r="AD7" s="54">
        <f t="shared" si="5"/>
        <v>0</v>
      </c>
      <c r="AE7" s="54">
        <f t="shared" si="5"/>
        <v>0.15</v>
      </c>
      <c r="AF7" s="54">
        <f t="shared" ref="AF7:AG7" si="6">ROUND(P7-X7,2)</f>
        <v>1</v>
      </c>
      <c r="AG7" s="54">
        <f t="shared" si="6"/>
        <v>1</v>
      </c>
      <c r="AH7" s="62"/>
      <c r="AI7" s="66"/>
      <c r="AJ7" s="66"/>
      <c r="AK7" s="66"/>
      <c r="AL7" s="66"/>
      <c r="AM7" s="66"/>
      <c r="AN7" s="66"/>
      <c r="AO7" s="66"/>
      <c r="AP7" s="67"/>
      <c r="AQ7" s="62"/>
      <c r="AR7" s="62"/>
      <c r="AS7" s="62"/>
      <c r="AT7" s="54"/>
      <c r="AU7" s="54"/>
      <c r="AV7" s="54"/>
      <c r="AW7" s="54"/>
      <c r="AX7" s="54"/>
      <c r="AY7" s="54"/>
      <c r="AZ7" s="54"/>
      <c r="BA7" s="57"/>
      <c r="BB7" s="58"/>
      <c r="BC7" s="57"/>
      <c r="BD7" s="57"/>
      <c r="BE7" s="59"/>
      <c r="BF7" s="68"/>
      <c r="BG7" s="69"/>
      <c r="BH7" s="69"/>
      <c r="BI7" s="69"/>
      <c r="BJ7" s="69"/>
      <c r="BK7" s="62"/>
      <c r="BL7" s="54"/>
      <c r="BM7" s="54"/>
      <c r="BN7" s="54"/>
      <c r="BO7" s="54"/>
      <c r="BP7" s="54"/>
    </row>
    <row r="8">
      <c r="A8" s="47">
        <v>4.0</v>
      </c>
      <c r="B8" s="65" t="s">
        <v>45</v>
      </c>
      <c r="C8" s="49" t="s">
        <v>41</v>
      </c>
      <c r="D8" s="50">
        <v>2.0</v>
      </c>
      <c r="E8" s="50">
        <v>0.5</v>
      </c>
      <c r="F8" s="50">
        <v>0.3</v>
      </c>
      <c r="G8" s="50">
        <v>0.2</v>
      </c>
      <c r="H8" s="50">
        <v>0.8</v>
      </c>
      <c r="I8" s="50">
        <v>0.2</v>
      </c>
      <c r="J8" s="51"/>
      <c r="K8" s="51"/>
      <c r="L8" s="51"/>
      <c r="M8" s="51"/>
      <c r="N8" s="51"/>
      <c r="O8" s="51"/>
      <c r="P8" s="52">
        <v>1.0</v>
      </c>
      <c r="Q8" s="52">
        <v>1.0</v>
      </c>
      <c r="R8" s="62"/>
      <c r="S8" s="47">
        <v>0.29</v>
      </c>
      <c r="T8" s="47">
        <v>0.02</v>
      </c>
      <c r="U8" s="47">
        <v>0.01</v>
      </c>
      <c r="V8" s="47">
        <v>0.14</v>
      </c>
      <c r="W8" s="54"/>
      <c r="X8" s="54"/>
      <c r="Y8" s="54"/>
      <c r="Z8" s="62"/>
      <c r="AA8" s="54">
        <f t="shared" ref="AA8:AE8" si="7">ROUND(E8*0.5+K8*0.5-S8,2)</f>
        <v>-0.04</v>
      </c>
      <c r="AB8" s="54">
        <f t="shared" si="7"/>
        <v>0.13</v>
      </c>
      <c r="AC8" s="54">
        <f t="shared" si="7"/>
        <v>0.09</v>
      </c>
      <c r="AD8" s="54">
        <f t="shared" si="7"/>
        <v>0.26</v>
      </c>
      <c r="AE8" s="54">
        <f t="shared" si="7"/>
        <v>0.1</v>
      </c>
      <c r="AF8" s="54">
        <f t="shared" ref="AF8:AG8" si="8">ROUND(P8-X8,2)</f>
        <v>1</v>
      </c>
      <c r="AG8" s="54">
        <f t="shared" si="8"/>
        <v>1</v>
      </c>
      <c r="AH8" s="62"/>
      <c r="AI8" s="47"/>
      <c r="AJ8" s="47"/>
      <c r="AK8" s="47"/>
      <c r="AL8" s="47"/>
      <c r="AM8" s="47"/>
      <c r="AN8" s="47"/>
      <c r="AO8" s="47"/>
      <c r="AP8" s="70"/>
      <c r="AQ8" s="62"/>
      <c r="AR8" s="62"/>
      <c r="AS8" s="62"/>
      <c r="AT8" s="71"/>
      <c r="AU8" s="72"/>
      <c r="AV8" s="54"/>
      <c r="AW8" s="54"/>
      <c r="AX8" s="54"/>
      <c r="AY8" s="54"/>
      <c r="AZ8" s="54"/>
      <c r="BA8" s="57"/>
      <c r="BB8" s="58"/>
      <c r="BC8" s="58"/>
      <c r="BD8" s="57"/>
      <c r="BE8" s="59"/>
      <c r="BF8" s="68"/>
      <c r="BG8" s="69"/>
      <c r="BH8" s="69"/>
      <c r="BI8" s="69"/>
      <c r="BJ8" s="69"/>
      <c r="BK8" s="62"/>
      <c r="BL8" s="54"/>
      <c r="BM8" s="54"/>
      <c r="BN8" s="54"/>
      <c r="BO8" s="54"/>
      <c r="BP8" s="54"/>
    </row>
    <row r="9">
      <c r="A9" s="47">
        <v>5.0</v>
      </c>
      <c r="B9" s="65" t="s">
        <v>46</v>
      </c>
      <c r="C9" s="49" t="s">
        <v>41</v>
      </c>
      <c r="D9" s="50">
        <v>2.0</v>
      </c>
      <c r="E9" s="50">
        <v>1.2</v>
      </c>
      <c r="F9" s="50">
        <v>0.3</v>
      </c>
      <c r="G9" s="50">
        <v>0.3</v>
      </c>
      <c r="H9" s="50">
        <v>0.0</v>
      </c>
      <c r="I9" s="50">
        <v>0.2</v>
      </c>
      <c r="J9" s="51"/>
      <c r="K9" s="51"/>
      <c r="L9" s="51"/>
      <c r="M9" s="51"/>
      <c r="N9" s="51"/>
      <c r="O9" s="51"/>
      <c r="P9" s="52">
        <v>1.0</v>
      </c>
      <c r="Q9" s="52">
        <v>1.0</v>
      </c>
      <c r="R9" s="62"/>
      <c r="S9" s="47">
        <v>0.81</v>
      </c>
      <c r="T9" s="47">
        <v>0.32</v>
      </c>
      <c r="U9" s="47">
        <v>0.06</v>
      </c>
      <c r="V9" s="47">
        <v>0.02</v>
      </c>
      <c r="X9" s="54"/>
      <c r="Y9" s="54"/>
      <c r="Z9" s="62"/>
      <c r="AA9" s="54">
        <f t="shared" ref="AA9:AE9" si="9">ROUND(E9*0.5+K9*0.5-S9,2)</f>
        <v>-0.21</v>
      </c>
      <c r="AB9" s="54">
        <f t="shared" si="9"/>
        <v>-0.17</v>
      </c>
      <c r="AC9" s="54">
        <f t="shared" si="9"/>
        <v>0.09</v>
      </c>
      <c r="AD9" s="54">
        <f t="shared" si="9"/>
        <v>-0.02</v>
      </c>
      <c r="AE9" s="54">
        <f t="shared" si="9"/>
        <v>0.1</v>
      </c>
      <c r="AF9" s="54">
        <f t="shared" ref="AF9:AG9" si="10">ROUND(P9-X9,2)</f>
        <v>1</v>
      </c>
      <c r="AG9" s="54">
        <f t="shared" si="10"/>
        <v>1</v>
      </c>
      <c r="AH9" s="62"/>
      <c r="AI9" s="52"/>
      <c r="AJ9" s="52"/>
      <c r="AK9" s="73"/>
      <c r="AL9" s="47"/>
      <c r="AM9" s="47"/>
      <c r="AN9" s="47"/>
      <c r="AO9" s="47"/>
      <c r="AP9" s="74"/>
      <c r="AQ9" s="62"/>
      <c r="AR9" s="62"/>
      <c r="AS9" s="62"/>
      <c r="AT9" s="54"/>
      <c r="AU9" s="54"/>
      <c r="AV9" s="54"/>
      <c r="AW9" s="54"/>
      <c r="AX9" s="54"/>
      <c r="AY9" s="54"/>
      <c r="AZ9" s="54"/>
      <c r="BA9" s="57"/>
      <c r="BB9" s="58"/>
      <c r="BC9" s="58"/>
      <c r="BD9" s="57"/>
      <c r="BE9" s="59"/>
      <c r="BF9" s="60"/>
      <c r="BG9" s="61"/>
      <c r="BH9" s="61"/>
      <c r="BI9" s="61"/>
      <c r="BJ9" s="61"/>
      <c r="BK9" s="62"/>
      <c r="BL9" s="54"/>
      <c r="BM9" s="54"/>
      <c r="BN9" s="54"/>
      <c r="BO9" s="54"/>
      <c r="BP9" s="54"/>
    </row>
    <row r="10">
      <c r="A10" s="47">
        <v>6.0</v>
      </c>
      <c r="B10" s="65" t="s">
        <v>47</v>
      </c>
      <c r="C10" s="49" t="s">
        <v>41</v>
      </c>
      <c r="D10" s="50">
        <v>3.5</v>
      </c>
      <c r="E10" s="50">
        <v>0.5</v>
      </c>
      <c r="F10" s="50">
        <v>0.3</v>
      </c>
      <c r="G10" s="50">
        <v>0.0</v>
      </c>
      <c r="H10" s="50">
        <v>0.0</v>
      </c>
      <c r="I10" s="50">
        <v>0.2</v>
      </c>
      <c r="J10" s="75"/>
      <c r="K10" s="75"/>
      <c r="L10" s="75"/>
      <c r="M10" s="51"/>
      <c r="N10" s="51"/>
      <c r="O10" s="51"/>
      <c r="P10" s="52">
        <v>1.0</v>
      </c>
      <c r="Q10" s="52">
        <v>1.0</v>
      </c>
      <c r="R10" s="62"/>
      <c r="S10" s="47">
        <v>0.14</v>
      </c>
      <c r="T10" s="47">
        <v>0.008</v>
      </c>
      <c r="U10" s="47">
        <v>0.02</v>
      </c>
      <c r="V10" s="54"/>
      <c r="W10" s="54"/>
      <c r="X10" s="54"/>
      <c r="Y10" s="54"/>
      <c r="Z10" s="62"/>
      <c r="AA10" s="54">
        <f t="shared" ref="AA10:AE10" si="11">ROUND(E10*0.5+K10*0.5-S10,2)</f>
        <v>0.11</v>
      </c>
      <c r="AB10" s="54">
        <f t="shared" si="11"/>
        <v>0.14</v>
      </c>
      <c r="AC10" s="54">
        <f t="shared" si="11"/>
        <v>-0.02</v>
      </c>
      <c r="AD10" s="54">
        <f t="shared" si="11"/>
        <v>0</v>
      </c>
      <c r="AE10" s="54">
        <f t="shared" si="11"/>
        <v>0.1</v>
      </c>
      <c r="AF10" s="54">
        <f t="shared" ref="AF10:AG10" si="12">ROUND(P10-X10,2)</f>
        <v>1</v>
      </c>
      <c r="AG10" s="54">
        <f t="shared" si="12"/>
        <v>1</v>
      </c>
      <c r="AH10" s="62"/>
      <c r="AI10" s="47"/>
      <c r="AJ10" s="47"/>
      <c r="AK10" s="47"/>
      <c r="AL10" s="47"/>
      <c r="AM10" s="47"/>
      <c r="AN10" s="47"/>
      <c r="AO10" s="47"/>
      <c r="AP10" s="76"/>
      <c r="AQ10" s="62"/>
      <c r="AR10" s="62"/>
      <c r="AS10" s="62"/>
      <c r="AT10" s="54"/>
      <c r="AU10" s="54"/>
      <c r="AV10" s="54"/>
      <c r="AW10" s="54"/>
      <c r="AX10" s="54"/>
      <c r="AY10" s="54"/>
      <c r="AZ10" s="54"/>
      <c r="BA10" s="57"/>
      <c r="BB10" s="57"/>
      <c r="BC10" s="57"/>
      <c r="BD10" s="57"/>
      <c r="BE10" s="59"/>
      <c r="BF10" s="68"/>
      <c r="BG10" s="69"/>
      <c r="BH10" s="69"/>
      <c r="BI10" s="69"/>
      <c r="BJ10" s="69"/>
      <c r="BK10" s="62"/>
      <c r="BL10" s="54"/>
      <c r="BM10" s="54"/>
      <c r="BN10" s="54"/>
      <c r="BO10" s="54"/>
      <c r="BP10" s="54"/>
    </row>
    <row r="11">
      <c r="A11" s="47">
        <v>7.0</v>
      </c>
      <c r="B11" s="65" t="s">
        <v>48</v>
      </c>
      <c r="C11" s="49" t="s">
        <v>41</v>
      </c>
      <c r="D11" s="50">
        <v>3.0</v>
      </c>
      <c r="E11" s="50">
        <v>0.5</v>
      </c>
      <c r="F11" s="50">
        <v>0.3</v>
      </c>
      <c r="G11" s="50">
        <v>0.2</v>
      </c>
      <c r="H11" s="50">
        <v>0.0</v>
      </c>
      <c r="I11" s="50">
        <v>0.0</v>
      </c>
      <c r="J11" s="75"/>
      <c r="K11" s="75"/>
      <c r="L11" s="75"/>
      <c r="M11" s="51"/>
      <c r="N11" s="51"/>
      <c r="O11" s="51"/>
      <c r="P11" s="52">
        <v>1.0</v>
      </c>
      <c r="Q11" s="52">
        <v>1.0</v>
      </c>
      <c r="R11" s="62"/>
      <c r="S11" s="47">
        <v>0.04</v>
      </c>
      <c r="T11" s="47">
        <v>0.07</v>
      </c>
      <c r="U11" s="47">
        <v>0.03</v>
      </c>
      <c r="V11" s="54"/>
      <c r="W11" s="54"/>
      <c r="X11" s="54"/>
      <c r="Y11" s="47"/>
      <c r="Z11" s="62"/>
      <c r="AA11" s="54">
        <f t="shared" ref="AA11:AE11" si="13">ROUND(E11*0.5+K11*0.5-S11,2)</f>
        <v>0.21</v>
      </c>
      <c r="AB11" s="54">
        <f t="shared" si="13"/>
        <v>0.08</v>
      </c>
      <c r="AC11" s="54">
        <f t="shared" si="13"/>
        <v>0.07</v>
      </c>
      <c r="AD11" s="54">
        <f t="shared" si="13"/>
        <v>0</v>
      </c>
      <c r="AE11" s="54">
        <f t="shared" si="13"/>
        <v>0</v>
      </c>
      <c r="AF11" s="54">
        <f t="shared" ref="AF11:AG11" si="14">ROUND(P11-X11,2)</f>
        <v>1</v>
      </c>
      <c r="AG11" s="54">
        <f t="shared" si="14"/>
        <v>1</v>
      </c>
      <c r="AH11" s="62"/>
      <c r="AI11" s="47"/>
      <c r="AJ11" s="47"/>
      <c r="AK11" s="47"/>
      <c r="AL11" s="47"/>
      <c r="AM11" s="47"/>
      <c r="AN11" s="47"/>
      <c r="AO11" s="47"/>
      <c r="AP11" s="76"/>
      <c r="AQ11" s="62"/>
      <c r="AR11" s="62"/>
      <c r="AS11" s="62"/>
      <c r="AT11" s="54"/>
      <c r="AU11" s="54"/>
      <c r="AV11" s="54"/>
      <c r="AW11" s="54"/>
      <c r="AX11" s="54"/>
      <c r="AY11" s="54"/>
      <c r="AZ11" s="54"/>
      <c r="BA11" s="57"/>
      <c r="BB11" s="58"/>
      <c r="BC11" s="57"/>
      <c r="BD11" s="57"/>
      <c r="BE11" s="59"/>
      <c r="BF11" s="68"/>
      <c r="BG11" s="69"/>
      <c r="BH11" s="69"/>
      <c r="BI11" s="69"/>
      <c r="BJ11" s="69"/>
      <c r="BK11" s="62"/>
      <c r="BL11" s="54"/>
      <c r="BM11" s="54"/>
      <c r="BN11" s="54"/>
      <c r="BO11" s="54"/>
      <c r="BP11" s="54"/>
    </row>
    <row r="12">
      <c r="A12" s="47">
        <v>8.0</v>
      </c>
      <c r="B12" s="65" t="s">
        <v>49</v>
      </c>
      <c r="C12" s="49" t="s">
        <v>41</v>
      </c>
      <c r="D12" s="50">
        <v>3.0</v>
      </c>
      <c r="E12" s="50">
        <v>0.5</v>
      </c>
      <c r="F12" s="50">
        <v>0.3</v>
      </c>
      <c r="G12" s="50">
        <v>0.0</v>
      </c>
      <c r="H12" s="50">
        <v>0.0</v>
      </c>
      <c r="I12" s="50">
        <v>0.2</v>
      </c>
      <c r="J12" s="75"/>
      <c r="K12" s="75"/>
      <c r="L12" s="75"/>
      <c r="M12" s="75"/>
      <c r="N12" s="75"/>
      <c r="O12" s="75"/>
      <c r="P12" s="52">
        <v>1.0</v>
      </c>
      <c r="Q12" s="52">
        <v>1.0</v>
      </c>
      <c r="R12" s="62"/>
      <c r="S12" s="47">
        <v>0.74</v>
      </c>
      <c r="T12" s="47">
        <v>0.45</v>
      </c>
      <c r="U12" s="54"/>
      <c r="V12" s="47">
        <v>0.45</v>
      </c>
      <c r="W12" s="54"/>
      <c r="X12" s="54"/>
      <c r="Y12" s="47"/>
      <c r="Z12" s="62"/>
      <c r="AA12" s="54">
        <f t="shared" ref="AA12:AE12" si="15">ROUND(E12*0.5+K12*0.5-S12,2)</f>
        <v>-0.49</v>
      </c>
      <c r="AB12" s="54">
        <f t="shared" si="15"/>
        <v>-0.3</v>
      </c>
      <c r="AC12" s="54">
        <f t="shared" si="15"/>
        <v>0</v>
      </c>
      <c r="AD12" s="54">
        <f t="shared" si="15"/>
        <v>-0.45</v>
      </c>
      <c r="AE12" s="54">
        <f t="shared" si="15"/>
        <v>0.1</v>
      </c>
      <c r="AF12" s="54">
        <f t="shared" ref="AF12:AG12" si="16">ROUND(P12-X12,2)</f>
        <v>1</v>
      </c>
      <c r="AG12" s="54">
        <f t="shared" si="16"/>
        <v>1</v>
      </c>
      <c r="AH12" s="62"/>
      <c r="AI12" s="47"/>
      <c r="AJ12" s="47"/>
      <c r="AK12" s="47"/>
      <c r="AL12" s="47"/>
      <c r="AM12" s="47"/>
      <c r="AN12" s="47"/>
      <c r="AO12" s="47"/>
      <c r="AP12" s="76"/>
      <c r="AQ12" s="62"/>
      <c r="AR12" s="62"/>
      <c r="AS12" s="62"/>
      <c r="AT12" s="54"/>
      <c r="AU12" s="54"/>
      <c r="AV12" s="54"/>
      <c r="AW12" s="54"/>
      <c r="AX12" s="54"/>
      <c r="AY12" s="54"/>
      <c r="AZ12" s="54"/>
      <c r="BA12" s="57"/>
      <c r="BB12" s="58"/>
      <c r="BC12" s="57"/>
      <c r="BD12" s="57"/>
      <c r="BE12" s="59"/>
      <c r="BF12" s="60"/>
      <c r="BG12" s="61"/>
      <c r="BH12" s="61"/>
      <c r="BI12" s="61"/>
      <c r="BJ12" s="61"/>
      <c r="BK12" s="62"/>
      <c r="BL12" s="54"/>
      <c r="BM12" s="54"/>
      <c r="BN12" s="54"/>
      <c r="BO12" s="54"/>
      <c r="BP12" s="54"/>
    </row>
    <row r="13">
      <c r="A13" s="47">
        <v>9.0</v>
      </c>
      <c r="B13" s="65" t="s">
        <v>50</v>
      </c>
      <c r="C13" s="49" t="s">
        <v>41</v>
      </c>
      <c r="D13" s="50">
        <v>2.0</v>
      </c>
      <c r="E13" s="50">
        <v>1.2</v>
      </c>
      <c r="F13" s="50">
        <v>0.3</v>
      </c>
      <c r="G13" s="50">
        <v>0.3</v>
      </c>
      <c r="H13" s="50">
        <v>0.0</v>
      </c>
      <c r="I13" s="50">
        <v>0.2</v>
      </c>
      <c r="J13" s="75"/>
      <c r="K13" s="75"/>
      <c r="L13" s="75"/>
      <c r="M13" s="75"/>
      <c r="N13" s="75"/>
      <c r="O13" s="75"/>
      <c r="P13" s="52">
        <v>1.0</v>
      </c>
      <c r="Q13" s="52">
        <v>1.0</v>
      </c>
      <c r="R13" s="62"/>
      <c r="S13" s="54"/>
      <c r="T13" s="54"/>
      <c r="U13" s="54"/>
      <c r="V13" s="54"/>
      <c r="W13" s="54"/>
      <c r="X13" s="54"/>
      <c r="Y13" s="77"/>
      <c r="Z13" s="62"/>
      <c r="AA13" s="54">
        <f t="shared" ref="AA13:AE13" si="17">ROUND(E13*0.5+K13*0.5-S13,2)</f>
        <v>0.6</v>
      </c>
      <c r="AB13" s="54">
        <f t="shared" si="17"/>
        <v>0.15</v>
      </c>
      <c r="AC13" s="54">
        <f t="shared" si="17"/>
        <v>0.15</v>
      </c>
      <c r="AD13" s="54">
        <f t="shared" si="17"/>
        <v>0</v>
      </c>
      <c r="AE13" s="54">
        <f t="shared" si="17"/>
        <v>0.1</v>
      </c>
      <c r="AF13" s="54">
        <f t="shared" ref="AF13:AG13" si="18">ROUND(P13-X13,2)</f>
        <v>1</v>
      </c>
      <c r="AG13" s="54">
        <f t="shared" si="18"/>
        <v>1</v>
      </c>
      <c r="AH13" s="62"/>
      <c r="AI13" s="47"/>
      <c r="AJ13" s="47"/>
      <c r="AK13" s="47"/>
      <c r="AL13" s="47"/>
      <c r="AM13" s="47"/>
      <c r="AN13" s="47"/>
      <c r="AO13" s="47"/>
      <c r="AP13" s="78"/>
      <c r="AQ13" s="62"/>
      <c r="AR13" s="62"/>
      <c r="AS13" s="62"/>
      <c r="AT13" s="71"/>
      <c r="AU13" s="72"/>
      <c r="AV13" s="77"/>
      <c r="AW13" s="77"/>
      <c r="AX13" s="77"/>
      <c r="AY13" s="72"/>
      <c r="AZ13" s="54"/>
      <c r="BA13" s="58"/>
      <c r="BB13" s="58"/>
      <c r="BC13" s="57"/>
      <c r="BD13" s="58"/>
      <c r="BE13" s="64"/>
      <c r="BF13" s="60"/>
      <c r="BG13" s="61"/>
      <c r="BH13" s="61"/>
      <c r="BI13" s="61"/>
      <c r="BJ13" s="61"/>
      <c r="BK13" s="62"/>
      <c r="BL13" s="54"/>
      <c r="BM13" s="54"/>
      <c r="BN13" s="54"/>
      <c r="BO13" s="54"/>
      <c r="BP13" s="54"/>
    </row>
    <row r="14">
      <c r="A14" s="47">
        <v>10.0</v>
      </c>
      <c r="B14" s="65" t="s">
        <v>51</v>
      </c>
      <c r="C14" s="49" t="s">
        <v>41</v>
      </c>
      <c r="D14" s="50">
        <v>2.0</v>
      </c>
      <c r="E14" s="50">
        <v>0.6</v>
      </c>
      <c r="F14" s="50">
        <v>0.2</v>
      </c>
      <c r="G14" s="50">
        <v>0.2</v>
      </c>
      <c r="H14" s="50">
        <v>0.0</v>
      </c>
      <c r="I14" s="50">
        <v>0.0</v>
      </c>
      <c r="J14" s="51"/>
      <c r="K14" s="51"/>
      <c r="L14" s="51"/>
      <c r="M14" s="51"/>
      <c r="N14" s="51"/>
      <c r="O14" s="51"/>
      <c r="P14" s="52">
        <v>1.0</v>
      </c>
      <c r="Q14" s="52">
        <v>1.0</v>
      </c>
      <c r="R14" s="62"/>
      <c r="S14" s="47"/>
      <c r="T14" s="47"/>
      <c r="U14" s="47"/>
      <c r="V14" s="47"/>
      <c r="W14" s="54"/>
      <c r="X14" s="54"/>
      <c r="Y14" s="54"/>
      <c r="Z14" s="62"/>
      <c r="AA14" s="54">
        <f t="shared" ref="AA14:AE14" si="19">ROUND(E14*0.5+K14*0.5-S14,2)</f>
        <v>0.3</v>
      </c>
      <c r="AB14" s="54">
        <f t="shared" si="19"/>
        <v>0.1</v>
      </c>
      <c r="AC14" s="54">
        <f t="shared" si="19"/>
        <v>0.1</v>
      </c>
      <c r="AD14" s="54">
        <f t="shared" si="19"/>
        <v>0</v>
      </c>
      <c r="AE14" s="54">
        <f t="shared" si="19"/>
        <v>0</v>
      </c>
      <c r="AF14" s="54">
        <f t="shared" ref="AF14:AG14" si="20">ROUND(P14-X14,2)</f>
        <v>1</v>
      </c>
      <c r="AG14" s="54">
        <f t="shared" si="20"/>
        <v>1</v>
      </c>
      <c r="AH14" s="62"/>
      <c r="AI14" s="47"/>
      <c r="AJ14" s="47"/>
      <c r="AK14" s="47"/>
      <c r="AL14" s="47"/>
      <c r="AM14" s="47"/>
      <c r="AN14" s="47"/>
      <c r="AO14" s="47"/>
      <c r="AP14" s="52"/>
      <c r="AQ14" s="62"/>
      <c r="AR14" s="62"/>
      <c r="AS14" s="62"/>
      <c r="AT14" s="54"/>
      <c r="AU14" s="54"/>
      <c r="AV14" s="54"/>
      <c r="AW14" s="54"/>
      <c r="AX14" s="54"/>
      <c r="AY14" s="54"/>
      <c r="AZ14" s="54"/>
      <c r="BA14" s="57"/>
      <c r="BB14" s="58"/>
      <c r="BC14" s="57"/>
      <c r="BD14" s="57"/>
      <c r="BE14" s="59"/>
      <c r="BF14" s="60"/>
      <c r="BG14" s="61"/>
      <c r="BH14" s="61"/>
      <c r="BI14" s="61"/>
      <c r="BJ14" s="61"/>
      <c r="BK14" s="62"/>
      <c r="BL14" s="54"/>
      <c r="BM14" s="54"/>
      <c r="BN14" s="54"/>
      <c r="BO14" s="54"/>
      <c r="BP14" s="54"/>
    </row>
    <row r="15">
      <c r="A15" s="47">
        <v>11.0</v>
      </c>
      <c r="B15" s="65" t="s">
        <v>52</v>
      </c>
      <c r="C15" s="49" t="s">
        <v>41</v>
      </c>
      <c r="D15" s="50">
        <v>2.0</v>
      </c>
      <c r="E15" s="50">
        <v>0.4</v>
      </c>
      <c r="F15" s="50">
        <v>0.2</v>
      </c>
      <c r="G15" s="50">
        <v>0.2</v>
      </c>
      <c r="H15" s="50">
        <v>0.2</v>
      </c>
      <c r="I15" s="50">
        <v>0.0</v>
      </c>
      <c r="J15" s="51"/>
      <c r="K15" s="51"/>
      <c r="L15" s="51"/>
      <c r="M15" s="51"/>
      <c r="N15" s="51"/>
      <c r="O15" s="51"/>
      <c r="P15" s="52">
        <v>1.0</v>
      </c>
      <c r="Q15" s="52">
        <v>1.0</v>
      </c>
      <c r="R15" s="62"/>
      <c r="S15" s="47">
        <v>0.04</v>
      </c>
      <c r="T15" s="47"/>
      <c r="U15" s="47"/>
      <c r="V15" s="47">
        <v>0.16</v>
      </c>
      <c r="W15" s="47"/>
      <c r="X15" s="54"/>
      <c r="Y15" s="54"/>
      <c r="Z15" s="62"/>
      <c r="AA15" s="54">
        <f t="shared" ref="AA15:AE15" si="21">ROUND(E15*0.5+K15*0.5-S15,2)</f>
        <v>0.16</v>
      </c>
      <c r="AB15" s="54">
        <f t="shared" si="21"/>
        <v>0.1</v>
      </c>
      <c r="AC15" s="54">
        <f t="shared" si="21"/>
        <v>0.1</v>
      </c>
      <c r="AD15" s="54">
        <f t="shared" si="21"/>
        <v>-0.06</v>
      </c>
      <c r="AE15" s="54">
        <f t="shared" si="21"/>
        <v>0</v>
      </c>
      <c r="AF15" s="54">
        <f t="shared" ref="AF15:AG15" si="22">ROUND(P15-X15,2)</f>
        <v>1</v>
      </c>
      <c r="AG15" s="54">
        <f t="shared" si="22"/>
        <v>1</v>
      </c>
      <c r="AH15" s="62"/>
      <c r="AI15" s="47"/>
      <c r="AJ15" s="47"/>
      <c r="AK15" s="47"/>
      <c r="AL15" s="47"/>
      <c r="AM15" s="47"/>
      <c r="AN15" s="47"/>
      <c r="AO15" s="47"/>
      <c r="AP15" s="52"/>
      <c r="AQ15" s="62"/>
      <c r="AR15" s="62"/>
      <c r="AS15" s="62"/>
      <c r="AT15" s="54"/>
      <c r="AU15" s="54"/>
      <c r="AV15" s="54"/>
      <c r="AW15" s="54"/>
      <c r="AX15" s="54"/>
      <c r="AY15" s="54"/>
      <c r="AZ15" s="54"/>
      <c r="BA15" s="57"/>
      <c r="BB15" s="58"/>
      <c r="BC15" s="57"/>
      <c r="BD15" s="57"/>
      <c r="BE15" s="59"/>
      <c r="BF15" s="60"/>
      <c r="BG15" s="61"/>
      <c r="BH15" s="61"/>
      <c r="BI15" s="61"/>
      <c r="BJ15" s="61"/>
      <c r="BK15" s="62"/>
      <c r="BL15" s="54"/>
      <c r="BM15" s="54"/>
      <c r="BN15" s="54"/>
      <c r="BO15" s="54"/>
      <c r="BP15" s="54"/>
    </row>
    <row r="16">
      <c r="A16" s="47">
        <v>12.0</v>
      </c>
      <c r="B16" s="65" t="s">
        <v>53</v>
      </c>
      <c r="C16" s="49" t="s">
        <v>41</v>
      </c>
      <c r="D16" s="50">
        <v>3.0</v>
      </c>
      <c r="E16" s="50">
        <v>0.0</v>
      </c>
      <c r="F16" s="50">
        <v>0.2</v>
      </c>
      <c r="G16" s="50">
        <v>0.0</v>
      </c>
      <c r="H16" s="50">
        <v>0.8</v>
      </c>
      <c r="I16" s="50">
        <v>0.0</v>
      </c>
      <c r="J16" s="51"/>
      <c r="K16" s="51"/>
      <c r="L16" s="51"/>
      <c r="M16" s="51"/>
      <c r="N16" s="51"/>
      <c r="O16" s="51"/>
      <c r="P16" s="52">
        <v>1.0</v>
      </c>
      <c r="Q16" s="52">
        <v>1.0</v>
      </c>
      <c r="R16" s="62"/>
      <c r="S16" s="47">
        <v>0.21</v>
      </c>
      <c r="T16" s="54"/>
      <c r="U16" s="47">
        <v>0.05</v>
      </c>
      <c r="V16" s="47">
        <v>0.08</v>
      </c>
      <c r="X16" s="54"/>
      <c r="Y16" s="54"/>
      <c r="Z16" s="62"/>
      <c r="AA16" s="54">
        <f t="shared" ref="AA16:AE16" si="23">ROUND(E16*0.5+K16*0.5-S16,2)</f>
        <v>-0.21</v>
      </c>
      <c r="AB16" s="54">
        <f t="shared" si="23"/>
        <v>0.1</v>
      </c>
      <c r="AC16" s="54">
        <f t="shared" si="23"/>
        <v>-0.05</v>
      </c>
      <c r="AD16" s="54">
        <f t="shared" si="23"/>
        <v>0.32</v>
      </c>
      <c r="AE16" s="54">
        <f t="shared" si="23"/>
        <v>0</v>
      </c>
      <c r="AF16" s="54">
        <f t="shared" ref="AF16:AG16" si="24">ROUND(P16-X16,2)</f>
        <v>1</v>
      </c>
      <c r="AG16" s="54">
        <f t="shared" si="24"/>
        <v>1</v>
      </c>
      <c r="AH16" s="62"/>
      <c r="AI16" s="47"/>
      <c r="AJ16" s="47"/>
      <c r="AK16" s="47"/>
      <c r="AL16" s="47"/>
      <c r="AM16" s="47"/>
      <c r="AN16" s="47"/>
      <c r="AO16" s="47"/>
      <c r="AP16" s="79"/>
      <c r="AQ16" s="62"/>
      <c r="AR16" s="62"/>
      <c r="AS16" s="62"/>
      <c r="AT16" s="54"/>
      <c r="AU16" s="54"/>
      <c r="AV16" s="54"/>
      <c r="AW16" s="54"/>
      <c r="AX16" s="54"/>
      <c r="AY16" s="54"/>
      <c r="AZ16" s="54"/>
      <c r="BA16" s="57"/>
      <c r="BB16" s="58"/>
      <c r="BC16" s="57"/>
      <c r="BD16" s="57"/>
      <c r="BE16" s="59"/>
      <c r="BF16" s="68"/>
      <c r="BG16" s="69"/>
      <c r="BH16" s="69"/>
      <c r="BI16" s="69"/>
      <c r="BJ16" s="69"/>
      <c r="BK16" s="62"/>
      <c r="BL16" s="54"/>
      <c r="BM16" s="54"/>
      <c r="BN16" s="54"/>
      <c r="BO16" s="54"/>
      <c r="BP16" s="54"/>
    </row>
    <row r="17">
      <c r="A17" s="47">
        <v>13.0</v>
      </c>
      <c r="B17" s="80" t="s">
        <v>54</v>
      </c>
      <c r="C17" s="49" t="s">
        <v>41</v>
      </c>
      <c r="D17" s="50">
        <v>2.0</v>
      </c>
      <c r="E17" s="50">
        <v>1.2</v>
      </c>
      <c r="F17" s="50">
        <v>0.3</v>
      </c>
      <c r="G17" s="50">
        <v>0.3</v>
      </c>
      <c r="H17" s="50">
        <v>0.2</v>
      </c>
      <c r="I17" s="50">
        <v>0.0</v>
      </c>
      <c r="J17" s="51"/>
      <c r="K17" s="51"/>
      <c r="L17" s="51"/>
      <c r="M17" s="51"/>
      <c r="N17" s="51"/>
      <c r="O17" s="51"/>
      <c r="P17" s="52">
        <v>1.0</v>
      </c>
      <c r="Q17" s="52">
        <v>1.0</v>
      </c>
      <c r="R17" s="62"/>
      <c r="S17" s="47">
        <v>0.36</v>
      </c>
      <c r="T17" s="47"/>
      <c r="U17" s="47">
        <v>0.09</v>
      </c>
      <c r="V17" s="47">
        <v>0.16</v>
      </c>
      <c r="W17" s="54"/>
      <c r="X17" s="54"/>
      <c r="Y17" s="54"/>
      <c r="Z17" s="62"/>
      <c r="AA17" s="54">
        <f t="shared" ref="AA17:AE17" si="25">ROUND(E17*0.5+K17*0.5-S17,2)</f>
        <v>0.24</v>
      </c>
      <c r="AB17" s="54">
        <f t="shared" si="25"/>
        <v>0.15</v>
      </c>
      <c r="AC17" s="54">
        <f t="shared" si="25"/>
        <v>0.06</v>
      </c>
      <c r="AD17" s="54">
        <f t="shared" si="25"/>
        <v>-0.06</v>
      </c>
      <c r="AE17" s="54">
        <f t="shared" si="25"/>
        <v>0</v>
      </c>
      <c r="AF17" s="54">
        <f t="shared" ref="AF17:AG17" si="26">ROUND(P17-X17,2)</f>
        <v>1</v>
      </c>
      <c r="AG17" s="54">
        <f t="shared" si="26"/>
        <v>1</v>
      </c>
      <c r="AH17" s="62"/>
      <c r="AI17" s="47"/>
      <c r="AJ17" s="47"/>
      <c r="AK17" s="47"/>
      <c r="AL17" s="47"/>
      <c r="AM17" s="47"/>
      <c r="AN17" s="47"/>
      <c r="AO17" s="47"/>
      <c r="AP17" s="52"/>
      <c r="AQ17" s="62"/>
      <c r="AR17" s="62"/>
      <c r="AS17" s="62"/>
      <c r="AT17" s="54"/>
      <c r="AU17" s="54"/>
      <c r="AV17" s="54"/>
      <c r="AW17" s="54"/>
      <c r="AX17" s="54"/>
      <c r="AY17" s="54"/>
      <c r="AZ17" s="54"/>
      <c r="BA17" s="57"/>
      <c r="BB17" s="58"/>
      <c r="BC17" s="57"/>
      <c r="BD17" s="57"/>
      <c r="BE17" s="59"/>
      <c r="BF17" s="68"/>
      <c r="BG17" s="69"/>
      <c r="BH17" s="69"/>
      <c r="BI17" s="69"/>
      <c r="BJ17" s="69"/>
      <c r="BK17" s="62"/>
      <c r="BL17" s="54"/>
      <c r="BM17" s="54"/>
      <c r="BN17" s="54"/>
      <c r="BO17" s="54"/>
      <c r="BP17" s="54"/>
    </row>
    <row r="18">
      <c r="A18" s="47">
        <v>14.0</v>
      </c>
      <c r="B18" s="65" t="s">
        <v>55</v>
      </c>
      <c r="C18" s="49" t="s">
        <v>41</v>
      </c>
      <c r="D18" s="50">
        <v>3.67</v>
      </c>
      <c r="E18" s="50">
        <v>0.33</v>
      </c>
      <c r="F18" s="50">
        <v>0.0</v>
      </c>
      <c r="G18" s="50">
        <v>0.0</v>
      </c>
      <c r="H18" s="50">
        <v>0.0</v>
      </c>
      <c r="I18" s="50">
        <v>0.0</v>
      </c>
      <c r="J18" s="51"/>
      <c r="K18" s="51"/>
      <c r="L18" s="51"/>
      <c r="M18" s="51"/>
      <c r="N18" s="51"/>
      <c r="O18" s="51"/>
      <c r="P18" s="52">
        <v>1.0</v>
      </c>
      <c r="Q18" s="52">
        <v>1.0</v>
      </c>
      <c r="R18" s="62"/>
      <c r="S18" s="47"/>
      <c r="T18" s="54"/>
      <c r="U18" s="47"/>
      <c r="V18" s="54"/>
      <c r="W18" s="47"/>
      <c r="X18" s="54"/>
      <c r="Y18" s="54"/>
      <c r="Z18" s="62"/>
      <c r="AA18" s="54">
        <f t="shared" ref="AA18:AE18" si="27">ROUND(E18*0.5+K18*0.5-S18,2)</f>
        <v>0.17</v>
      </c>
      <c r="AB18" s="54">
        <f t="shared" si="27"/>
        <v>0</v>
      </c>
      <c r="AC18" s="54">
        <f t="shared" si="27"/>
        <v>0</v>
      </c>
      <c r="AD18" s="54">
        <f t="shared" si="27"/>
        <v>0</v>
      </c>
      <c r="AE18" s="54">
        <f t="shared" si="27"/>
        <v>0</v>
      </c>
      <c r="AF18" s="54">
        <f t="shared" ref="AF18:AG18" si="28">ROUND(P18-X18,2)</f>
        <v>1</v>
      </c>
      <c r="AG18" s="54">
        <f t="shared" si="28"/>
        <v>1</v>
      </c>
      <c r="AH18" s="62"/>
      <c r="AI18" s="47"/>
      <c r="AJ18" s="47"/>
      <c r="AK18" s="47"/>
      <c r="AL18" s="47"/>
      <c r="AM18" s="47"/>
      <c r="AN18" s="47"/>
      <c r="AO18" s="47"/>
      <c r="AP18" s="79"/>
      <c r="AQ18" s="62"/>
      <c r="AR18" s="62"/>
      <c r="AS18" s="62"/>
      <c r="AT18" s="72"/>
      <c r="AU18" s="54"/>
      <c r="AV18" s="54"/>
      <c r="AW18" s="54"/>
      <c r="AX18" s="54"/>
      <c r="AY18" s="54"/>
      <c r="AZ18" s="54"/>
      <c r="BA18" s="57"/>
      <c r="BB18" s="58"/>
      <c r="BC18" s="57"/>
      <c r="BD18" s="57"/>
      <c r="BE18" s="59"/>
      <c r="BF18" s="60"/>
      <c r="BG18" s="61"/>
      <c r="BH18" s="61"/>
      <c r="BI18" s="61"/>
      <c r="BJ18" s="61"/>
      <c r="BK18" s="62"/>
      <c r="BL18" s="54"/>
      <c r="BM18" s="54"/>
      <c r="BN18" s="54"/>
      <c r="BO18" s="54"/>
      <c r="BP18" s="54"/>
    </row>
    <row r="19">
      <c r="A19" s="47">
        <v>15.0</v>
      </c>
      <c r="B19" s="65" t="s">
        <v>56</v>
      </c>
      <c r="C19" s="49" t="s">
        <v>41</v>
      </c>
      <c r="D19" s="50">
        <v>3.67</v>
      </c>
      <c r="E19" s="50">
        <v>0.33</v>
      </c>
      <c r="F19" s="50">
        <v>0.0</v>
      </c>
      <c r="G19" s="50">
        <v>0.0</v>
      </c>
      <c r="H19" s="50">
        <v>0.0</v>
      </c>
      <c r="I19" s="50">
        <v>0.0</v>
      </c>
      <c r="J19" s="51"/>
      <c r="K19" s="51"/>
      <c r="L19" s="51"/>
      <c r="M19" s="51"/>
      <c r="N19" s="51"/>
      <c r="O19" s="51"/>
      <c r="P19" s="52">
        <v>1.0</v>
      </c>
      <c r="Q19" s="52">
        <v>1.0</v>
      </c>
      <c r="R19" s="62"/>
      <c r="S19" s="47"/>
      <c r="T19" s="47"/>
      <c r="U19" s="47"/>
      <c r="V19" s="47"/>
      <c r="W19" s="47"/>
      <c r="X19" s="54"/>
      <c r="Y19" s="54"/>
      <c r="Z19" s="62"/>
      <c r="AA19" s="54">
        <f t="shared" ref="AA19:AE19" si="29">ROUND(E19*0.5+K19*0.5-S19,2)</f>
        <v>0.17</v>
      </c>
      <c r="AB19" s="54">
        <f t="shared" si="29"/>
        <v>0</v>
      </c>
      <c r="AC19" s="54">
        <f t="shared" si="29"/>
        <v>0</v>
      </c>
      <c r="AD19" s="54">
        <f t="shared" si="29"/>
        <v>0</v>
      </c>
      <c r="AE19" s="54">
        <f t="shared" si="29"/>
        <v>0</v>
      </c>
      <c r="AF19" s="54">
        <f t="shared" ref="AF19:AG19" si="30">ROUND(P19-X19,2)</f>
        <v>1</v>
      </c>
      <c r="AG19" s="54">
        <f t="shared" si="30"/>
        <v>1</v>
      </c>
      <c r="AH19" s="62"/>
      <c r="AI19" s="47"/>
      <c r="AJ19" s="47"/>
      <c r="AK19" s="47"/>
      <c r="AL19" s="47"/>
      <c r="AM19" s="47"/>
      <c r="AN19" s="47"/>
      <c r="AO19" s="47"/>
      <c r="AP19" s="79"/>
      <c r="AQ19" s="62"/>
      <c r="AR19" s="62"/>
      <c r="AS19" s="62"/>
      <c r="AT19" s="54"/>
      <c r="AU19" s="54"/>
      <c r="AV19" s="54"/>
      <c r="AW19" s="54"/>
      <c r="AX19" s="54"/>
      <c r="AY19" s="54"/>
      <c r="AZ19" s="54"/>
      <c r="BA19" s="57"/>
      <c r="BB19" s="58"/>
      <c r="BC19" s="57"/>
      <c r="BD19" s="57"/>
      <c r="BE19" s="59"/>
      <c r="BF19" s="60"/>
      <c r="BG19" s="61"/>
      <c r="BH19" s="61"/>
      <c r="BI19" s="61"/>
      <c r="BJ19" s="61"/>
      <c r="BK19" s="62"/>
      <c r="BL19" s="54"/>
      <c r="BM19" s="54"/>
      <c r="BN19" s="54"/>
      <c r="BO19" s="54"/>
      <c r="BP19" s="54"/>
    </row>
    <row r="20">
      <c r="A20" s="47">
        <v>16.0</v>
      </c>
      <c r="B20" s="65" t="s">
        <v>57</v>
      </c>
      <c r="C20" s="49" t="s">
        <v>41</v>
      </c>
      <c r="D20" s="50">
        <v>3.0</v>
      </c>
      <c r="E20" s="50">
        <v>1.0</v>
      </c>
      <c r="F20" s="50">
        <v>0.0</v>
      </c>
      <c r="G20" s="50">
        <v>0.0</v>
      </c>
      <c r="H20" s="50">
        <v>0.0</v>
      </c>
      <c r="I20" s="50">
        <v>0.0</v>
      </c>
      <c r="J20" s="51"/>
      <c r="K20" s="51"/>
      <c r="L20" s="51"/>
      <c r="M20" s="51"/>
      <c r="N20" s="51"/>
      <c r="O20" s="51"/>
      <c r="P20" s="52">
        <v>1.0</v>
      </c>
      <c r="Q20" s="52">
        <v>1.0</v>
      </c>
      <c r="R20" s="62"/>
      <c r="S20" s="47"/>
      <c r="T20" s="47"/>
      <c r="U20" s="47"/>
      <c r="V20" s="47"/>
      <c r="W20" s="54"/>
      <c r="X20" s="54"/>
      <c r="Y20" s="54"/>
      <c r="Z20" s="62"/>
      <c r="AA20" s="54">
        <f t="shared" ref="AA20:AE20" si="31">ROUND(E20*0.5+K20*0.5-S20,2)</f>
        <v>0.5</v>
      </c>
      <c r="AB20" s="54">
        <f t="shared" si="31"/>
        <v>0</v>
      </c>
      <c r="AC20" s="54">
        <f t="shared" si="31"/>
        <v>0</v>
      </c>
      <c r="AD20" s="54">
        <f t="shared" si="31"/>
        <v>0</v>
      </c>
      <c r="AE20" s="54">
        <f t="shared" si="31"/>
        <v>0</v>
      </c>
      <c r="AF20" s="54">
        <f t="shared" ref="AF20:AG20" si="32">ROUND(P20-X20,2)</f>
        <v>1</v>
      </c>
      <c r="AG20" s="54">
        <f t="shared" si="32"/>
        <v>1</v>
      </c>
      <c r="AH20" s="62"/>
      <c r="AI20" s="47"/>
      <c r="AJ20" s="47"/>
      <c r="AK20" s="47"/>
      <c r="AL20" s="47"/>
      <c r="AM20" s="47"/>
      <c r="AN20" s="47"/>
      <c r="AO20" s="47"/>
      <c r="AP20" s="52"/>
      <c r="AQ20" s="62"/>
      <c r="AR20" s="62"/>
      <c r="AS20" s="62"/>
      <c r="AT20" s="54"/>
      <c r="AU20" s="54"/>
      <c r="AV20" s="54"/>
      <c r="AW20" s="54"/>
      <c r="AX20" s="54"/>
      <c r="AY20" s="54"/>
      <c r="AZ20" s="54"/>
      <c r="BA20" s="57"/>
      <c r="BB20" s="58"/>
      <c r="BC20" s="58"/>
      <c r="BD20" s="58"/>
      <c r="BE20" s="59"/>
      <c r="BF20" s="60"/>
      <c r="BG20" s="61"/>
      <c r="BH20" s="61"/>
      <c r="BI20" s="61"/>
      <c r="BJ20" s="61"/>
      <c r="BK20" s="62"/>
      <c r="BL20" s="54"/>
      <c r="BM20" s="54"/>
      <c r="BN20" s="54"/>
      <c r="BO20" s="54"/>
      <c r="BP20" s="54"/>
    </row>
    <row r="21">
      <c r="A21" s="47">
        <v>17.0</v>
      </c>
      <c r="B21" s="65" t="s">
        <v>58</v>
      </c>
      <c r="C21" s="49" t="s">
        <v>41</v>
      </c>
      <c r="D21" s="50">
        <v>3.67</v>
      </c>
      <c r="E21" s="50">
        <v>0.33</v>
      </c>
      <c r="F21" s="50">
        <v>0.0</v>
      </c>
      <c r="G21" s="50">
        <v>0.0</v>
      </c>
      <c r="H21" s="50">
        <v>0.0</v>
      </c>
      <c r="I21" s="50">
        <v>0.0</v>
      </c>
      <c r="J21" s="51"/>
      <c r="K21" s="51"/>
      <c r="L21" s="51"/>
      <c r="M21" s="51"/>
      <c r="N21" s="51"/>
      <c r="O21" s="51"/>
      <c r="P21" s="52">
        <v>1.0</v>
      </c>
      <c r="Q21" s="52">
        <v>1.0</v>
      </c>
      <c r="R21" s="62"/>
      <c r="S21" s="47">
        <v>0.56</v>
      </c>
      <c r="T21" s="47"/>
      <c r="U21" s="47"/>
      <c r="V21" s="54"/>
      <c r="W21" s="47"/>
      <c r="X21" s="54"/>
      <c r="Y21" s="47">
        <v>1.0</v>
      </c>
      <c r="Z21" s="62"/>
      <c r="AA21" s="54">
        <f t="shared" ref="AA21:AE21" si="33">ROUND(E21*0.5+K21*0.5-S21,2)</f>
        <v>-0.4</v>
      </c>
      <c r="AB21" s="54">
        <f t="shared" si="33"/>
        <v>0</v>
      </c>
      <c r="AC21" s="54">
        <f t="shared" si="33"/>
        <v>0</v>
      </c>
      <c r="AD21" s="54">
        <f t="shared" si="33"/>
        <v>0</v>
      </c>
      <c r="AE21" s="54">
        <f t="shared" si="33"/>
        <v>0</v>
      </c>
      <c r="AF21" s="54">
        <f t="shared" ref="AF21:AG21" si="34">ROUND(P21-X21,2)</f>
        <v>1</v>
      </c>
      <c r="AG21" s="54">
        <f t="shared" si="34"/>
        <v>0</v>
      </c>
      <c r="AH21" s="62"/>
      <c r="AI21" s="47"/>
      <c r="AJ21" s="47"/>
      <c r="AK21" s="47"/>
      <c r="AL21" s="47"/>
      <c r="AM21" s="47"/>
      <c r="AN21" s="47"/>
      <c r="AO21" s="47"/>
      <c r="AP21" s="78"/>
      <c r="AQ21" s="62"/>
      <c r="AR21" s="62"/>
      <c r="AS21" s="62"/>
      <c r="AT21" s="54"/>
      <c r="AU21" s="54"/>
      <c r="AV21" s="54"/>
      <c r="AW21" s="54"/>
      <c r="AX21" s="54"/>
      <c r="AY21" s="54"/>
      <c r="AZ21" s="54"/>
      <c r="BA21" s="57"/>
      <c r="BB21" s="58"/>
      <c r="BC21" s="57"/>
      <c r="BD21" s="81"/>
      <c r="BE21" s="64"/>
      <c r="BF21" s="60"/>
      <c r="BG21" s="61"/>
      <c r="BH21" s="61"/>
      <c r="BI21" s="61"/>
      <c r="BJ21" s="61"/>
      <c r="BK21" s="62"/>
      <c r="BL21" s="54"/>
      <c r="BM21" s="54"/>
      <c r="BN21" s="54"/>
      <c r="BO21" s="54"/>
      <c r="BP21" s="54"/>
    </row>
    <row r="22">
      <c r="A22" s="47">
        <v>18.0</v>
      </c>
      <c r="B22" s="65" t="s">
        <v>59</v>
      </c>
      <c r="C22" s="49" t="s">
        <v>41</v>
      </c>
      <c r="D22" s="50">
        <v>3.33</v>
      </c>
      <c r="E22" s="50">
        <v>0.47</v>
      </c>
      <c r="F22" s="50">
        <v>0.0</v>
      </c>
      <c r="G22" s="50">
        <v>0.0</v>
      </c>
      <c r="H22" s="50">
        <v>0.0</v>
      </c>
      <c r="I22" s="50">
        <v>0.2</v>
      </c>
      <c r="J22" s="51"/>
      <c r="K22" s="51"/>
      <c r="L22" s="51"/>
      <c r="M22" s="51"/>
      <c r="N22" s="51"/>
      <c r="O22" s="51"/>
      <c r="P22" s="52">
        <v>1.0</v>
      </c>
      <c r="Q22" s="52">
        <v>1.0</v>
      </c>
      <c r="R22" s="62"/>
      <c r="S22" s="47"/>
      <c r="T22" s="47"/>
      <c r="U22" s="47"/>
      <c r="V22" s="47"/>
      <c r="W22" s="47"/>
      <c r="X22" s="54"/>
      <c r="Y22" s="54"/>
      <c r="Z22" s="62"/>
      <c r="AA22" s="54">
        <f t="shared" ref="AA22:AE22" si="35">ROUND(E22*0.5+K22*0.5-S22,2)</f>
        <v>0.24</v>
      </c>
      <c r="AB22" s="54">
        <f t="shared" si="35"/>
        <v>0</v>
      </c>
      <c r="AC22" s="54">
        <f t="shared" si="35"/>
        <v>0</v>
      </c>
      <c r="AD22" s="54">
        <f t="shared" si="35"/>
        <v>0</v>
      </c>
      <c r="AE22" s="54">
        <f t="shared" si="35"/>
        <v>0.1</v>
      </c>
      <c r="AF22" s="54">
        <f t="shared" ref="AF22:AG22" si="36">ROUND(P22-X22,2)</f>
        <v>1</v>
      </c>
      <c r="AG22" s="54">
        <f t="shared" si="36"/>
        <v>1</v>
      </c>
      <c r="AH22" s="62"/>
      <c r="AI22" s="47"/>
      <c r="AJ22" s="47"/>
      <c r="AK22" s="47"/>
      <c r="AL22" s="47"/>
      <c r="AM22" s="47"/>
      <c r="AN22" s="47"/>
      <c r="AO22" s="47"/>
      <c r="AP22" s="78"/>
      <c r="AQ22" s="62"/>
      <c r="AR22" s="62"/>
      <c r="AS22" s="62"/>
      <c r="AT22" s="54"/>
      <c r="AU22" s="54"/>
      <c r="AV22" s="54"/>
      <c r="AW22" s="54"/>
      <c r="AX22" s="54"/>
      <c r="AY22" s="54"/>
      <c r="AZ22" s="54"/>
      <c r="BA22" s="57"/>
      <c r="BB22" s="58"/>
      <c r="BC22" s="58"/>
      <c r="BD22" s="57"/>
      <c r="BE22" s="59"/>
      <c r="BF22" s="60"/>
      <c r="BG22" s="61"/>
      <c r="BH22" s="61"/>
      <c r="BI22" s="61"/>
      <c r="BJ22" s="61"/>
      <c r="BK22" s="62"/>
      <c r="BL22" s="54"/>
      <c r="BM22" s="54"/>
      <c r="BN22" s="54"/>
      <c r="BO22" s="54"/>
      <c r="BP22" s="54"/>
    </row>
    <row r="23">
      <c r="A23" s="47">
        <v>19.0</v>
      </c>
      <c r="B23" s="65" t="s">
        <v>60</v>
      </c>
      <c r="C23" s="49" t="s">
        <v>41</v>
      </c>
      <c r="D23" s="50">
        <v>3.33</v>
      </c>
      <c r="E23" s="50">
        <v>0.47</v>
      </c>
      <c r="F23" s="50">
        <v>0.0</v>
      </c>
      <c r="G23" s="50">
        <v>0.2</v>
      </c>
      <c r="H23" s="50">
        <v>0.0</v>
      </c>
      <c r="I23" s="50">
        <v>0.0</v>
      </c>
      <c r="J23" s="51"/>
      <c r="K23" s="51"/>
      <c r="L23" s="51"/>
      <c r="M23" s="51"/>
      <c r="N23" s="51"/>
      <c r="O23" s="51"/>
      <c r="P23" s="52">
        <v>1.0</v>
      </c>
      <c r="Q23" s="52">
        <v>1.0</v>
      </c>
      <c r="R23" s="62"/>
      <c r="S23" s="47"/>
      <c r="T23" s="47"/>
      <c r="U23" s="47"/>
      <c r="V23" s="47"/>
      <c r="W23" s="54"/>
      <c r="X23" s="54"/>
      <c r="Y23" s="54"/>
      <c r="Z23" s="62"/>
      <c r="AA23" s="54">
        <f t="shared" ref="AA23:AE23" si="37">ROUND(E23*0.5+K23*0.5-S23,2)</f>
        <v>0.24</v>
      </c>
      <c r="AB23" s="54">
        <f t="shared" si="37"/>
        <v>0</v>
      </c>
      <c r="AC23" s="54">
        <f t="shared" si="37"/>
        <v>0.1</v>
      </c>
      <c r="AD23" s="54">
        <f t="shared" si="37"/>
        <v>0</v>
      </c>
      <c r="AE23" s="54">
        <f t="shared" si="37"/>
        <v>0</v>
      </c>
      <c r="AF23" s="54">
        <f t="shared" ref="AF23:AG23" si="38">ROUND(P23-X23,2)</f>
        <v>1</v>
      </c>
      <c r="AG23" s="54">
        <f t="shared" si="38"/>
        <v>1</v>
      </c>
      <c r="AH23" s="62"/>
      <c r="AI23" s="47"/>
      <c r="AJ23" s="47"/>
      <c r="AK23" s="47"/>
      <c r="AL23" s="47"/>
      <c r="AM23" s="47"/>
      <c r="AN23" s="47"/>
      <c r="AO23" s="47"/>
      <c r="AP23" s="52"/>
      <c r="AQ23" s="62"/>
      <c r="AR23" s="62"/>
      <c r="AS23" s="62"/>
      <c r="AT23" s="72"/>
      <c r="AU23" s="72"/>
      <c r="AV23" s="54"/>
      <c r="AW23" s="54"/>
      <c r="AX23" s="54"/>
      <c r="AY23" s="72"/>
      <c r="AZ23" s="72"/>
      <c r="BA23" s="57"/>
      <c r="BB23" s="58"/>
      <c r="BC23" s="57"/>
      <c r="BD23" s="57"/>
      <c r="BE23" s="59"/>
      <c r="BF23" s="60"/>
      <c r="BG23" s="61"/>
      <c r="BH23" s="61"/>
      <c r="BI23" s="61"/>
      <c r="BJ23" s="61"/>
      <c r="BK23" s="62"/>
      <c r="BL23" s="54"/>
      <c r="BM23" s="54"/>
      <c r="BN23" s="54"/>
      <c r="BO23" s="54"/>
      <c r="BP23" s="54"/>
    </row>
    <row r="24">
      <c r="A24" s="47">
        <v>20.0</v>
      </c>
      <c r="B24" s="65" t="s">
        <v>61</v>
      </c>
      <c r="C24" s="49" t="s">
        <v>41</v>
      </c>
      <c r="D24" s="50">
        <v>3.0</v>
      </c>
      <c r="E24" s="50">
        <v>1.0</v>
      </c>
      <c r="F24" s="50">
        <v>0.0</v>
      </c>
      <c r="G24" s="50">
        <v>0.0</v>
      </c>
      <c r="H24" s="50">
        <v>0.0</v>
      </c>
      <c r="I24" s="50">
        <v>0.0</v>
      </c>
      <c r="J24" s="51"/>
      <c r="K24" s="51"/>
      <c r="L24" s="51"/>
      <c r="M24" s="51"/>
      <c r="N24" s="51"/>
      <c r="O24" s="51"/>
      <c r="P24" s="52">
        <v>1.0</v>
      </c>
      <c r="Q24" s="52">
        <v>1.0</v>
      </c>
      <c r="R24" s="62"/>
      <c r="S24" s="47">
        <v>0.08</v>
      </c>
      <c r="T24" s="58"/>
      <c r="U24" s="58"/>
      <c r="V24" s="47"/>
      <c r="W24" s="54"/>
      <c r="X24" s="54"/>
      <c r="Y24" s="54"/>
      <c r="Z24" s="62"/>
      <c r="AA24" s="54">
        <f t="shared" ref="AA24:AE24" si="39">ROUND(E24*0.5+K24*0.5-S24,2)</f>
        <v>0.42</v>
      </c>
      <c r="AB24" s="54">
        <f t="shared" si="39"/>
        <v>0</v>
      </c>
      <c r="AC24" s="54">
        <f t="shared" si="39"/>
        <v>0</v>
      </c>
      <c r="AD24" s="54">
        <f t="shared" si="39"/>
        <v>0</v>
      </c>
      <c r="AE24" s="54">
        <f t="shared" si="39"/>
        <v>0</v>
      </c>
      <c r="AF24" s="54">
        <f t="shared" ref="AF24:AG24" si="40">ROUND(P24-X24,2)</f>
        <v>1</v>
      </c>
      <c r="AG24" s="54">
        <f t="shared" si="40"/>
        <v>1</v>
      </c>
      <c r="AH24" s="62"/>
      <c r="AI24" s="47"/>
      <c r="AJ24" s="47"/>
      <c r="AK24" s="47"/>
      <c r="AL24" s="47"/>
      <c r="AM24" s="47"/>
      <c r="AN24" s="47"/>
      <c r="AO24" s="47"/>
      <c r="AP24" s="78"/>
      <c r="AQ24" s="62"/>
      <c r="AR24" s="62"/>
      <c r="AS24" s="62"/>
      <c r="AT24" s="54"/>
      <c r="AU24" s="54"/>
      <c r="AV24" s="54"/>
      <c r="AW24" s="54"/>
      <c r="AX24" s="54"/>
      <c r="AY24" s="54"/>
      <c r="AZ24" s="54"/>
      <c r="BA24" s="57"/>
      <c r="BB24" s="58"/>
      <c r="BC24" s="58"/>
      <c r="BD24" s="82"/>
      <c r="BE24" s="83"/>
      <c r="BF24" s="60"/>
      <c r="BG24" s="61"/>
      <c r="BH24" s="61"/>
      <c r="BI24" s="61"/>
      <c r="BJ24" s="61"/>
      <c r="BK24" s="62"/>
      <c r="BL24" s="54"/>
      <c r="BM24" s="54"/>
      <c r="BN24" s="54"/>
      <c r="BO24" s="54"/>
      <c r="BP24" s="54"/>
    </row>
    <row r="25">
      <c r="A25" s="47">
        <v>21.0</v>
      </c>
      <c r="B25" s="65" t="s">
        <v>62</v>
      </c>
      <c r="C25" s="49" t="s">
        <v>41</v>
      </c>
      <c r="D25" s="50">
        <v>4.0</v>
      </c>
      <c r="E25" s="50">
        <v>0.0</v>
      </c>
      <c r="F25" s="50">
        <v>0.0</v>
      </c>
      <c r="G25" s="50">
        <v>0.0</v>
      </c>
      <c r="H25" s="50">
        <v>0.0</v>
      </c>
      <c r="I25" s="50">
        <v>0.0</v>
      </c>
      <c r="J25" s="51"/>
      <c r="K25" s="51"/>
      <c r="L25" s="51"/>
      <c r="M25" s="51"/>
      <c r="N25" s="51"/>
      <c r="O25" s="51"/>
      <c r="P25" s="52">
        <v>1.0</v>
      </c>
      <c r="Q25" s="52">
        <v>1.0</v>
      </c>
      <c r="R25" s="62"/>
      <c r="S25" s="47"/>
      <c r="T25" s="47">
        <v>0.02</v>
      </c>
      <c r="U25" s="54"/>
      <c r="V25" s="47">
        <v>0.03</v>
      </c>
      <c r="W25" s="54"/>
      <c r="X25" s="54"/>
      <c r="Y25" s="54"/>
      <c r="Z25" s="62"/>
      <c r="AA25" s="54">
        <f t="shared" ref="AA25:AE25" si="41">ROUND(E25*0.5+K25*0.5-S25,2)</f>
        <v>0</v>
      </c>
      <c r="AB25" s="54">
        <f t="shared" si="41"/>
        <v>-0.02</v>
      </c>
      <c r="AC25" s="54">
        <f t="shared" si="41"/>
        <v>0</v>
      </c>
      <c r="AD25" s="54">
        <f t="shared" si="41"/>
        <v>-0.03</v>
      </c>
      <c r="AE25" s="54">
        <f t="shared" si="41"/>
        <v>0</v>
      </c>
      <c r="AF25" s="54">
        <f t="shared" ref="AF25:AG25" si="42">ROUND(P25-X25,2)</f>
        <v>1</v>
      </c>
      <c r="AG25" s="54">
        <f t="shared" si="42"/>
        <v>1</v>
      </c>
      <c r="AH25" s="62"/>
      <c r="AI25" s="47"/>
      <c r="AJ25" s="47"/>
      <c r="AK25" s="47"/>
      <c r="AL25" s="47"/>
      <c r="AM25" s="47"/>
      <c r="AN25" s="47"/>
      <c r="AO25" s="47"/>
      <c r="AP25" s="74"/>
      <c r="AQ25" s="62"/>
      <c r="AR25" s="62"/>
      <c r="AS25" s="62"/>
      <c r="AT25" s="54"/>
      <c r="AU25" s="54"/>
      <c r="AV25" s="54"/>
      <c r="AW25" s="54"/>
      <c r="AX25" s="54"/>
      <c r="AY25" s="54"/>
      <c r="AZ25" s="54"/>
      <c r="BA25" s="57"/>
      <c r="BB25" s="58"/>
      <c r="BC25" s="57"/>
      <c r="BD25" s="58"/>
      <c r="BE25" s="64"/>
      <c r="BF25" s="68"/>
      <c r="BG25" s="69"/>
      <c r="BH25" s="69"/>
      <c r="BI25" s="69"/>
      <c r="BJ25" s="69"/>
      <c r="BK25" s="62"/>
      <c r="BL25" s="54"/>
      <c r="BM25" s="54"/>
      <c r="BN25" s="54"/>
      <c r="BO25" s="54"/>
      <c r="BP25" s="54"/>
    </row>
    <row r="26" ht="18.75" customHeight="1">
      <c r="A26" s="47">
        <v>22.0</v>
      </c>
      <c r="B26" s="65" t="s">
        <v>63</v>
      </c>
      <c r="C26" s="49" t="s">
        <v>41</v>
      </c>
      <c r="D26" s="50">
        <v>3.0</v>
      </c>
      <c r="E26" s="50">
        <v>0.93</v>
      </c>
      <c r="F26" s="50">
        <v>0.2</v>
      </c>
      <c r="G26" s="50">
        <v>0.2</v>
      </c>
      <c r="H26" s="50">
        <v>0.0</v>
      </c>
      <c r="I26" s="50">
        <v>0.0</v>
      </c>
      <c r="J26" s="51"/>
      <c r="K26" s="51"/>
      <c r="L26" s="51"/>
      <c r="M26" s="51"/>
      <c r="N26" s="51"/>
      <c r="O26" s="51"/>
      <c r="P26" s="52">
        <v>1.0</v>
      </c>
      <c r="Q26" s="52">
        <v>1.0</v>
      </c>
      <c r="R26" s="62"/>
      <c r="S26" s="54"/>
      <c r="T26" s="47"/>
      <c r="U26" s="47"/>
      <c r="V26" s="54"/>
      <c r="W26" s="47"/>
      <c r="X26" s="54"/>
      <c r="Y26" s="54"/>
      <c r="Z26" s="62"/>
      <c r="AA26" s="54">
        <f t="shared" ref="AA26:AE26" si="43">ROUND(E26*0.5+K26*0.5-S26,2)</f>
        <v>0.47</v>
      </c>
      <c r="AB26" s="54">
        <f t="shared" si="43"/>
        <v>0.1</v>
      </c>
      <c r="AC26" s="54">
        <f t="shared" si="43"/>
        <v>0.1</v>
      </c>
      <c r="AD26" s="54">
        <f t="shared" si="43"/>
        <v>0</v>
      </c>
      <c r="AE26" s="54">
        <f t="shared" si="43"/>
        <v>0</v>
      </c>
      <c r="AF26" s="54">
        <f t="shared" ref="AF26:AG26" si="44">ROUND(P26-X26,2)</f>
        <v>1</v>
      </c>
      <c r="AG26" s="54">
        <f t="shared" si="44"/>
        <v>1</v>
      </c>
      <c r="AH26" s="62"/>
      <c r="AI26" s="47"/>
      <c r="AJ26" s="47"/>
      <c r="AK26" s="47"/>
      <c r="AL26" s="47"/>
      <c r="AM26" s="47"/>
      <c r="AN26" s="47"/>
      <c r="AO26" s="47"/>
      <c r="AP26" s="74"/>
      <c r="AQ26" s="62"/>
      <c r="AR26" s="62"/>
      <c r="AS26" s="62"/>
      <c r="AT26" s="54"/>
      <c r="AU26" s="54"/>
      <c r="AV26" s="54"/>
      <c r="AW26" s="54"/>
      <c r="AX26" s="54"/>
      <c r="AY26" s="54"/>
      <c r="AZ26" s="54"/>
      <c r="BA26" s="57"/>
      <c r="BB26" s="58"/>
      <c r="BC26" s="58"/>
      <c r="BD26" s="84"/>
      <c r="BE26" s="85"/>
      <c r="BF26" s="60"/>
      <c r="BG26" s="61"/>
      <c r="BH26" s="61"/>
      <c r="BI26" s="61"/>
      <c r="BJ26" s="61"/>
      <c r="BK26" s="62"/>
      <c r="BL26" s="54"/>
      <c r="BM26" s="54"/>
      <c r="BN26" s="54"/>
      <c r="BO26" s="54"/>
      <c r="BP26" s="54"/>
    </row>
    <row r="27" ht="15.0" customHeight="1">
      <c r="A27" s="47">
        <v>23.0</v>
      </c>
      <c r="B27" s="65" t="s">
        <v>64</v>
      </c>
      <c r="C27" s="49" t="s">
        <v>41</v>
      </c>
      <c r="D27" s="50">
        <v>3.83</v>
      </c>
      <c r="E27" s="50">
        <v>0.47</v>
      </c>
      <c r="F27" s="50">
        <v>0.0</v>
      </c>
      <c r="G27" s="50">
        <v>0.0</v>
      </c>
      <c r="H27" s="50">
        <v>0.0</v>
      </c>
      <c r="I27" s="50">
        <v>0.2</v>
      </c>
      <c r="J27" s="51"/>
      <c r="K27" s="51"/>
      <c r="L27" s="51"/>
      <c r="M27" s="51"/>
      <c r="N27" s="51"/>
      <c r="O27" s="51"/>
      <c r="P27" s="52">
        <v>1.0</v>
      </c>
      <c r="Q27" s="52">
        <v>1.0</v>
      </c>
      <c r="R27" s="62"/>
      <c r="S27" s="47">
        <v>0.01</v>
      </c>
      <c r="T27" s="54"/>
      <c r="U27" s="54"/>
      <c r="V27" s="54"/>
      <c r="W27" s="54"/>
      <c r="X27" s="47"/>
      <c r="Y27" s="47"/>
      <c r="Z27" s="62"/>
      <c r="AA27" s="54">
        <f t="shared" ref="AA27:AE27" si="45">ROUND(E27*0.5+K27*0.5-S27,2)</f>
        <v>0.23</v>
      </c>
      <c r="AB27" s="54">
        <f t="shared" si="45"/>
        <v>0</v>
      </c>
      <c r="AC27" s="54">
        <f t="shared" si="45"/>
        <v>0</v>
      </c>
      <c r="AD27" s="54">
        <f t="shared" si="45"/>
        <v>0</v>
      </c>
      <c r="AE27" s="54">
        <f t="shared" si="45"/>
        <v>0.1</v>
      </c>
      <c r="AF27" s="54">
        <f t="shared" ref="AF27:AG27" si="46">ROUND(P27-X27,2)</f>
        <v>1</v>
      </c>
      <c r="AG27" s="54">
        <f t="shared" si="46"/>
        <v>1</v>
      </c>
      <c r="AH27" s="62"/>
      <c r="AI27" s="47"/>
      <c r="AJ27" s="47"/>
      <c r="AK27" s="47"/>
      <c r="AL27" s="47"/>
      <c r="AM27" s="47"/>
      <c r="AN27" s="47"/>
      <c r="AO27" s="47"/>
      <c r="AP27" s="74"/>
      <c r="AQ27" s="62"/>
      <c r="AR27" s="62"/>
      <c r="AS27" s="62"/>
      <c r="AT27" s="74"/>
      <c r="AU27" s="74"/>
      <c r="AV27" s="54"/>
      <c r="AW27" s="54"/>
      <c r="AX27" s="54"/>
      <c r="AY27" s="54"/>
      <c r="AZ27" s="54"/>
      <c r="BA27" s="57"/>
      <c r="BB27" s="58"/>
      <c r="BC27" s="57"/>
      <c r="BD27" s="57"/>
      <c r="BE27" s="59"/>
      <c r="BF27" s="68"/>
      <c r="BG27" s="69"/>
      <c r="BH27" s="69"/>
      <c r="BI27" s="69"/>
      <c r="BJ27" s="69"/>
      <c r="BK27" s="62"/>
      <c r="BL27" s="54"/>
      <c r="BM27" s="54"/>
      <c r="BN27" s="54"/>
      <c r="BO27" s="54"/>
      <c r="BP27" s="54"/>
    </row>
    <row r="28" ht="17.25" customHeight="1">
      <c r="A28" s="47">
        <v>24.0</v>
      </c>
      <c r="B28" s="65" t="s">
        <v>65</v>
      </c>
      <c r="C28" s="49" t="s">
        <v>41</v>
      </c>
      <c r="D28" s="50">
        <v>4.0</v>
      </c>
      <c r="E28" s="50">
        <v>0.0</v>
      </c>
      <c r="F28" s="50">
        <v>0.0</v>
      </c>
      <c r="G28" s="50">
        <v>0.0</v>
      </c>
      <c r="H28" s="50">
        <v>0.0</v>
      </c>
      <c r="I28" s="50">
        <v>0.0</v>
      </c>
      <c r="J28" s="51"/>
      <c r="K28" s="51"/>
      <c r="L28" s="51"/>
      <c r="M28" s="51"/>
      <c r="N28" s="51"/>
      <c r="O28" s="86"/>
      <c r="P28" s="52">
        <v>1.0</v>
      </c>
      <c r="Q28" s="52">
        <v>1.0</v>
      </c>
      <c r="R28" s="62"/>
      <c r="S28" s="47">
        <v>0.08</v>
      </c>
      <c r="T28" s="47">
        <v>0.006</v>
      </c>
      <c r="U28" s="47"/>
      <c r="V28" s="54"/>
      <c r="W28" s="47"/>
      <c r="X28" s="47"/>
      <c r="Y28" s="47"/>
      <c r="Z28" s="62"/>
      <c r="AA28" s="54">
        <f t="shared" ref="AA28:AE28" si="47">ROUND(E28*0.5+K28*0.5-S28,2)</f>
        <v>-0.08</v>
      </c>
      <c r="AB28" s="54">
        <f t="shared" si="47"/>
        <v>-0.01</v>
      </c>
      <c r="AC28" s="54">
        <f t="shared" si="47"/>
        <v>0</v>
      </c>
      <c r="AD28" s="54">
        <f t="shared" si="47"/>
        <v>0</v>
      </c>
      <c r="AE28" s="54">
        <f t="shared" si="47"/>
        <v>0</v>
      </c>
      <c r="AF28" s="54">
        <f t="shared" ref="AF28:AG28" si="48">ROUND(P28-X28,2)</f>
        <v>1</v>
      </c>
      <c r="AG28" s="54">
        <f t="shared" si="48"/>
        <v>1</v>
      </c>
      <c r="AH28" s="62"/>
      <c r="AI28" s="47"/>
      <c r="AJ28" s="47"/>
      <c r="AK28" s="47"/>
      <c r="AL28" s="47"/>
      <c r="AM28" s="47"/>
      <c r="AN28" s="47"/>
      <c r="AO28" s="47"/>
      <c r="AP28" s="52"/>
      <c r="AQ28" s="62"/>
      <c r="AR28" s="62"/>
      <c r="AS28" s="62"/>
      <c r="AT28" s="72"/>
      <c r="AU28" s="77"/>
      <c r="AV28" s="77"/>
      <c r="AW28" s="77"/>
      <c r="AX28" s="59"/>
      <c r="AY28" s="72"/>
      <c r="AZ28" s="54"/>
      <c r="BA28" s="58"/>
      <c r="BB28" s="58"/>
      <c r="BC28" s="57"/>
      <c r="BD28" s="57"/>
      <c r="BE28" s="59"/>
      <c r="BF28" s="68"/>
      <c r="BG28" s="69"/>
      <c r="BH28" s="69"/>
      <c r="BI28" s="69"/>
      <c r="BJ28" s="69"/>
      <c r="BK28" s="62"/>
      <c r="BL28" s="54"/>
      <c r="BM28" s="54"/>
      <c r="BN28" s="54"/>
      <c r="BO28" s="54"/>
      <c r="BP28" s="54"/>
    </row>
    <row r="29">
      <c r="A29" s="47">
        <v>25.0</v>
      </c>
      <c r="B29" s="65" t="s">
        <v>66</v>
      </c>
      <c r="C29" s="49" t="s">
        <v>41</v>
      </c>
      <c r="D29" s="50">
        <v>3.33</v>
      </c>
      <c r="E29" s="50">
        <v>0.47</v>
      </c>
      <c r="F29" s="50">
        <v>0.0</v>
      </c>
      <c r="G29" s="50">
        <v>0.2</v>
      </c>
      <c r="H29" s="50">
        <v>0.0</v>
      </c>
      <c r="I29" s="50">
        <v>0.0</v>
      </c>
      <c r="J29" s="51"/>
      <c r="K29" s="51"/>
      <c r="L29" s="51"/>
      <c r="M29" s="51"/>
      <c r="N29" s="51"/>
      <c r="O29" s="51"/>
      <c r="P29" s="52">
        <v>1.0</v>
      </c>
      <c r="Q29" s="52">
        <v>1.0</v>
      </c>
      <c r="R29" s="62"/>
      <c r="S29" s="47">
        <v>0.43</v>
      </c>
      <c r="T29" s="47"/>
      <c r="U29" s="47"/>
      <c r="V29" s="47">
        <v>0.03</v>
      </c>
      <c r="W29" s="54"/>
      <c r="X29" s="54"/>
      <c r="Y29" s="54"/>
      <c r="Z29" s="62"/>
      <c r="AA29" s="54">
        <f t="shared" ref="AA29:AE29" si="49">ROUND(E29*0.5+K29*0.5-S29,2)</f>
        <v>-0.2</v>
      </c>
      <c r="AB29" s="54">
        <f t="shared" si="49"/>
        <v>0</v>
      </c>
      <c r="AC29" s="54">
        <f t="shared" si="49"/>
        <v>0.1</v>
      </c>
      <c r="AD29" s="54">
        <f t="shared" si="49"/>
        <v>-0.03</v>
      </c>
      <c r="AE29" s="54">
        <f t="shared" si="49"/>
        <v>0</v>
      </c>
      <c r="AF29" s="54">
        <f t="shared" ref="AF29:AG29" si="50">ROUND(P29-X29,2)</f>
        <v>1</v>
      </c>
      <c r="AG29" s="54">
        <f t="shared" si="50"/>
        <v>1</v>
      </c>
      <c r="AH29" s="62"/>
      <c r="AI29" s="47"/>
      <c r="AJ29" s="47"/>
      <c r="AK29" s="47"/>
      <c r="AL29" s="47"/>
      <c r="AM29" s="47"/>
      <c r="AN29" s="47"/>
      <c r="AO29" s="47"/>
      <c r="AP29" s="52"/>
      <c r="AQ29" s="62"/>
      <c r="AR29" s="62"/>
      <c r="AS29" s="62"/>
      <c r="AT29" s="54"/>
      <c r="AU29" s="54"/>
      <c r="AV29" s="54"/>
      <c r="AW29" s="54"/>
      <c r="AX29" s="54"/>
      <c r="AY29" s="54"/>
      <c r="AZ29" s="54"/>
      <c r="BA29" s="57"/>
      <c r="BB29" s="58"/>
      <c r="BC29" s="57"/>
      <c r="BD29" s="57"/>
      <c r="BE29" s="59"/>
      <c r="BF29" s="68"/>
      <c r="BG29" s="69"/>
      <c r="BH29" s="69"/>
      <c r="BI29" s="69"/>
      <c r="BJ29" s="69"/>
      <c r="BK29" s="62"/>
      <c r="BL29" s="54"/>
      <c r="BM29" s="54"/>
      <c r="BN29" s="54"/>
      <c r="BO29" s="54"/>
      <c r="BP29" s="54"/>
    </row>
    <row r="30">
      <c r="A30" s="47">
        <v>26.0</v>
      </c>
      <c r="B30" s="65" t="s">
        <v>67</v>
      </c>
      <c r="C30" s="49" t="s">
        <v>41</v>
      </c>
      <c r="D30" s="50">
        <v>3.33</v>
      </c>
      <c r="E30" s="50">
        <v>0.47</v>
      </c>
      <c r="F30" s="50">
        <v>0.0</v>
      </c>
      <c r="G30" s="50">
        <v>0.2</v>
      </c>
      <c r="H30" s="50">
        <v>0.0</v>
      </c>
      <c r="I30" s="50">
        <v>0.0</v>
      </c>
      <c r="J30" s="51"/>
      <c r="K30" s="51"/>
      <c r="L30" s="51"/>
      <c r="M30" s="51"/>
      <c r="N30" s="51"/>
      <c r="O30" s="51"/>
      <c r="P30" s="52">
        <v>1.0</v>
      </c>
      <c r="Q30" s="52">
        <v>1.0</v>
      </c>
      <c r="R30" s="62"/>
      <c r="S30" s="47">
        <v>0.62</v>
      </c>
      <c r="T30" s="47">
        <v>0.01</v>
      </c>
      <c r="U30" s="54"/>
      <c r="V30" s="54"/>
      <c r="W30" s="54"/>
      <c r="X30" s="47"/>
      <c r="Y30" s="47">
        <v>0.2</v>
      </c>
      <c r="Z30" s="62"/>
      <c r="AA30" s="54">
        <f t="shared" ref="AA30:AE30" si="51">ROUND(E30*0.5+K30*0.5-S30,2)</f>
        <v>-0.39</v>
      </c>
      <c r="AB30" s="54">
        <f t="shared" si="51"/>
        <v>-0.01</v>
      </c>
      <c r="AC30" s="54">
        <f t="shared" si="51"/>
        <v>0.1</v>
      </c>
      <c r="AD30" s="54">
        <f t="shared" si="51"/>
        <v>0</v>
      </c>
      <c r="AE30" s="54">
        <f t="shared" si="51"/>
        <v>0</v>
      </c>
      <c r="AF30" s="54">
        <f t="shared" ref="AF30:AG30" si="52">ROUND(P30-X30,2)</f>
        <v>1</v>
      </c>
      <c r="AG30" s="54">
        <f t="shared" si="52"/>
        <v>0.8</v>
      </c>
      <c r="AH30" s="62"/>
      <c r="AI30" s="47"/>
      <c r="AJ30" s="47"/>
      <c r="AK30" s="47"/>
      <c r="AL30" s="47"/>
      <c r="AM30" s="47"/>
      <c r="AN30" s="47"/>
      <c r="AO30" s="47"/>
      <c r="AP30" s="74"/>
      <c r="AQ30" s="62"/>
      <c r="AR30" s="62"/>
      <c r="AS30" s="62"/>
      <c r="AT30" s="54"/>
      <c r="AU30" s="54"/>
      <c r="AV30" s="54"/>
      <c r="AW30" s="54"/>
      <c r="AX30" s="54"/>
      <c r="AY30" s="54"/>
      <c r="AZ30" s="54"/>
      <c r="BA30" s="57"/>
      <c r="BB30" s="58"/>
      <c r="BC30" s="57"/>
      <c r="BD30" s="57"/>
      <c r="BE30" s="59"/>
      <c r="BF30" s="68"/>
      <c r="BG30" s="69"/>
      <c r="BH30" s="69"/>
      <c r="BI30" s="69"/>
      <c r="BJ30" s="69"/>
      <c r="BK30" s="62"/>
      <c r="BL30" s="54"/>
      <c r="BM30" s="54"/>
      <c r="BN30" s="54"/>
      <c r="BO30" s="54"/>
      <c r="BP30" s="54"/>
    </row>
    <row r="31">
      <c r="A31" s="47">
        <v>27.0</v>
      </c>
      <c r="B31" s="65" t="s">
        <v>68</v>
      </c>
      <c r="C31" s="49" t="s">
        <v>41</v>
      </c>
      <c r="D31" s="50">
        <v>4.0</v>
      </c>
      <c r="E31" s="50">
        <v>0.0</v>
      </c>
      <c r="F31" s="50">
        <v>0.0</v>
      </c>
      <c r="G31" s="50">
        <v>0.0</v>
      </c>
      <c r="H31" s="50">
        <v>0.0</v>
      </c>
      <c r="I31" s="50">
        <v>0.0</v>
      </c>
      <c r="J31" s="51"/>
      <c r="K31" s="51"/>
      <c r="L31" s="51"/>
      <c r="M31" s="51"/>
      <c r="N31" s="51"/>
      <c r="O31" s="51"/>
      <c r="P31" s="52">
        <v>1.0</v>
      </c>
      <c r="Q31" s="52">
        <v>1.0</v>
      </c>
      <c r="R31" s="62"/>
      <c r="S31" s="47"/>
      <c r="T31" s="54"/>
      <c r="U31" s="54"/>
      <c r="V31" s="54"/>
      <c r="W31" s="54"/>
      <c r="X31" s="54"/>
      <c r="Y31" s="47"/>
      <c r="Z31" s="62"/>
      <c r="AA31" s="54">
        <f t="shared" ref="AA31:AE31" si="53">ROUND(E31*0.5+K31*0.5-S31,2)</f>
        <v>0</v>
      </c>
      <c r="AB31" s="54">
        <f t="shared" si="53"/>
        <v>0</v>
      </c>
      <c r="AC31" s="54">
        <f t="shared" si="53"/>
        <v>0</v>
      </c>
      <c r="AD31" s="54">
        <f t="shared" si="53"/>
        <v>0</v>
      </c>
      <c r="AE31" s="54">
        <f t="shared" si="53"/>
        <v>0</v>
      </c>
      <c r="AF31" s="54">
        <f t="shared" ref="AF31:AG31" si="54">ROUND(P31-X31,2)</f>
        <v>1</v>
      </c>
      <c r="AG31" s="54">
        <f t="shared" si="54"/>
        <v>1</v>
      </c>
      <c r="AH31" s="62"/>
      <c r="AI31" s="47"/>
      <c r="AJ31" s="47"/>
      <c r="AK31" s="47"/>
      <c r="AL31" s="47"/>
      <c r="AM31" s="47"/>
      <c r="AN31" s="47"/>
      <c r="AO31" s="47"/>
      <c r="AP31" s="78"/>
      <c r="AQ31" s="62"/>
      <c r="AR31" s="62"/>
      <c r="AS31" s="62"/>
      <c r="AT31" s="54"/>
      <c r="AU31" s="54"/>
      <c r="AV31" s="54"/>
      <c r="AW31" s="54"/>
      <c r="AX31" s="54"/>
      <c r="AY31" s="54"/>
      <c r="AZ31" s="54"/>
      <c r="BA31" s="57"/>
      <c r="BB31" s="58"/>
      <c r="BC31" s="57"/>
      <c r="BD31" s="57"/>
      <c r="BE31" s="59"/>
      <c r="BF31" s="68"/>
      <c r="BG31" s="69"/>
      <c r="BH31" s="69"/>
      <c r="BI31" s="69"/>
      <c r="BJ31" s="69"/>
      <c r="BK31" s="62"/>
      <c r="BL31" s="54"/>
      <c r="BM31" s="54"/>
      <c r="BN31" s="54"/>
      <c r="BO31" s="54"/>
      <c r="BP31" s="54"/>
    </row>
    <row r="32">
      <c r="A32" s="47">
        <v>28.0</v>
      </c>
      <c r="B32" s="65" t="s">
        <v>69</v>
      </c>
      <c r="C32" s="49" t="s">
        <v>41</v>
      </c>
      <c r="D32" s="50">
        <v>2.67</v>
      </c>
      <c r="E32" s="50">
        <v>0.93</v>
      </c>
      <c r="F32" s="50">
        <v>0.2</v>
      </c>
      <c r="G32" s="50">
        <v>0.0</v>
      </c>
      <c r="H32" s="50">
        <v>0.0</v>
      </c>
      <c r="I32" s="50">
        <v>0.2</v>
      </c>
      <c r="J32" s="51"/>
      <c r="K32" s="51"/>
      <c r="L32" s="51"/>
      <c r="M32" s="51"/>
      <c r="N32" s="51"/>
      <c r="O32" s="51"/>
      <c r="P32" s="52">
        <v>1.0</v>
      </c>
      <c r="Q32" s="52">
        <v>1.0</v>
      </c>
      <c r="R32" s="62"/>
      <c r="S32" s="47">
        <v>0.1</v>
      </c>
      <c r="T32" s="54"/>
      <c r="U32" s="47">
        <v>0.02</v>
      </c>
      <c r="V32" s="54"/>
      <c r="W32" s="54"/>
      <c r="X32" s="54"/>
      <c r="Y32" s="54"/>
      <c r="Z32" s="62"/>
      <c r="AA32" s="54">
        <f t="shared" ref="AA32:AE32" si="55">ROUND(E32*0.5+K32*0.5-S32,2)</f>
        <v>0.37</v>
      </c>
      <c r="AB32" s="54">
        <f t="shared" si="55"/>
        <v>0.1</v>
      </c>
      <c r="AC32" s="54">
        <f t="shared" si="55"/>
        <v>-0.02</v>
      </c>
      <c r="AD32" s="54">
        <f t="shared" si="55"/>
        <v>0</v>
      </c>
      <c r="AE32" s="54">
        <f t="shared" si="55"/>
        <v>0.1</v>
      </c>
      <c r="AF32" s="54">
        <f t="shared" ref="AF32:AG32" si="56">ROUND(P32-X32,2)</f>
        <v>1</v>
      </c>
      <c r="AG32" s="54">
        <f t="shared" si="56"/>
        <v>1</v>
      </c>
      <c r="AH32" s="62"/>
      <c r="AI32" s="47"/>
      <c r="AJ32" s="47"/>
      <c r="AK32" s="47"/>
      <c r="AL32" s="47"/>
      <c r="AM32" s="47"/>
      <c r="AN32" s="47"/>
      <c r="AO32" s="47"/>
      <c r="AP32" s="78"/>
      <c r="AQ32" s="62"/>
      <c r="AR32" s="62"/>
      <c r="AS32" s="62"/>
      <c r="AT32" s="54"/>
      <c r="AU32" s="54"/>
      <c r="AV32" s="54"/>
      <c r="AW32" s="54"/>
      <c r="AX32" s="54"/>
      <c r="AY32" s="54"/>
      <c r="AZ32" s="54"/>
      <c r="BA32" s="57"/>
      <c r="BB32" s="58"/>
      <c r="BC32" s="57"/>
      <c r="BD32" s="58"/>
      <c r="BE32" s="64"/>
      <c r="BF32" s="68"/>
      <c r="BG32" s="69"/>
      <c r="BH32" s="69"/>
      <c r="BI32" s="69"/>
      <c r="BJ32" s="69"/>
      <c r="BK32" s="62"/>
      <c r="BL32" s="54"/>
      <c r="BM32" s="54"/>
      <c r="BN32" s="54"/>
      <c r="BO32" s="54"/>
      <c r="BP32" s="54"/>
    </row>
    <row r="33">
      <c r="A33" s="47">
        <v>29.0</v>
      </c>
      <c r="B33" s="65" t="s">
        <v>70</v>
      </c>
      <c r="C33" s="49" t="s">
        <v>41</v>
      </c>
      <c r="D33" s="50">
        <v>2.33</v>
      </c>
      <c r="E33" s="50">
        <v>1.07</v>
      </c>
      <c r="F33" s="50">
        <v>0.0</v>
      </c>
      <c r="G33" s="50">
        <v>0.2</v>
      </c>
      <c r="H33" s="50">
        <v>0.2</v>
      </c>
      <c r="I33" s="50">
        <v>0.2</v>
      </c>
      <c r="J33" s="51"/>
      <c r="K33" s="51"/>
      <c r="L33" s="51"/>
      <c r="M33" s="51"/>
      <c r="N33" s="51"/>
      <c r="O33" s="51"/>
      <c r="P33" s="52">
        <v>1.0</v>
      </c>
      <c r="Q33" s="52">
        <v>1.0</v>
      </c>
      <c r="R33" s="62"/>
      <c r="S33" s="47">
        <v>0.44</v>
      </c>
      <c r="T33" s="47">
        <v>0.02</v>
      </c>
      <c r="U33" s="47">
        <v>0.02</v>
      </c>
      <c r="V33" s="47">
        <v>0.25</v>
      </c>
      <c r="W33" s="54"/>
      <c r="X33" s="54"/>
      <c r="Y33" s="54"/>
      <c r="Z33" s="62"/>
      <c r="AA33" s="54">
        <f t="shared" ref="AA33:AE33" si="57">ROUND(E33*0.5+K33*0.5-S33,2)</f>
        <v>0.1</v>
      </c>
      <c r="AB33" s="54">
        <f t="shared" si="57"/>
        <v>-0.02</v>
      </c>
      <c r="AC33" s="54">
        <f t="shared" si="57"/>
        <v>0.08</v>
      </c>
      <c r="AD33" s="54">
        <f t="shared" si="57"/>
        <v>-0.15</v>
      </c>
      <c r="AE33" s="54">
        <f t="shared" si="57"/>
        <v>0.1</v>
      </c>
      <c r="AF33" s="54">
        <f t="shared" ref="AF33:AG33" si="58">ROUND(P33-X33,2)</f>
        <v>1</v>
      </c>
      <c r="AG33" s="54">
        <f t="shared" si="58"/>
        <v>1</v>
      </c>
      <c r="AH33" s="62"/>
      <c r="AI33" s="47"/>
      <c r="AJ33" s="47"/>
      <c r="AK33" s="47"/>
      <c r="AL33" s="47"/>
      <c r="AM33" s="47"/>
      <c r="AN33" s="47"/>
      <c r="AO33" s="47"/>
      <c r="AP33" s="52"/>
      <c r="AQ33" s="62"/>
      <c r="AR33" s="62"/>
      <c r="AS33" s="62"/>
      <c r="AT33" s="54"/>
      <c r="AU33" s="54"/>
      <c r="AV33" s="54"/>
      <c r="AW33" s="54"/>
      <c r="AX33" s="54"/>
      <c r="AY33" s="72"/>
      <c r="AZ33" s="54"/>
      <c r="BA33" s="57"/>
      <c r="BB33" s="58"/>
      <c r="BC33" s="57"/>
      <c r="BD33" s="57"/>
      <c r="BE33" s="59"/>
      <c r="BF33" s="68"/>
      <c r="BG33" s="69"/>
      <c r="BH33" s="69"/>
      <c r="BI33" s="69"/>
      <c r="BJ33" s="69"/>
      <c r="BK33" s="62"/>
      <c r="BL33" s="54"/>
      <c r="BM33" s="54"/>
      <c r="BN33" s="54"/>
      <c r="BO33" s="54"/>
      <c r="BP33" s="54"/>
    </row>
    <row r="34">
      <c r="A34" s="47">
        <v>30.0</v>
      </c>
      <c r="B34" s="65" t="s">
        <v>71</v>
      </c>
      <c r="C34" s="49" t="s">
        <v>41</v>
      </c>
      <c r="D34" s="50">
        <v>2.0</v>
      </c>
      <c r="E34" s="50">
        <v>0.9</v>
      </c>
      <c r="F34" s="50">
        <v>0.3</v>
      </c>
      <c r="G34" s="50">
        <v>0.8</v>
      </c>
      <c r="H34" s="50">
        <v>0.0</v>
      </c>
      <c r="I34" s="50">
        <v>0.0</v>
      </c>
      <c r="J34" s="51"/>
      <c r="K34" s="51"/>
      <c r="L34" s="51"/>
      <c r="M34" s="51"/>
      <c r="N34" s="51"/>
      <c r="O34" s="51"/>
      <c r="P34" s="52">
        <v>1.0</v>
      </c>
      <c r="Q34" s="52">
        <v>1.0</v>
      </c>
      <c r="R34" s="62"/>
      <c r="S34" s="47"/>
      <c r="T34" s="47"/>
      <c r="U34" s="47"/>
      <c r="V34" s="47"/>
      <c r="W34" s="47"/>
      <c r="X34" s="54"/>
      <c r="Y34" s="47"/>
      <c r="Z34" s="62"/>
      <c r="AA34" s="54">
        <f t="shared" ref="AA34:AE34" si="59">ROUND(E34*0.5+K34*0.5-S34,2)</f>
        <v>0.45</v>
      </c>
      <c r="AB34" s="54">
        <f t="shared" si="59"/>
        <v>0.15</v>
      </c>
      <c r="AC34" s="54">
        <f t="shared" si="59"/>
        <v>0.4</v>
      </c>
      <c r="AD34" s="54">
        <f t="shared" si="59"/>
        <v>0</v>
      </c>
      <c r="AE34" s="54">
        <f t="shared" si="59"/>
        <v>0</v>
      </c>
      <c r="AF34" s="54">
        <f t="shared" ref="AF34:AG34" si="60">ROUND(P34-X34,2)</f>
        <v>1</v>
      </c>
      <c r="AG34" s="54">
        <f t="shared" si="60"/>
        <v>1</v>
      </c>
      <c r="AH34" s="62"/>
      <c r="AI34" s="47"/>
      <c r="AJ34" s="47"/>
      <c r="AK34" s="47"/>
      <c r="AL34" s="47"/>
      <c r="AM34" s="47"/>
      <c r="AN34" s="47"/>
      <c r="AO34" s="47"/>
      <c r="AP34" s="52"/>
      <c r="AQ34" s="62"/>
      <c r="AR34" s="62"/>
      <c r="AS34" s="62"/>
      <c r="AT34" s="54"/>
      <c r="AU34" s="54"/>
      <c r="AV34" s="54"/>
      <c r="AW34" s="54"/>
      <c r="AX34" s="54"/>
      <c r="AY34" s="72"/>
      <c r="AZ34" s="54"/>
      <c r="BA34" s="57"/>
      <c r="BB34" s="58"/>
      <c r="BC34" s="57"/>
      <c r="BD34" s="57"/>
      <c r="BE34" s="59"/>
      <c r="BF34" s="60"/>
      <c r="BG34" s="61"/>
      <c r="BH34" s="61"/>
      <c r="BI34" s="61"/>
      <c r="BJ34" s="61"/>
      <c r="BK34" s="62"/>
      <c r="BL34" s="54"/>
      <c r="BM34" s="54"/>
      <c r="BN34" s="54"/>
      <c r="BO34" s="54"/>
      <c r="BP34" s="54"/>
    </row>
    <row r="35">
      <c r="A35" s="47">
        <v>31.0</v>
      </c>
      <c r="B35" s="65" t="s">
        <v>72</v>
      </c>
      <c r="C35" s="49" t="s">
        <v>41</v>
      </c>
      <c r="D35" s="50">
        <v>3.0</v>
      </c>
      <c r="E35" s="50">
        <v>0.6</v>
      </c>
      <c r="F35" s="50">
        <v>0.0</v>
      </c>
      <c r="G35" s="50">
        <v>0.2</v>
      </c>
      <c r="H35" s="50">
        <v>0.0</v>
      </c>
      <c r="I35" s="50">
        <v>0.2</v>
      </c>
      <c r="J35" s="51"/>
      <c r="K35" s="51"/>
      <c r="L35" s="51"/>
      <c r="M35" s="51"/>
      <c r="N35" s="51"/>
      <c r="O35" s="51"/>
      <c r="P35" s="52">
        <v>1.0</v>
      </c>
      <c r="Q35" s="52">
        <v>1.0</v>
      </c>
      <c r="R35" s="62"/>
      <c r="S35" s="47"/>
      <c r="T35" s="47"/>
      <c r="U35" s="47"/>
      <c r="V35" s="54"/>
      <c r="W35" s="47"/>
      <c r="X35" s="54"/>
      <c r="Y35" s="54"/>
      <c r="Z35" s="62"/>
      <c r="AA35" s="54">
        <f t="shared" ref="AA35:AE35" si="61">ROUND(E35*0.5+K35*0.5-S35,2)</f>
        <v>0.3</v>
      </c>
      <c r="AB35" s="54">
        <f t="shared" si="61"/>
        <v>0</v>
      </c>
      <c r="AC35" s="54">
        <f t="shared" si="61"/>
        <v>0.1</v>
      </c>
      <c r="AD35" s="54">
        <f t="shared" si="61"/>
        <v>0</v>
      </c>
      <c r="AE35" s="54">
        <f t="shared" si="61"/>
        <v>0.1</v>
      </c>
      <c r="AF35" s="54">
        <f t="shared" ref="AF35:AG35" si="62">ROUND(P35-X35,2)</f>
        <v>1</v>
      </c>
      <c r="AG35" s="54">
        <f t="shared" si="62"/>
        <v>1</v>
      </c>
      <c r="AH35" s="62"/>
      <c r="AI35" s="47"/>
      <c r="AJ35" s="47"/>
      <c r="AK35" s="47"/>
      <c r="AL35" s="47"/>
      <c r="AM35" s="47"/>
      <c r="AN35" s="47"/>
      <c r="AO35" s="47"/>
      <c r="AP35" s="70"/>
      <c r="AQ35" s="62"/>
      <c r="AR35" s="62"/>
      <c r="AS35" s="62"/>
      <c r="AT35" s="54"/>
      <c r="AU35" s="54"/>
      <c r="AV35" s="54"/>
      <c r="AW35" s="54"/>
      <c r="AX35" s="54"/>
      <c r="AY35" s="54"/>
      <c r="AZ35" s="54"/>
      <c r="BA35" s="57"/>
      <c r="BB35" s="58"/>
      <c r="BC35" s="57"/>
      <c r="BD35" s="58"/>
      <c r="BE35" s="64"/>
      <c r="BF35" s="60"/>
      <c r="BG35" s="61"/>
      <c r="BH35" s="61"/>
      <c r="BI35" s="61"/>
      <c r="BJ35" s="61"/>
      <c r="BK35" s="62"/>
      <c r="BL35" s="54"/>
      <c r="BM35" s="54"/>
      <c r="BN35" s="54"/>
      <c r="BO35" s="54"/>
      <c r="BP35" s="54"/>
    </row>
    <row r="36">
      <c r="A36" s="47">
        <v>32.0</v>
      </c>
      <c r="B36" s="65" t="s">
        <v>73</v>
      </c>
      <c r="C36" s="49" t="s">
        <v>41</v>
      </c>
      <c r="D36" s="50">
        <v>3.0</v>
      </c>
      <c r="E36" s="50">
        <v>0.47</v>
      </c>
      <c r="F36" s="50">
        <v>0.0</v>
      </c>
      <c r="G36" s="50">
        <v>0.2</v>
      </c>
      <c r="H36" s="50">
        <v>0.0</v>
      </c>
      <c r="I36" s="50">
        <v>0.0</v>
      </c>
      <c r="J36" s="51"/>
      <c r="K36" s="51"/>
      <c r="L36" s="51"/>
      <c r="M36" s="51"/>
      <c r="N36" s="51"/>
      <c r="O36" s="51"/>
      <c r="P36" s="52">
        <v>1.0</v>
      </c>
      <c r="Q36" s="52">
        <v>1.0</v>
      </c>
      <c r="R36" s="62"/>
      <c r="S36" s="47">
        <v>0.12</v>
      </c>
      <c r="T36" s="54"/>
      <c r="U36" s="54"/>
      <c r="V36" s="54"/>
      <c r="W36" s="54"/>
      <c r="X36" s="47">
        <v>0.25</v>
      </c>
      <c r="Y36" s="47">
        <v>0.25</v>
      </c>
      <c r="Z36" s="62"/>
      <c r="AA36" s="54">
        <f t="shared" ref="AA36:AE36" si="63">ROUND(E36*0.5+K36*0.5-S36,2)</f>
        <v>0.12</v>
      </c>
      <c r="AB36" s="54">
        <f t="shared" si="63"/>
        <v>0</v>
      </c>
      <c r="AC36" s="54">
        <f t="shared" si="63"/>
        <v>0.1</v>
      </c>
      <c r="AD36" s="54">
        <f t="shared" si="63"/>
        <v>0</v>
      </c>
      <c r="AE36" s="54">
        <f t="shared" si="63"/>
        <v>0</v>
      </c>
      <c r="AF36" s="54">
        <f t="shared" ref="AF36:AG36" si="64">ROUND(P36-X36,2)</f>
        <v>0.75</v>
      </c>
      <c r="AG36" s="54">
        <f t="shared" si="64"/>
        <v>0.75</v>
      </c>
      <c r="AH36" s="62"/>
      <c r="AI36" s="47"/>
      <c r="AJ36" s="47"/>
      <c r="AK36" s="47"/>
      <c r="AL36" s="47"/>
      <c r="AM36" s="47"/>
      <c r="AN36" s="47"/>
      <c r="AO36" s="47"/>
      <c r="AP36" s="52"/>
      <c r="AQ36" s="62"/>
      <c r="AR36" s="62"/>
      <c r="AS36" s="62"/>
      <c r="AT36" s="87">
        <v>0.5</v>
      </c>
      <c r="AU36" s="63"/>
      <c r="AV36" s="54"/>
      <c r="AW36" s="54"/>
      <c r="AX36" s="54"/>
      <c r="AY36" s="54"/>
      <c r="AZ36" s="54"/>
      <c r="BA36" s="58"/>
      <c r="BB36" s="58"/>
      <c r="BC36" s="58"/>
      <c r="BD36" s="57"/>
      <c r="BE36" s="59"/>
      <c r="BF36" s="60"/>
      <c r="BG36" s="61"/>
      <c r="BH36" s="61"/>
      <c r="BI36" s="61"/>
      <c r="BJ36" s="61"/>
      <c r="BK36" s="62"/>
      <c r="BL36" s="54"/>
      <c r="BM36" s="54"/>
      <c r="BN36" s="54"/>
      <c r="BO36" s="54"/>
      <c r="BP36" s="54"/>
    </row>
    <row r="37">
      <c r="A37" s="47">
        <v>33.0</v>
      </c>
      <c r="B37" s="80" t="s">
        <v>74</v>
      </c>
      <c r="C37" s="49" t="s">
        <v>41</v>
      </c>
      <c r="D37" s="50">
        <v>3.0</v>
      </c>
      <c r="E37" s="50">
        <v>0.8</v>
      </c>
      <c r="F37" s="50">
        <v>0.0</v>
      </c>
      <c r="G37" s="50">
        <v>0.0</v>
      </c>
      <c r="H37" s="50">
        <v>0.0</v>
      </c>
      <c r="I37" s="50">
        <v>0.2</v>
      </c>
      <c r="J37" s="51"/>
      <c r="K37" s="51"/>
      <c r="L37" s="51"/>
      <c r="M37" s="51"/>
      <c r="N37" s="51"/>
      <c r="O37" s="51"/>
      <c r="P37" s="52">
        <v>1.0</v>
      </c>
      <c r="Q37" s="52">
        <v>1.0</v>
      </c>
      <c r="R37" s="62"/>
      <c r="S37" s="47">
        <v>0.34</v>
      </c>
      <c r="T37" s="47"/>
      <c r="U37" s="54"/>
      <c r="V37" s="54"/>
      <c r="W37" s="47">
        <v>0.03</v>
      </c>
      <c r="X37" s="54"/>
      <c r="Y37" s="54"/>
      <c r="Z37" s="62"/>
      <c r="AA37" s="54">
        <f t="shared" ref="AA37:AE37" si="65">ROUND(E37*0.5+K37*0.5-S37,2)</f>
        <v>0.06</v>
      </c>
      <c r="AB37" s="54">
        <f t="shared" si="65"/>
        <v>0</v>
      </c>
      <c r="AC37" s="54">
        <f t="shared" si="65"/>
        <v>0</v>
      </c>
      <c r="AD37" s="54">
        <f t="shared" si="65"/>
        <v>0</v>
      </c>
      <c r="AE37" s="54">
        <f t="shared" si="65"/>
        <v>0.07</v>
      </c>
      <c r="AF37" s="54">
        <f t="shared" ref="AF37:AG37" si="66">ROUND(P37-X37,2)</f>
        <v>1</v>
      </c>
      <c r="AG37" s="54">
        <f t="shared" si="66"/>
        <v>1</v>
      </c>
      <c r="AH37" s="62"/>
      <c r="AI37" s="47"/>
      <c r="AJ37" s="47"/>
      <c r="AK37" s="47"/>
      <c r="AL37" s="47"/>
      <c r="AM37" s="47"/>
      <c r="AN37" s="47"/>
      <c r="AO37" s="47"/>
      <c r="AP37" s="78"/>
      <c r="AQ37" s="62"/>
      <c r="AR37" s="62"/>
      <c r="AS37" s="62"/>
      <c r="AT37" s="54"/>
      <c r="AU37" s="54"/>
      <c r="AV37" s="54"/>
      <c r="AW37" s="54"/>
      <c r="AX37" s="54"/>
      <c r="AY37" s="63"/>
      <c r="AZ37" s="54"/>
      <c r="BA37" s="58"/>
      <c r="BB37" s="58"/>
      <c r="BC37" s="57"/>
      <c r="BD37" s="57"/>
      <c r="BE37" s="59"/>
      <c r="BF37" s="68"/>
      <c r="BG37" s="69"/>
      <c r="BH37" s="69"/>
      <c r="BI37" s="69"/>
      <c r="BJ37" s="69"/>
      <c r="BK37" s="62"/>
      <c r="BL37" s="54"/>
      <c r="BM37" s="54"/>
      <c r="BN37" s="54"/>
      <c r="BO37" s="54"/>
      <c r="BP37" s="54"/>
    </row>
    <row r="38">
      <c r="A38" s="47">
        <v>34.0</v>
      </c>
      <c r="B38" s="80" t="s">
        <v>75</v>
      </c>
      <c r="C38" s="49" t="s">
        <v>41</v>
      </c>
      <c r="D38" s="50">
        <v>4.5</v>
      </c>
      <c r="E38" s="50">
        <v>0.0</v>
      </c>
      <c r="F38" s="50">
        <v>0.0</v>
      </c>
      <c r="G38" s="50">
        <v>0.0</v>
      </c>
      <c r="H38" s="50">
        <v>0.0</v>
      </c>
      <c r="I38" s="50">
        <v>0.0</v>
      </c>
      <c r="J38" s="51"/>
      <c r="K38" s="51"/>
      <c r="L38" s="51"/>
      <c r="M38" s="51"/>
      <c r="N38" s="51"/>
      <c r="O38" s="51"/>
      <c r="P38" s="52">
        <v>1.0</v>
      </c>
      <c r="Q38" s="52">
        <v>1.0</v>
      </c>
      <c r="R38" s="62"/>
      <c r="S38" s="47">
        <v>0.1</v>
      </c>
      <c r="T38" s="47">
        <v>0.01</v>
      </c>
      <c r="U38" s="54"/>
      <c r="V38" s="47"/>
      <c r="W38" s="47"/>
      <c r="X38" s="54"/>
      <c r="Y38" s="47">
        <v>0.5</v>
      </c>
      <c r="Z38" s="62"/>
      <c r="AA38" s="54">
        <f t="shared" ref="AA38:AE38" si="67">ROUND(E38*0.5+K38*0.5-S38,2)</f>
        <v>-0.1</v>
      </c>
      <c r="AB38" s="54">
        <f t="shared" si="67"/>
        <v>-0.01</v>
      </c>
      <c r="AC38" s="54">
        <f t="shared" si="67"/>
        <v>0</v>
      </c>
      <c r="AD38" s="54">
        <f t="shared" si="67"/>
        <v>0</v>
      </c>
      <c r="AE38" s="54">
        <f t="shared" si="67"/>
        <v>0</v>
      </c>
      <c r="AF38" s="54">
        <f t="shared" ref="AF38:AG38" si="68">ROUND(P38-X38,2)</f>
        <v>1</v>
      </c>
      <c r="AG38" s="54">
        <f t="shared" si="68"/>
        <v>0.5</v>
      </c>
      <c r="AH38" s="62"/>
      <c r="AI38" s="47"/>
      <c r="AJ38" s="47"/>
      <c r="AK38" s="47"/>
      <c r="AL38" s="47"/>
      <c r="AM38" s="47"/>
      <c r="AN38" s="47"/>
      <c r="AO38" s="47"/>
      <c r="AP38" s="78"/>
      <c r="AQ38" s="62"/>
      <c r="AR38" s="62"/>
      <c r="AS38" s="62"/>
      <c r="AT38" s="54"/>
      <c r="AU38" s="54"/>
      <c r="AV38" s="54"/>
      <c r="AW38" s="54"/>
      <c r="AX38" s="54"/>
      <c r="AY38" s="54"/>
      <c r="AZ38" s="54"/>
      <c r="BA38" s="57"/>
      <c r="BB38" s="58"/>
      <c r="BC38" s="57"/>
      <c r="BD38" s="57"/>
      <c r="BE38" s="59"/>
      <c r="BF38" s="68"/>
      <c r="BG38" s="69"/>
      <c r="BH38" s="69"/>
      <c r="BI38" s="69"/>
      <c r="BJ38" s="69"/>
      <c r="BK38" s="62"/>
      <c r="BL38" s="54"/>
      <c r="BM38" s="54"/>
      <c r="BN38" s="54"/>
      <c r="BO38" s="54"/>
      <c r="BP38" s="54"/>
    </row>
    <row r="39">
      <c r="A39" s="47">
        <v>35.0</v>
      </c>
      <c r="B39" s="80" t="s">
        <v>76</v>
      </c>
      <c r="C39" s="49" t="s">
        <v>41</v>
      </c>
      <c r="D39" s="50">
        <v>3.67</v>
      </c>
      <c r="E39" s="50">
        <v>0.33</v>
      </c>
      <c r="F39" s="50">
        <v>0.0</v>
      </c>
      <c r="G39" s="50">
        <v>0.0</v>
      </c>
      <c r="H39" s="50">
        <v>0.0</v>
      </c>
      <c r="I39" s="50">
        <v>0.0</v>
      </c>
      <c r="J39" s="51"/>
      <c r="K39" s="51"/>
      <c r="L39" s="51"/>
      <c r="M39" s="51"/>
      <c r="N39" s="51"/>
      <c r="O39" s="51"/>
      <c r="P39" s="52">
        <v>1.0</v>
      </c>
      <c r="Q39" s="52">
        <v>1.0</v>
      </c>
      <c r="R39" s="62"/>
      <c r="S39" s="47"/>
      <c r="T39" s="47"/>
      <c r="U39" s="54"/>
      <c r="V39" s="54"/>
      <c r="W39" s="54"/>
      <c r="X39" s="54"/>
      <c r="Y39" s="47"/>
      <c r="Z39" s="62"/>
      <c r="AA39" s="54">
        <f t="shared" ref="AA39:AE39" si="69">ROUND(E39*0.5+K39*0.5-S39,2)</f>
        <v>0.17</v>
      </c>
      <c r="AB39" s="54">
        <f t="shared" si="69"/>
        <v>0</v>
      </c>
      <c r="AC39" s="54">
        <f t="shared" si="69"/>
        <v>0</v>
      </c>
      <c r="AD39" s="54">
        <f t="shared" si="69"/>
        <v>0</v>
      </c>
      <c r="AE39" s="54">
        <f t="shared" si="69"/>
        <v>0</v>
      </c>
      <c r="AF39" s="54">
        <f t="shared" ref="AF39:AG39" si="70">ROUND(P39-X39,2)</f>
        <v>1</v>
      </c>
      <c r="AG39" s="54">
        <f t="shared" si="70"/>
        <v>1</v>
      </c>
      <c r="AH39" s="62"/>
      <c r="AI39" s="47"/>
      <c r="AJ39" s="47"/>
      <c r="AK39" s="47"/>
      <c r="AL39" s="47"/>
      <c r="AM39" s="47"/>
      <c r="AN39" s="47"/>
      <c r="AO39" s="47"/>
      <c r="AP39" s="70"/>
      <c r="AQ39" s="62"/>
      <c r="AR39" s="62"/>
      <c r="AS39" s="62"/>
      <c r="AT39" s="54"/>
      <c r="AU39" s="54"/>
      <c r="AV39" s="54"/>
      <c r="AW39" s="54"/>
      <c r="AX39" s="54"/>
      <c r="AY39" s="54"/>
      <c r="AZ39" s="54"/>
      <c r="BA39" s="57"/>
      <c r="BB39" s="58"/>
      <c r="BC39" s="57"/>
      <c r="BD39" s="57"/>
      <c r="BE39" s="59"/>
      <c r="BF39" s="68"/>
      <c r="BG39" s="69"/>
      <c r="BH39" s="69"/>
      <c r="BI39" s="69"/>
      <c r="BJ39" s="69"/>
      <c r="BK39" s="62"/>
      <c r="BL39" s="54"/>
      <c r="BM39" s="54"/>
      <c r="BN39" s="54"/>
      <c r="BO39" s="54"/>
      <c r="BP39" s="54"/>
    </row>
    <row r="40">
      <c r="A40" s="47">
        <v>36.0</v>
      </c>
      <c r="B40" s="80" t="s">
        <v>77</v>
      </c>
      <c r="C40" s="49" t="s">
        <v>41</v>
      </c>
      <c r="D40" s="50">
        <v>3.0</v>
      </c>
      <c r="E40" s="50">
        <v>1.0</v>
      </c>
      <c r="F40" s="50">
        <v>0.0</v>
      </c>
      <c r="G40" s="50">
        <v>0.0</v>
      </c>
      <c r="H40" s="50">
        <v>0.0</v>
      </c>
      <c r="I40" s="50">
        <v>0.0</v>
      </c>
      <c r="J40" s="51"/>
      <c r="K40" s="51"/>
      <c r="L40" s="51"/>
      <c r="M40" s="51"/>
      <c r="N40" s="51"/>
      <c r="O40" s="51"/>
      <c r="P40" s="52">
        <v>1.0</v>
      </c>
      <c r="Q40" s="52">
        <v>1.0</v>
      </c>
      <c r="R40" s="62"/>
      <c r="S40" s="47">
        <v>0.22</v>
      </c>
      <c r="T40" s="54"/>
      <c r="U40" s="54"/>
      <c r="V40" s="54"/>
      <c r="W40" s="54"/>
      <c r="X40" s="54"/>
      <c r="Y40" s="54"/>
      <c r="Z40" s="62"/>
      <c r="AA40" s="54">
        <f t="shared" ref="AA40:AE40" si="71">ROUND(E40*0.5+K40*0.5-S40,2)</f>
        <v>0.28</v>
      </c>
      <c r="AB40" s="54">
        <f t="shared" si="71"/>
        <v>0</v>
      </c>
      <c r="AC40" s="54">
        <f t="shared" si="71"/>
        <v>0</v>
      </c>
      <c r="AD40" s="54">
        <f t="shared" si="71"/>
        <v>0</v>
      </c>
      <c r="AE40" s="54">
        <f t="shared" si="71"/>
        <v>0</v>
      </c>
      <c r="AF40" s="54">
        <f t="shared" ref="AF40:AG40" si="72">ROUND(P40-X40,2)</f>
        <v>1</v>
      </c>
      <c r="AG40" s="54">
        <f t="shared" si="72"/>
        <v>1</v>
      </c>
      <c r="AH40" s="62"/>
      <c r="AI40" s="47"/>
      <c r="AJ40" s="47"/>
      <c r="AK40" s="47"/>
      <c r="AL40" s="47"/>
      <c r="AM40" s="47"/>
      <c r="AN40" s="47"/>
      <c r="AO40" s="47"/>
      <c r="AP40" s="76"/>
      <c r="AQ40" s="62"/>
      <c r="AR40" s="62"/>
      <c r="AS40" s="62"/>
      <c r="AT40" s="54"/>
      <c r="AU40" s="54"/>
      <c r="AV40" s="54"/>
      <c r="AW40" s="54"/>
      <c r="AX40" s="54"/>
      <c r="AY40" s="54"/>
      <c r="AZ40" s="54"/>
      <c r="BA40" s="57"/>
      <c r="BB40" s="58"/>
      <c r="BC40" s="57"/>
      <c r="BD40" s="57"/>
      <c r="BE40" s="59"/>
      <c r="BF40" s="60"/>
      <c r="BG40" s="61"/>
      <c r="BH40" s="61"/>
      <c r="BI40" s="61"/>
      <c r="BJ40" s="61"/>
      <c r="BK40" s="62"/>
      <c r="BL40" s="54"/>
      <c r="BM40" s="54"/>
      <c r="BN40" s="54"/>
      <c r="BO40" s="54"/>
      <c r="BP40" s="54"/>
    </row>
    <row r="41">
      <c r="A41" s="47">
        <v>37.0</v>
      </c>
      <c r="B41" s="80" t="s">
        <v>78</v>
      </c>
      <c r="C41" s="49" t="s">
        <v>41</v>
      </c>
      <c r="D41" s="50">
        <v>3.67</v>
      </c>
      <c r="E41" s="50">
        <v>0.33</v>
      </c>
      <c r="F41" s="50">
        <v>0.0</v>
      </c>
      <c r="G41" s="50">
        <v>0.0</v>
      </c>
      <c r="H41" s="50">
        <v>0.0</v>
      </c>
      <c r="I41" s="50">
        <v>0.0</v>
      </c>
      <c r="J41" s="51"/>
      <c r="K41" s="51"/>
      <c r="L41" s="51"/>
      <c r="M41" s="51"/>
      <c r="N41" s="51"/>
      <c r="O41" s="51"/>
      <c r="P41" s="52">
        <v>1.0</v>
      </c>
      <c r="Q41" s="52">
        <v>1.0</v>
      </c>
      <c r="R41" s="62"/>
      <c r="S41" s="47"/>
      <c r="T41" s="47"/>
      <c r="U41" s="47"/>
      <c r="V41" s="54"/>
      <c r="W41" s="54"/>
      <c r="X41" s="54"/>
      <c r="Y41" s="54"/>
      <c r="Z41" s="62"/>
      <c r="AA41" s="54">
        <f t="shared" ref="AA41:AE41" si="73">ROUND(E41*0.5+K41*0.5-S41,2)</f>
        <v>0.17</v>
      </c>
      <c r="AB41" s="54">
        <f t="shared" si="73"/>
        <v>0</v>
      </c>
      <c r="AC41" s="54">
        <f t="shared" si="73"/>
        <v>0</v>
      </c>
      <c r="AD41" s="54">
        <f t="shared" si="73"/>
        <v>0</v>
      </c>
      <c r="AE41" s="54">
        <f t="shared" si="73"/>
        <v>0</v>
      </c>
      <c r="AF41" s="54">
        <f t="shared" ref="AF41:AG41" si="74">ROUND(P41-X41,2)</f>
        <v>1</v>
      </c>
      <c r="AG41" s="54">
        <f t="shared" si="74"/>
        <v>1</v>
      </c>
      <c r="AH41" s="62"/>
      <c r="AI41" s="47"/>
      <c r="AJ41" s="47"/>
      <c r="AK41" s="47"/>
      <c r="AL41" s="47"/>
      <c r="AM41" s="47"/>
      <c r="AN41" s="47"/>
      <c r="AO41" s="47"/>
      <c r="AP41" s="52"/>
      <c r="AQ41" s="62"/>
      <c r="AR41" s="62"/>
      <c r="AS41" s="62"/>
      <c r="AT41" s="71"/>
      <c r="AU41" s="54"/>
      <c r="AV41" s="54"/>
      <c r="AW41" s="54"/>
      <c r="AX41" s="54"/>
      <c r="AY41" s="88"/>
      <c r="AZ41" s="88"/>
      <c r="BA41" s="57"/>
      <c r="BB41" s="58"/>
      <c r="BC41" s="57"/>
      <c r="BD41" s="57"/>
      <c r="BE41" s="59"/>
      <c r="BF41" s="68"/>
      <c r="BG41" s="69"/>
      <c r="BH41" s="69"/>
      <c r="BI41" s="69"/>
      <c r="BJ41" s="69"/>
      <c r="BK41" s="62"/>
      <c r="BL41" s="54"/>
      <c r="BM41" s="54"/>
      <c r="BN41" s="54"/>
      <c r="BO41" s="54"/>
      <c r="BP41" s="54"/>
    </row>
    <row r="42">
      <c r="A42" s="47">
        <v>38.0</v>
      </c>
      <c r="B42" s="80" t="s">
        <v>79</v>
      </c>
      <c r="C42" s="49" t="s">
        <v>41</v>
      </c>
      <c r="D42" s="50">
        <v>2.5</v>
      </c>
      <c r="E42" s="50">
        <v>1.0</v>
      </c>
      <c r="F42" s="50">
        <v>0.3</v>
      </c>
      <c r="G42" s="50">
        <v>0.2</v>
      </c>
      <c r="H42" s="50">
        <v>0.0</v>
      </c>
      <c r="I42" s="50">
        <v>0.0</v>
      </c>
      <c r="J42" s="51"/>
      <c r="K42" s="51"/>
      <c r="L42" s="51"/>
      <c r="M42" s="51"/>
      <c r="N42" s="51"/>
      <c r="O42" s="51"/>
      <c r="P42" s="52">
        <v>1.0</v>
      </c>
      <c r="Q42" s="52">
        <v>1.0</v>
      </c>
      <c r="R42" s="62"/>
      <c r="S42" s="47">
        <v>0.39</v>
      </c>
      <c r="T42" s="47"/>
      <c r="U42" s="47">
        <v>0.02</v>
      </c>
      <c r="V42" s="47"/>
      <c r="W42" s="47"/>
      <c r="X42" s="54"/>
      <c r="Y42" s="54"/>
      <c r="Z42" s="62"/>
      <c r="AA42" s="54">
        <f t="shared" ref="AA42:AE42" si="75">ROUND(E42*0.5+K42*0.5-S42,2)</f>
        <v>0.11</v>
      </c>
      <c r="AB42" s="54">
        <f t="shared" si="75"/>
        <v>0.15</v>
      </c>
      <c r="AC42" s="54">
        <f t="shared" si="75"/>
        <v>0.08</v>
      </c>
      <c r="AD42" s="54">
        <f t="shared" si="75"/>
        <v>0</v>
      </c>
      <c r="AE42" s="54">
        <f t="shared" si="75"/>
        <v>0</v>
      </c>
      <c r="AF42" s="54">
        <f t="shared" ref="AF42:AG42" si="76">ROUND(P42-X42,2)</f>
        <v>1</v>
      </c>
      <c r="AG42" s="54">
        <f t="shared" si="76"/>
        <v>1</v>
      </c>
      <c r="AH42" s="62"/>
      <c r="AI42" s="47"/>
      <c r="AJ42" s="47"/>
      <c r="AK42" s="47"/>
      <c r="AL42" s="47"/>
      <c r="AM42" s="47"/>
      <c r="AN42" s="47"/>
      <c r="AO42" s="47"/>
      <c r="AP42" s="78"/>
      <c r="AQ42" s="62"/>
      <c r="AR42" s="62"/>
      <c r="AS42" s="62"/>
      <c r="AT42" s="54"/>
      <c r="AU42" s="54"/>
      <c r="AV42" s="54"/>
      <c r="AW42" s="54"/>
      <c r="AX42" s="54"/>
      <c r="AY42" s="54"/>
      <c r="AZ42" s="54"/>
      <c r="BA42" s="57"/>
      <c r="BB42" s="58"/>
      <c r="BC42" s="58"/>
      <c r="BD42" s="58"/>
      <c r="BE42" s="64"/>
      <c r="BF42" s="68"/>
      <c r="BG42" s="69"/>
      <c r="BH42" s="69"/>
      <c r="BI42" s="69"/>
      <c r="BJ42" s="69"/>
      <c r="BK42" s="62"/>
      <c r="BL42" s="54"/>
      <c r="BM42" s="54"/>
      <c r="BN42" s="54"/>
      <c r="BO42" s="54"/>
      <c r="BP42" s="54"/>
    </row>
    <row r="43">
      <c r="A43" s="47">
        <v>39.0</v>
      </c>
      <c r="B43" s="80" t="s">
        <v>80</v>
      </c>
      <c r="C43" s="49" t="s">
        <v>41</v>
      </c>
      <c r="D43" s="50">
        <v>4.0</v>
      </c>
      <c r="E43" s="50">
        <v>0.0</v>
      </c>
      <c r="F43" s="50">
        <v>0.0</v>
      </c>
      <c r="G43" s="50">
        <v>0.0</v>
      </c>
      <c r="H43" s="50">
        <v>0.0</v>
      </c>
      <c r="I43" s="50">
        <v>0.0</v>
      </c>
      <c r="J43" s="51"/>
      <c r="K43" s="51"/>
      <c r="L43" s="51"/>
      <c r="M43" s="51"/>
      <c r="N43" s="51"/>
      <c r="O43" s="51"/>
      <c r="P43" s="52">
        <v>1.0</v>
      </c>
      <c r="Q43" s="52">
        <v>1.0</v>
      </c>
      <c r="R43" s="62"/>
      <c r="S43" s="47"/>
      <c r="T43" s="47"/>
      <c r="U43" s="54"/>
      <c r="V43" s="54"/>
      <c r="W43" s="47"/>
      <c r="X43" s="54"/>
      <c r="Y43" s="54"/>
      <c r="Z43" s="62"/>
      <c r="AA43" s="54">
        <f t="shared" ref="AA43:AE43" si="77">ROUND(E43*0.5+K43*0.5-S43,2)</f>
        <v>0</v>
      </c>
      <c r="AB43" s="54">
        <f t="shared" si="77"/>
        <v>0</v>
      </c>
      <c r="AC43" s="54">
        <f t="shared" si="77"/>
        <v>0</v>
      </c>
      <c r="AD43" s="54">
        <f t="shared" si="77"/>
        <v>0</v>
      </c>
      <c r="AE43" s="54">
        <f t="shared" si="77"/>
        <v>0</v>
      </c>
      <c r="AF43" s="54">
        <f t="shared" ref="AF43:AG43" si="78">ROUND(P43-X43,2)</f>
        <v>1</v>
      </c>
      <c r="AG43" s="54">
        <f t="shared" si="78"/>
        <v>1</v>
      </c>
      <c r="AH43" s="62"/>
      <c r="AI43" s="47"/>
      <c r="AJ43" s="47"/>
      <c r="AK43" s="47"/>
      <c r="AL43" s="47"/>
      <c r="AM43" s="47"/>
      <c r="AN43" s="47"/>
      <c r="AO43" s="47"/>
      <c r="AP43" s="52"/>
      <c r="AQ43" s="62"/>
      <c r="AR43" s="62"/>
      <c r="AS43" s="62"/>
      <c r="AT43" s="54"/>
      <c r="AU43" s="54"/>
      <c r="AV43" s="54"/>
      <c r="AW43" s="54"/>
      <c r="AX43" s="54"/>
      <c r="AY43" s="54"/>
      <c r="AZ43" s="54"/>
      <c r="BA43" s="57"/>
      <c r="BB43" s="58"/>
      <c r="BC43" s="57"/>
      <c r="BD43" s="57"/>
      <c r="BE43" s="59"/>
      <c r="BF43" s="68"/>
      <c r="BG43" s="69"/>
      <c r="BH43" s="69"/>
      <c r="BI43" s="69"/>
      <c r="BJ43" s="69"/>
      <c r="BK43" s="62"/>
      <c r="BL43" s="54"/>
      <c r="BM43" s="54"/>
      <c r="BN43" s="54"/>
      <c r="BO43" s="54"/>
      <c r="BP43" s="54"/>
    </row>
    <row r="44">
      <c r="A44" s="47">
        <v>40.0</v>
      </c>
      <c r="B44" s="80" t="s">
        <v>81</v>
      </c>
      <c r="C44" s="49" t="s">
        <v>41</v>
      </c>
      <c r="D44" s="50">
        <v>3.33</v>
      </c>
      <c r="E44" s="50">
        <v>0.27</v>
      </c>
      <c r="F44" s="50">
        <v>0.2</v>
      </c>
      <c r="G44" s="50">
        <v>0.2</v>
      </c>
      <c r="H44" s="50">
        <v>0.0</v>
      </c>
      <c r="I44" s="50">
        <v>0.0</v>
      </c>
      <c r="J44" s="51"/>
      <c r="K44" s="51"/>
      <c r="L44" s="51"/>
      <c r="M44" s="51"/>
      <c r="N44" s="51"/>
      <c r="O44" s="51"/>
      <c r="P44" s="52">
        <v>1.0</v>
      </c>
      <c r="Q44" s="52">
        <v>1.0</v>
      </c>
      <c r="R44" s="62"/>
      <c r="S44" s="47">
        <v>0.32</v>
      </c>
      <c r="T44" s="47">
        <v>0.04</v>
      </c>
      <c r="U44" s="47">
        <v>0.1</v>
      </c>
      <c r="V44" s="47"/>
      <c r="W44" s="47"/>
      <c r="X44" s="54"/>
      <c r="Y44" s="54"/>
      <c r="Z44" s="62"/>
      <c r="AA44" s="54">
        <f t="shared" ref="AA44:AE44" si="79">ROUND(E44*0.5+K44*0.5-S44,2)</f>
        <v>-0.19</v>
      </c>
      <c r="AB44" s="54">
        <f t="shared" si="79"/>
        <v>0.06</v>
      </c>
      <c r="AC44" s="54">
        <f t="shared" si="79"/>
        <v>0</v>
      </c>
      <c r="AD44" s="54">
        <f t="shared" si="79"/>
        <v>0</v>
      </c>
      <c r="AE44" s="54">
        <f t="shared" si="79"/>
        <v>0</v>
      </c>
      <c r="AF44" s="54">
        <f t="shared" ref="AF44:AG44" si="80">ROUND(P44-X44,2)</f>
        <v>1</v>
      </c>
      <c r="AG44" s="54">
        <f t="shared" si="80"/>
        <v>1</v>
      </c>
      <c r="AH44" s="62"/>
      <c r="AI44" s="47"/>
      <c r="AJ44" s="47"/>
      <c r="AK44" s="47"/>
      <c r="AL44" s="47"/>
      <c r="AM44" s="47"/>
      <c r="AN44" s="47"/>
      <c r="AO44" s="47"/>
      <c r="AP44" s="74"/>
      <c r="AQ44" s="62"/>
      <c r="AR44" s="62"/>
      <c r="AS44" s="62"/>
      <c r="AT44" s="54"/>
      <c r="AU44" s="54"/>
      <c r="AV44" s="54"/>
      <c r="AW44" s="54"/>
      <c r="AX44" s="54"/>
      <c r="AY44" s="54"/>
      <c r="AZ44" s="54"/>
      <c r="BA44" s="57"/>
      <c r="BB44" s="58"/>
      <c r="BC44" s="57"/>
      <c r="BD44" s="57"/>
      <c r="BE44" s="59"/>
      <c r="BF44" s="68"/>
      <c r="BG44" s="69"/>
      <c r="BH44" s="69"/>
      <c r="BI44" s="69"/>
      <c r="BJ44" s="69"/>
      <c r="BK44" s="62"/>
      <c r="BL44" s="54"/>
      <c r="BM44" s="54"/>
      <c r="BN44" s="54"/>
      <c r="BO44" s="54"/>
      <c r="BP44" s="54"/>
    </row>
    <row r="45">
      <c r="A45" s="47">
        <v>41.0</v>
      </c>
      <c r="B45" s="80" t="s">
        <v>82</v>
      </c>
      <c r="C45" s="49" t="s">
        <v>41</v>
      </c>
      <c r="D45" s="50">
        <v>3.33</v>
      </c>
      <c r="E45" s="50">
        <v>0.47</v>
      </c>
      <c r="F45" s="50">
        <v>0.2</v>
      </c>
      <c r="G45" s="50">
        <v>0.0</v>
      </c>
      <c r="H45" s="50">
        <v>0.0</v>
      </c>
      <c r="I45" s="50">
        <v>0.0</v>
      </c>
      <c r="J45" s="51"/>
      <c r="K45" s="51"/>
      <c r="L45" s="51"/>
      <c r="M45" s="51"/>
      <c r="N45" s="51"/>
      <c r="O45" s="51"/>
      <c r="P45" s="52">
        <v>1.0</v>
      </c>
      <c r="Q45" s="52">
        <v>1.0</v>
      </c>
      <c r="R45" s="62"/>
      <c r="S45" s="47"/>
      <c r="T45" s="47">
        <v>0.003</v>
      </c>
      <c r="U45" s="54"/>
      <c r="V45" s="54"/>
      <c r="W45" s="54"/>
      <c r="X45" s="47"/>
      <c r="Y45" s="47"/>
      <c r="Z45" s="62"/>
      <c r="AA45" s="54">
        <f t="shared" ref="AA45:AE45" si="81">ROUND(E45*0.5+K45*0.5-S45,2)</f>
        <v>0.24</v>
      </c>
      <c r="AB45" s="54">
        <f t="shared" si="81"/>
        <v>0.1</v>
      </c>
      <c r="AC45" s="54">
        <f t="shared" si="81"/>
        <v>0</v>
      </c>
      <c r="AD45" s="54">
        <f t="shared" si="81"/>
        <v>0</v>
      </c>
      <c r="AE45" s="54">
        <f t="shared" si="81"/>
        <v>0</v>
      </c>
      <c r="AF45" s="54">
        <f t="shared" ref="AF45:AG45" si="82">ROUND(P45-X45,2)</f>
        <v>1</v>
      </c>
      <c r="AG45" s="54">
        <f t="shared" si="82"/>
        <v>1</v>
      </c>
      <c r="AH45" s="62"/>
      <c r="AI45" s="47"/>
      <c r="AJ45" s="47"/>
      <c r="AK45" s="47"/>
      <c r="AL45" s="47"/>
      <c r="AM45" s="47"/>
      <c r="AN45" s="47"/>
      <c r="AO45" s="47"/>
      <c r="AP45" s="52"/>
      <c r="AQ45" s="62"/>
      <c r="AR45" s="62"/>
      <c r="AS45" s="62"/>
      <c r="AT45" s="89"/>
      <c r="AU45" s="72"/>
      <c r="AV45" s="54"/>
      <c r="AW45" s="54"/>
      <c r="AX45" s="54"/>
      <c r="AY45" s="54"/>
      <c r="AZ45" s="54"/>
      <c r="BA45" s="58"/>
      <c r="BB45" s="58"/>
      <c r="BC45" s="57"/>
      <c r="BD45" s="57"/>
      <c r="BE45" s="59"/>
      <c r="BF45" s="90"/>
      <c r="BG45" s="91"/>
      <c r="BH45" s="91"/>
      <c r="BI45" s="91"/>
      <c r="BJ45" s="91"/>
      <c r="BK45" s="62"/>
      <c r="BL45" s="54"/>
      <c r="BM45" s="54"/>
      <c r="BN45" s="54"/>
      <c r="BO45" s="54"/>
      <c r="BP45" s="54"/>
    </row>
    <row r="46">
      <c r="A46" s="47">
        <v>42.0</v>
      </c>
      <c r="B46" s="80" t="s">
        <v>83</v>
      </c>
      <c r="C46" s="49" t="s">
        <v>41</v>
      </c>
      <c r="D46" s="50">
        <v>3.67</v>
      </c>
      <c r="E46" s="50">
        <v>0.33</v>
      </c>
      <c r="F46" s="50">
        <v>0.0</v>
      </c>
      <c r="G46" s="50">
        <v>0.0</v>
      </c>
      <c r="H46" s="50">
        <v>0.0</v>
      </c>
      <c r="I46" s="50">
        <v>0.0</v>
      </c>
      <c r="J46" s="51"/>
      <c r="K46" s="51"/>
      <c r="L46" s="51"/>
      <c r="M46" s="51"/>
      <c r="N46" s="51"/>
      <c r="O46" s="51"/>
      <c r="P46" s="52">
        <v>1.0</v>
      </c>
      <c r="Q46" s="52">
        <v>1.0</v>
      </c>
      <c r="R46" s="62"/>
      <c r="S46" s="47"/>
      <c r="T46" s="47"/>
      <c r="U46" s="54"/>
      <c r="V46" s="54"/>
      <c r="W46" s="47"/>
      <c r="X46" s="54"/>
      <c r="Y46" s="54"/>
      <c r="Z46" s="62"/>
      <c r="AA46" s="54">
        <f t="shared" ref="AA46:AE46" si="83">ROUND(E46*0.5+K46*0.5-S46,2)</f>
        <v>0.17</v>
      </c>
      <c r="AB46" s="54">
        <f t="shared" si="83"/>
        <v>0</v>
      </c>
      <c r="AC46" s="54">
        <f t="shared" si="83"/>
        <v>0</v>
      </c>
      <c r="AD46" s="54">
        <f t="shared" si="83"/>
        <v>0</v>
      </c>
      <c r="AE46" s="54">
        <f t="shared" si="83"/>
        <v>0</v>
      </c>
      <c r="AF46" s="54">
        <f t="shared" ref="AF46:AG46" si="84">ROUND(P46-X46,2)</f>
        <v>1</v>
      </c>
      <c r="AG46" s="54">
        <f t="shared" si="84"/>
        <v>1</v>
      </c>
      <c r="AH46" s="62"/>
      <c r="AI46" s="47"/>
      <c r="AJ46" s="92"/>
      <c r="AK46" s="47"/>
      <c r="AL46" s="47"/>
      <c r="AM46" s="47"/>
      <c r="AN46" s="47"/>
      <c r="AO46" s="47"/>
      <c r="AP46" s="78"/>
      <c r="AQ46" s="62"/>
      <c r="AR46" s="62"/>
      <c r="AS46" s="62"/>
      <c r="AT46" s="71"/>
      <c r="AU46" s="54"/>
      <c r="AV46" s="54"/>
      <c r="AW46" s="54"/>
      <c r="AX46" s="54"/>
      <c r="AY46" s="54"/>
      <c r="AZ46" s="71"/>
      <c r="BA46" s="57"/>
      <c r="BB46" s="58"/>
      <c r="BC46" s="58"/>
      <c r="BD46" s="57"/>
      <c r="BE46" s="59"/>
      <c r="BF46" s="60"/>
      <c r="BG46" s="61"/>
      <c r="BH46" s="61"/>
      <c r="BI46" s="61"/>
      <c r="BJ46" s="61"/>
      <c r="BK46" s="62"/>
      <c r="BL46" s="54"/>
      <c r="BM46" s="54"/>
      <c r="BN46" s="54"/>
      <c r="BO46" s="54"/>
      <c r="BP46" s="54"/>
    </row>
    <row r="47">
      <c r="A47" s="47">
        <v>43.0</v>
      </c>
      <c r="B47" s="80" t="s">
        <v>84</v>
      </c>
      <c r="C47" s="49" t="s">
        <v>41</v>
      </c>
      <c r="D47" s="50">
        <v>3.0</v>
      </c>
      <c r="E47" s="50">
        <v>0.0</v>
      </c>
      <c r="F47" s="50">
        <v>0.0</v>
      </c>
      <c r="G47" s="50">
        <v>0.0</v>
      </c>
      <c r="H47" s="50">
        <v>0.0</v>
      </c>
      <c r="I47" s="50">
        <v>0.0</v>
      </c>
      <c r="J47" s="51"/>
      <c r="K47" s="51"/>
      <c r="L47" s="51"/>
      <c r="M47" s="51"/>
      <c r="N47" s="51"/>
      <c r="O47" s="51"/>
      <c r="P47" s="52">
        <v>1.0</v>
      </c>
      <c r="Q47" s="52">
        <v>1.0</v>
      </c>
      <c r="R47" s="62"/>
      <c r="S47" s="47"/>
      <c r="T47" s="47"/>
      <c r="U47" s="54"/>
      <c r="V47" s="54"/>
      <c r="W47" s="47"/>
      <c r="X47" s="54"/>
      <c r="Y47" s="47"/>
      <c r="Z47" s="62"/>
      <c r="AA47" s="54">
        <f t="shared" ref="AA47:AE47" si="85">ROUND(E47*0.5+K47*0.5-S47,2)</f>
        <v>0</v>
      </c>
      <c r="AB47" s="54">
        <f t="shared" si="85"/>
        <v>0</v>
      </c>
      <c r="AC47" s="54">
        <f t="shared" si="85"/>
        <v>0</v>
      </c>
      <c r="AD47" s="54">
        <f t="shared" si="85"/>
        <v>0</v>
      </c>
      <c r="AE47" s="54">
        <f t="shared" si="85"/>
        <v>0</v>
      </c>
      <c r="AF47" s="54">
        <f t="shared" ref="AF47:AG47" si="86">ROUND(P47-X47,2)</f>
        <v>1</v>
      </c>
      <c r="AG47" s="54">
        <f t="shared" si="86"/>
        <v>1</v>
      </c>
      <c r="AH47" s="62"/>
      <c r="AI47" s="47"/>
      <c r="AJ47" s="47"/>
      <c r="AK47" s="47"/>
      <c r="AL47" s="47"/>
      <c r="AM47" s="47"/>
      <c r="AN47" s="47"/>
      <c r="AO47" s="47"/>
      <c r="AP47" s="76"/>
      <c r="AQ47" s="62"/>
      <c r="AR47" s="62"/>
      <c r="AS47" s="62"/>
      <c r="AT47" s="54"/>
      <c r="AU47" s="54"/>
      <c r="AV47" s="54"/>
      <c r="AW47" s="54"/>
      <c r="AX47" s="54"/>
      <c r="AY47" s="54"/>
      <c r="AZ47" s="54"/>
      <c r="BA47" s="57"/>
      <c r="BB47" s="58"/>
      <c r="BC47" s="58"/>
      <c r="BD47" s="57"/>
      <c r="BE47" s="59"/>
      <c r="BF47" s="68"/>
      <c r="BG47" s="69"/>
      <c r="BH47" s="69"/>
      <c r="BI47" s="69"/>
      <c r="BJ47" s="69"/>
      <c r="BK47" s="62"/>
      <c r="BL47" s="54"/>
      <c r="BM47" s="54"/>
      <c r="BN47" s="54"/>
      <c r="BO47" s="54"/>
      <c r="BP47" s="54"/>
    </row>
    <row r="48">
      <c r="A48" s="47">
        <v>44.0</v>
      </c>
      <c r="B48" s="80" t="s">
        <v>85</v>
      </c>
      <c r="C48" s="49" t="s">
        <v>41</v>
      </c>
      <c r="D48" s="50">
        <v>3.67</v>
      </c>
      <c r="E48" s="50">
        <v>0.33</v>
      </c>
      <c r="F48" s="50">
        <v>0.0</v>
      </c>
      <c r="G48" s="50">
        <v>0.0</v>
      </c>
      <c r="H48" s="50">
        <v>0.0</v>
      </c>
      <c r="I48" s="50">
        <v>0.0</v>
      </c>
      <c r="J48" s="51"/>
      <c r="K48" s="51"/>
      <c r="L48" s="51"/>
      <c r="M48" s="51"/>
      <c r="N48" s="51"/>
      <c r="O48" s="51"/>
      <c r="P48" s="52">
        <v>1.0</v>
      </c>
      <c r="Q48" s="52">
        <v>1.0</v>
      </c>
      <c r="R48" s="62"/>
      <c r="S48" s="47">
        <v>0.21</v>
      </c>
      <c r="T48" s="47">
        <v>0.02</v>
      </c>
      <c r="U48" s="54"/>
      <c r="V48" s="54"/>
      <c r="W48" s="54"/>
      <c r="X48" s="54"/>
      <c r="Y48" s="54"/>
      <c r="Z48" s="62"/>
      <c r="AA48" s="54">
        <f t="shared" ref="AA48:AE48" si="87">ROUND(E48*0.5+K48*0.5-S48,2)</f>
        <v>-0.05</v>
      </c>
      <c r="AB48" s="54">
        <f t="shared" si="87"/>
        <v>-0.02</v>
      </c>
      <c r="AC48" s="54">
        <f t="shared" si="87"/>
        <v>0</v>
      </c>
      <c r="AD48" s="54">
        <f t="shared" si="87"/>
        <v>0</v>
      </c>
      <c r="AE48" s="54">
        <f t="shared" si="87"/>
        <v>0</v>
      </c>
      <c r="AF48" s="54">
        <f t="shared" ref="AF48:AG48" si="88">ROUND(P48-X48,2)</f>
        <v>1</v>
      </c>
      <c r="AG48" s="54">
        <f t="shared" si="88"/>
        <v>1</v>
      </c>
      <c r="AH48" s="62"/>
      <c r="AI48" s="47"/>
      <c r="AJ48" s="47"/>
      <c r="AK48" s="47"/>
      <c r="AL48" s="47"/>
      <c r="AM48" s="47"/>
      <c r="AN48" s="47"/>
      <c r="AO48" s="47"/>
      <c r="AP48" s="74"/>
      <c r="AQ48" s="62"/>
      <c r="AR48" s="62"/>
      <c r="AS48" s="62"/>
      <c r="AT48" s="54"/>
      <c r="AU48" s="54"/>
      <c r="AV48" s="54"/>
      <c r="AW48" s="54"/>
      <c r="AX48" s="54"/>
      <c r="AY48" s="54"/>
      <c r="AZ48" s="54"/>
      <c r="BA48" s="57"/>
      <c r="BB48" s="58"/>
      <c r="BC48" s="57"/>
      <c r="BD48" s="57"/>
      <c r="BE48" s="59"/>
      <c r="BF48" s="47"/>
      <c r="BG48" s="47"/>
      <c r="BH48" s="47"/>
      <c r="BI48" s="47"/>
      <c r="BJ48" s="47"/>
      <c r="BK48" s="62"/>
      <c r="BL48" s="54"/>
      <c r="BM48" s="54"/>
      <c r="BN48" s="54"/>
      <c r="BO48" s="54"/>
      <c r="BP48" s="54"/>
    </row>
    <row r="49">
      <c r="A49" s="47">
        <v>45.0</v>
      </c>
      <c r="B49" s="80" t="s">
        <v>86</v>
      </c>
      <c r="C49" s="49" t="s">
        <v>41</v>
      </c>
      <c r="D49" s="50">
        <v>4.0</v>
      </c>
      <c r="E49" s="50">
        <v>0.0</v>
      </c>
      <c r="F49" s="50">
        <v>0.0</v>
      </c>
      <c r="G49" s="50">
        <v>0.0</v>
      </c>
      <c r="H49" s="50">
        <v>0.0</v>
      </c>
      <c r="I49" s="50">
        <v>0.0</v>
      </c>
      <c r="J49" s="51"/>
      <c r="K49" s="51"/>
      <c r="L49" s="51"/>
      <c r="M49" s="51"/>
      <c r="N49" s="51"/>
      <c r="O49" s="51"/>
      <c r="P49" s="52">
        <v>1.0</v>
      </c>
      <c r="Q49" s="52">
        <v>1.0</v>
      </c>
      <c r="R49" s="62"/>
      <c r="S49" s="54"/>
      <c r="T49" s="54"/>
      <c r="U49" s="54"/>
      <c r="V49" s="54"/>
      <c r="W49" s="54"/>
      <c r="X49" s="54"/>
      <c r="Y49" s="54"/>
      <c r="Z49" s="62"/>
      <c r="AA49" s="54">
        <f t="shared" ref="AA49:AE49" si="89">ROUND(E49*0.5+K49*0.5-S49,2)</f>
        <v>0</v>
      </c>
      <c r="AB49" s="54">
        <f t="shared" si="89"/>
        <v>0</v>
      </c>
      <c r="AC49" s="54">
        <f t="shared" si="89"/>
        <v>0</v>
      </c>
      <c r="AD49" s="54">
        <f t="shared" si="89"/>
        <v>0</v>
      </c>
      <c r="AE49" s="54">
        <f t="shared" si="89"/>
        <v>0</v>
      </c>
      <c r="AF49" s="54">
        <f t="shared" ref="AF49:AG49" si="90">ROUND(P49-X49,2)</f>
        <v>1</v>
      </c>
      <c r="AG49" s="54">
        <f t="shared" si="90"/>
        <v>1</v>
      </c>
      <c r="AH49" s="62"/>
      <c r="AI49" s="47"/>
      <c r="AJ49" s="47"/>
      <c r="AK49" s="47"/>
      <c r="AL49" s="47"/>
      <c r="AM49" s="47"/>
      <c r="AN49" s="47"/>
      <c r="AO49" s="47"/>
      <c r="AP49" s="52"/>
      <c r="AQ49" s="62"/>
      <c r="AR49" s="62"/>
      <c r="AS49" s="62"/>
      <c r="AT49" s="54"/>
      <c r="AU49" s="54"/>
      <c r="AV49" s="54"/>
      <c r="AW49" s="54"/>
      <c r="AX49" s="54"/>
      <c r="AY49" s="54"/>
      <c r="AZ49" s="54"/>
      <c r="BA49" s="57"/>
      <c r="BB49" s="58"/>
      <c r="BC49" s="57"/>
      <c r="BD49" s="58"/>
      <c r="BE49" s="64"/>
      <c r="BF49" s="47"/>
      <c r="BG49" s="47"/>
      <c r="BH49" s="47"/>
      <c r="BI49" s="47"/>
      <c r="BJ49" s="47"/>
      <c r="BK49" s="62"/>
      <c r="BL49" s="54"/>
      <c r="BM49" s="54"/>
      <c r="BN49" s="54"/>
      <c r="BO49" s="54"/>
      <c r="BP49" s="54"/>
    </row>
    <row r="50">
      <c r="A50" s="47">
        <v>46.0</v>
      </c>
      <c r="B50" s="80" t="s">
        <v>87</v>
      </c>
      <c r="C50" s="49" t="s">
        <v>41</v>
      </c>
      <c r="D50" s="50">
        <v>4.0</v>
      </c>
      <c r="E50" s="50">
        <v>0.0</v>
      </c>
      <c r="F50" s="50">
        <v>0.0</v>
      </c>
      <c r="G50" s="50">
        <v>0.0</v>
      </c>
      <c r="H50" s="50">
        <v>0.0</v>
      </c>
      <c r="I50" s="50">
        <v>0.0</v>
      </c>
      <c r="J50" s="51"/>
      <c r="K50" s="51"/>
      <c r="L50" s="51"/>
      <c r="M50" s="51"/>
      <c r="N50" s="51"/>
      <c r="O50" s="51"/>
      <c r="P50" s="52">
        <v>1.0</v>
      </c>
      <c r="Q50" s="52">
        <v>1.0</v>
      </c>
      <c r="R50" s="62"/>
      <c r="S50" s="54"/>
      <c r="T50" s="54"/>
      <c r="U50" s="54"/>
      <c r="V50" s="54"/>
      <c r="W50" s="54"/>
      <c r="X50" s="54"/>
      <c r="Y50" s="54"/>
      <c r="Z50" s="62"/>
      <c r="AA50" s="54">
        <f t="shared" ref="AA50:AE50" si="91">ROUND(E50*0.5+K50*0.5-S50,2)</f>
        <v>0</v>
      </c>
      <c r="AB50" s="54">
        <f t="shared" si="91"/>
        <v>0</v>
      </c>
      <c r="AC50" s="54">
        <f t="shared" si="91"/>
        <v>0</v>
      </c>
      <c r="AD50" s="54">
        <f t="shared" si="91"/>
        <v>0</v>
      </c>
      <c r="AE50" s="54">
        <f t="shared" si="91"/>
        <v>0</v>
      </c>
      <c r="AF50" s="54">
        <f t="shared" ref="AF50:AG50" si="92">ROUND(P50-X50,2)</f>
        <v>1</v>
      </c>
      <c r="AG50" s="54">
        <f t="shared" si="92"/>
        <v>1</v>
      </c>
      <c r="AH50" s="62"/>
      <c r="AI50" s="47"/>
      <c r="AJ50" s="47"/>
      <c r="AK50" s="47"/>
      <c r="AL50" s="47"/>
      <c r="AM50" s="47"/>
      <c r="AN50" s="47"/>
      <c r="AO50" s="47"/>
      <c r="AP50" s="78"/>
      <c r="AQ50" s="62"/>
      <c r="AR50" s="62"/>
      <c r="AS50" s="62"/>
      <c r="AT50" s="54"/>
      <c r="AU50" s="54"/>
      <c r="AV50" s="54"/>
      <c r="AW50" s="54"/>
      <c r="AX50" s="54"/>
      <c r="AY50" s="54"/>
      <c r="AZ50" s="54"/>
      <c r="BA50" s="57"/>
      <c r="BB50" s="58"/>
      <c r="BC50" s="57"/>
      <c r="BD50" s="57"/>
      <c r="BE50" s="59"/>
      <c r="BF50" s="47"/>
      <c r="BG50" s="47"/>
      <c r="BH50" s="47"/>
      <c r="BI50" s="47"/>
      <c r="BJ50" s="47"/>
      <c r="BK50" s="62"/>
      <c r="BL50" s="54"/>
      <c r="BM50" s="54"/>
      <c r="BN50" s="54"/>
      <c r="BO50" s="54"/>
      <c r="BP50" s="54"/>
    </row>
    <row r="51">
      <c r="A51" s="47">
        <v>47.0</v>
      </c>
      <c r="B51" s="80" t="s">
        <v>88</v>
      </c>
      <c r="C51" s="49" t="s">
        <v>41</v>
      </c>
      <c r="D51" s="50">
        <v>4.0</v>
      </c>
      <c r="E51" s="50">
        <v>0.0</v>
      </c>
      <c r="F51" s="50">
        <v>0.0</v>
      </c>
      <c r="G51" s="50">
        <v>0.0</v>
      </c>
      <c r="H51" s="50">
        <v>0.0</v>
      </c>
      <c r="I51" s="50">
        <v>0.0</v>
      </c>
      <c r="J51" s="51"/>
      <c r="K51" s="51"/>
      <c r="L51" s="51"/>
      <c r="M51" s="51"/>
      <c r="N51" s="51"/>
      <c r="O51" s="51"/>
      <c r="P51" s="52">
        <v>1.0</v>
      </c>
      <c r="Q51" s="52">
        <v>1.0</v>
      </c>
      <c r="R51" s="62"/>
      <c r="S51" s="54"/>
      <c r="T51" s="54"/>
      <c r="U51" s="54"/>
      <c r="V51" s="54"/>
      <c r="W51" s="54"/>
      <c r="X51" s="54"/>
      <c r="Y51" s="54"/>
      <c r="Z51" s="62"/>
      <c r="AA51" s="54">
        <f t="shared" ref="AA51:AE51" si="93">ROUND(E51*0.5+K51*0.5-S51,2)</f>
        <v>0</v>
      </c>
      <c r="AB51" s="54">
        <f t="shared" si="93"/>
        <v>0</v>
      </c>
      <c r="AC51" s="54">
        <f t="shared" si="93"/>
        <v>0</v>
      </c>
      <c r="AD51" s="54">
        <f t="shared" si="93"/>
        <v>0</v>
      </c>
      <c r="AE51" s="54">
        <f t="shared" si="93"/>
        <v>0</v>
      </c>
      <c r="AF51" s="54">
        <f t="shared" ref="AF51:AG51" si="94">ROUND(P51-X51,2)</f>
        <v>1</v>
      </c>
      <c r="AG51" s="54">
        <f t="shared" si="94"/>
        <v>1</v>
      </c>
      <c r="AH51" s="62"/>
      <c r="AI51" s="47"/>
      <c r="AJ51" s="47"/>
      <c r="AK51" s="47"/>
      <c r="AL51" s="47"/>
      <c r="AM51" s="47"/>
      <c r="AN51" s="47"/>
      <c r="AO51" s="47"/>
      <c r="AP51" s="52"/>
      <c r="AQ51" s="62"/>
      <c r="AR51" s="62"/>
      <c r="AS51" s="62"/>
      <c r="AT51" s="54"/>
      <c r="AU51" s="54"/>
      <c r="AV51" s="54"/>
      <c r="AW51" s="54"/>
      <c r="AX51" s="54"/>
      <c r="AY51" s="54"/>
      <c r="AZ51" s="54"/>
      <c r="BA51" s="57"/>
      <c r="BB51" s="58"/>
      <c r="BC51" s="57"/>
      <c r="BD51" s="57"/>
      <c r="BE51" s="59"/>
      <c r="BF51" s="47"/>
      <c r="BG51" s="47"/>
      <c r="BH51" s="47"/>
      <c r="BI51" s="47"/>
      <c r="BJ51" s="47"/>
      <c r="BK51" s="62"/>
      <c r="BL51" s="54"/>
      <c r="BM51" s="54"/>
      <c r="BN51" s="54"/>
      <c r="BO51" s="54"/>
      <c r="BP51" s="54"/>
    </row>
    <row r="52">
      <c r="A52" s="47">
        <v>48.0</v>
      </c>
      <c r="B52" s="80" t="s">
        <v>89</v>
      </c>
      <c r="C52" s="49" t="s">
        <v>41</v>
      </c>
      <c r="D52" s="50">
        <v>4.0</v>
      </c>
      <c r="E52" s="50">
        <v>0.0</v>
      </c>
      <c r="F52" s="50">
        <v>0.0</v>
      </c>
      <c r="G52" s="50">
        <v>0.0</v>
      </c>
      <c r="H52" s="50">
        <v>0.0</v>
      </c>
      <c r="I52" s="50">
        <v>0.0</v>
      </c>
      <c r="J52" s="51"/>
      <c r="K52" s="51"/>
      <c r="L52" s="51"/>
      <c r="M52" s="51"/>
      <c r="N52" s="51"/>
      <c r="O52" s="51"/>
      <c r="P52" s="52">
        <v>1.0</v>
      </c>
      <c r="Q52" s="52">
        <v>1.0</v>
      </c>
      <c r="R52" s="62"/>
      <c r="S52" s="54"/>
      <c r="T52" s="54"/>
      <c r="U52" s="54"/>
      <c r="V52" s="54"/>
      <c r="W52" s="54"/>
      <c r="X52" s="54"/>
      <c r="Y52" s="54"/>
      <c r="Z52" s="62"/>
      <c r="AA52" s="54">
        <f t="shared" ref="AA52:AE52" si="95">ROUND(E52*0.5+K52*0.5-S52,2)</f>
        <v>0</v>
      </c>
      <c r="AB52" s="54">
        <f t="shared" si="95"/>
        <v>0</v>
      </c>
      <c r="AC52" s="54">
        <f t="shared" si="95"/>
        <v>0</v>
      </c>
      <c r="AD52" s="54">
        <f t="shared" si="95"/>
        <v>0</v>
      </c>
      <c r="AE52" s="54">
        <f t="shared" si="95"/>
        <v>0</v>
      </c>
      <c r="AF52" s="54">
        <f t="shared" ref="AF52:AG52" si="96">ROUND(P52-X52,2)</f>
        <v>1</v>
      </c>
      <c r="AG52" s="54">
        <f t="shared" si="96"/>
        <v>1</v>
      </c>
      <c r="AH52" s="62"/>
      <c r="AI52" s="47"/>
      <c r="AJ52" s="47"/>
      <c r="AK52" s="47"/>
      <c r="AL52" s="47"/>
      <c r="AM52" s="47"/>
      <c r="AN52" s="47"/>
      <c r="AO52" s="47"/>
      <c r="AP52" s="78"/>
      <c r="AQ52" s="62"/>
      <c r="AR52" s="62"/>
      <c r="AS52" s="62"/>
      <c r="AT52" s="54"/>
      <c r="AU52" s="54"/>
      <c r="AV52" s="54"/>
      <c r="AW52" s="54"/>
      <c r="AX52" s="54"/>
      <c r="AY52" s="54"/>
      <c r="AZ52" s="54"/>
      <c r="BA52" s="57"/>
      <c r="BB52" s="57"/>
      <c r="BC52" s="57"/>
      <c r="BD52" s="58"/>
      <c r="BE52" s="64"/>
      <c r="BF52" s="47"/>
      <c r="BG52" s="47"/>
      <c r="BH52" s="47"/>
      <c r="BI52" s="47"/>
      <c r="BJ52" s="47"/>
      <c r="BK52" s="62"/>
      <c r="BL52" s="54"/>
      <c r="BM52" s="54"/>
      <c r="BN52" s="54"/>
      <c r="BO52" s="54"/>
      <c r="BP52" s="54"/>
    </row>
    <row r="53">
      <c r="A53" s="47">
        <v>49.0</v>
      </c>
      <c r="B53" s="80" t="s">
        <v>90</v>
      </c>
      <c r="C53" s="49" t="s">
        <v>41</v>
      </c>
      <c r="D53" s="92">
        <v>4.0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1"/>
      <c r="K53" s="51"/>
      <c r="L53" s="51"/>
      <c r="M53" s="51"/>
      <c r="N53" s="51"/>
      <c r="O53" s="51"/>
      <c r="P53" s="52">
        <v>1.0</v>
      </c>
      <c r="Q53" s="52">
        <v>1.0</v>
      </c>
      <c r="R53" s="62"/>
      <c r="S53" s="47"/>
      <c r="T53" s="47"/>
      <c r="U53" s="47"/>
      <c r="V53" s="47"/>
      <c r="W53" s="47"/>
      <c r="X53" s="54"/>
      <c r="Y53" s="54"/>
      <c r="Z53" s="62"/>
      <c r="AA53" s="54">
        <f t="shared" ref="AA53:AE53" si="97">ROUND(E53*0.5+K53*0.5-S53,2)</f>
        <v>0</v>
      </c>
      <c r="AB53" s="54">
        <f t="shared" si="97"/>
        <v>0</v>
      </c>
      <c r="AC53" s="54">
        <f t="shared" si="97"/>
        <v>0</v>
      </c>
      <c r="AD53" s="54">
        <f t="shared" si="97"/>
        <v>0</v>
      </c>
      <c r="AE53" s="54">
        <f t="shared" si="97"/>
        <v>0</v>
      </c>
      <c r="AF53" s="54">
        <f t="shared" ref="AF53:AG53" si="98">ROUND(P53-X53,2)</f>
        <v>1</v>
      </c>
      <c r="AG53" s="54">
        <f t="shared" si="98"/>
        <v>1</v>
      </c>
      <c r="AH53" s="62"/>
      <c r="AI53" s="47"/>
      <c r="AJ53" s="47"/>
      <c r="AK53" s="47"/>
      <c r="AL53" s="47"/>
      <c r="AM53" s="47"/>
      <c r="AN53" s="47"/>
      <c r="AO53" s="47"/>
      <c r="AP53" s="52"/>
      <c r="AQ53" s="62"/>
      <c r="AR53" s="62"/>
      <c r="AS53" s="62"/>
      <c r="AT53" s="71"/>
      <c r="AU53" s="54"/>
      <c r="AV53" s="54"/>
      <c r="AW53" s="54"/>
      <c r="AX53" s="54"/>
      <c r="AY53" s="88"/>
      <c r="AZ53" s="88"/>
      <c r="BA53" s="57"/>
      <c r="BB53" s="58"/>
      <c r="BC53" s="57"/>
      <c r="BD53" s="57"/>
      <c r="BE53" s="59"/>
      <c r="BF53" s="60"/>
      <c r="BG53" s="61"/>
      <c r="BH53" s="61"/>
      <c r="BI53" s="61"/>
      <c r="BJ53" s="61"/>
      <c r="BK53" s="62"/>
      <c r="BL53" s="54"/>
      <c r="BM53" s="54"/>
      <c r="BN53" s="54"/>
      <c r="BO53" s="54"/>
      <c r="BP53" s="54"/>
    </row>
    <row r="54">
      <c r="A54" s="47">
        <v>50.0</v>
      </c>
      <c r="B54" s="93" t="s">
        <v>91</v>
      </c>
      <c r="C54" s="49" t="s">
        <v>41</v>
      </c>
      <c r="D54" s="50"/>
      <c r="E54" s="50">
        <v>0.0</v>
      </c>
      <c r="F54" s="50">
        <v>0.0</v>
      </c>
      <c r="G54" s="50">
        <v>0.0</v>
      </c>
      <c r="H54" s="50">
        <v>0.0</v>
      </c>
      <c r="I54" s="50">
        <v>0.0</v>
      </c>
      <c r="J54" s="51"/>
      <c r="K54" s="51"/>
      <c r="L54" s="51"/>
      <c r="M54" s="51"/>
      <c r="N54" s="51"/>
      <c r="O54" s="51"/>
      <c r="P54" s="52">
        <v>1.0</v>
      </c>
      <c r="Q54" s="52">
        <v>1.0</v>
      </c>
      <c r="R54" s="62"/>
      <c r="S54" s="47"/>
      <c r="T54" s="47"/>
      <c r="U54" s="47"/>
      <c r="V54" s="47"/>
      <c r="W54" s="47"/>
      <c r="X54" s="54"/>
      <c r="Y54" s="54"/>
      <c r="Z54" s="62"/>
      <c r="AA54" s="54">
        <f t="shared" ref="AA54:AE54" si="99">ROUND(E54*0.5+K54*0.5-S54,2)</f>
        <v>0</v>
      </c>
      <c r="AB54" s="54">
        <f t="shared" si="99"/>
        <v>0</v>
      </c>
      <c r="AC54" s="54">
        <f t="shared" si="99"/>
        <v>0</v>
      </c>
      <c r="AD54" s="54">
        <f t="shared" si="99"/>
        <v>0</v>
      </c>
      <c r="AE54" s="54">
        <f t="shared" si="99"/>
        <v>0</v>
      </c>
      <c r="AF54" s="54">
        <f t="shared" ref="AF54:AG54" si="100">ROUND(P54-X54,2)</f>
        <v>1</v>
      </c>
      <c r="AG54" s="54">
        <f t="shared" si="100"/>
        <v>1</v>
      </c>
      <c r="AH54" s="62"/>
      <c r="AI54" s="47"/>
      <c r="AJ54" s="47"/>
      <c r="AK54" s="47"/>
      <c r="AL54" s="47"/>
      <c r="AM54" s="47"/>
      <c r="AN54" s="47"/>
      <c r="AO54" s="47"/>
      <c r="AP54" s="74"/>
      <c r="AQ54" s="62"/>
      <c r="AR54" s="62"/>
      <c r="AS54" s="62"/>
      <c r="AT54" s="71"/>
      <c r="AU54" s="54"/>
      <c r="AV54" s="54"/>
      <c r="AW54" s="54"/>
      <c r="AX54" s="54"/>
      <c r="AY54" s="88"/>
      <c r="AZ54" s="88"/>
      <c r="BA54" s="57"/>
      <c r="BB54" s="58"/>
      <c r="BC54" s="57"/>
      <c r="BD54" s="57"/>
      <c r="BE54" s="59"/>
      <c r="BF54" s="60"/>
      <c r="BG54" s="61"/>
      <c r="BH54" s="61"/>
      <c r="BI54" s="61"/>
      <c r="BJ54" s="61"/>
      <c r="BK54" s="62"/>
      <c r="BL54" s="54"/>
      <c r="BM54" s="54"/>
      <c r="BN54" s="54"/>
      <c r="BO54" s="54"/>
      <c r="BP54" s="54"/>
    </row>
    <row r="55">
      <c r="A55" s="47">
        <v>51.0</v>
      </c>
      <c r="B55" s="80" t="s">
        <v>92</v>
      </c>
      <c r="C55" s="49" t="s">
        <v>93</v>
      </c>
      <c r="D55" s="50">
        <v>1.0</v>
      </c>
      <c r="E55" s="50">
        <v>0.0</v>
      </c>
      <c r="F55" s="50">
        <v>0.0</v>
      </c>
      <c r="G55" s="50">
        <v>0.5</v>
      </c>
      <c r="H55" s="50">
        <v>0.0</v>
      </c>
      <c r="I55" s="50">
        <v>0.5</v>
      </c>
      <c r="J55" s="51"/>
      <c r="K55" s="51"/>
      <c r="L55" s="86"/>
      <c r="M55" s="86"/>
      <c r="N55" s="86"/>
      <c r="O55" s="86"/>
      <c r="P55" s="52">
        <v>1.0</v>
      </c>
      <c r="Q55" s="52">
        <v>1.0</v>
      </c>
      <c r="R55" s="62"/>
      <c r="S55" s="54"/>
      <c r="T55" s="54"/>
      <c r="U55" s="54"/>
      <c r="V55" s="54"/>
      <c r="W55" s="54"/>
      <c r="X55" s="54"/>
      <c r="Y55" s="54"/>
      <c r="Z55" s="62"/>
      <c r="AA55" s="54">
        <f t="shared" ref="AA55:AE55" si="101">ROUND(E55*0.5+K55*0.5-S55,2)</f>
        <v>0</v>
      </c>
      <c r="AB55" s="54">
        <f t="shared" si="101"/>
        <v>0</v>
      </c>
      <c r="AC55" s="54">
        <f t="shared" si="101"/>
        <v>0.25</v>
      </c>
      <c r="AD55" s="54">
        <f t="shared" si="101"/>
        <v>0</v>
      </c>
      <c r="AE55" s="54">
        <f t="shared" si="101"/>
        <v>0.25</v>
      </c>
      <c r="AF55" s="54">
        <f t="shared" ref="AF55:AG55" si="102">ROUND(P55-X55,2)</f>
        <v>1</v>
      </c>
      <c r="AG55" s="54">
        <f t="shared" si="102"/>
        <v>1</v>
      </c>
      <c r="AH55" s="62"/>
      <c r="AI55" s="47"/>
      <c r="AJ55" s="47"/>
      <c r="AK55" s="47"/>
      <c r="AL55" s="47"/>
      <c r="AM55" s="47"/>
      <c r="AN55" s="47"/>
      <c r="AO55" s="47"/>
      <c r="AP55" s="76"/>
      <c r="AQ55" s="62"/>
      <c r="AR55" s="62"/>
      <c r="AS55" s="62"/>
      <c r="AT55" s="54"/>
      <c r="AU55" s="54"/>
      <c r="AV55" s="54"/>
      <c r="AW55" s="54"/>
      <c r="AX55" s="54"/>
      <c r="AY55" s="54"/>
      <c r="AZ55" s="54"/>
      <c r="BA55" s="57"/>
      <c r="BB55" s="58"/>
      <c r="BC55" s="57"/>
      <c r="BD55" s="57"/>
      <c r="BE55" s="59"/>
      <c r="BF55" s="47"/>
      <c r="BG55" s="47"/>
      <c r="BH55" s="47"/>
      <c r="BI55" s="47"/>
      <c r="BJ55" s="47"/>
      <c r="BK55" s="62"/>
      <c r="BL55" s="54"/>
      <c r="BM55" s="54"/>
      <c r="BN55" s="54"/>
      <c r="BO55" s="54"/>
      <c r="BP55" s="54"/>
    </row>
    <row r="56">
      <c r="A56" s="47">
        <v>52.0</v>
      </c>
      <c r="B56" s="80" t="s">
        <v>94</v>
      </c>
      <c r="C56" s="49" t="s">
        <v>93</v>
      </c>
      <c r="D56" s="50">
        <v>3.0</v>
      </c>
      <c r="E56" s="50">
        <v>0.86</v>
      </c>
      <c r="F56" s="50">
        <v>0.5</v>
      </c>
      <c r="G56" s="50">
        <v>0.3</v>
      </c>
      <c r="H56" s="50">
        <v>0.0</v>
      </c>
      <c r="I56" s="50">
        <v>0.0</v>
      </c>
      <c r="J56" s="51"/>
      <c r="K56" s="51"/>
      <c r="L56" s="86"/>
      <c r="M56" s="86"/>
      <c r="N56" s="86"/>
      <c r="O56" s="86"/>
      <c r="P56" s="52">
        <v>1.0</v>
      </c>
      <c r="Q56" s="52">
        <v>1.0</v>
      </c>
      <c r="R56" s="62"/>
      <c r="S56" s="47"/>
      <c r="T56" s="54"/>
      <c r="U56" s="54"/>
      <c r="V56" s="54"/>
      <c r="W56" s="54"/>
      <c r="X56" s="54"/>
      <c r="Y56" s="54"/>
      <c r="Z56" s="62"/>
      <c r="AA56" s="54">
        <f t="shared" ref="AA56:AE56" si="103">ROUND(E56*0.5+K56*0.5-S56,2)</f>
        <v>0.43</v>
      </c>
      <c r="AB56" s="54">
        <f t="shared" si="103"/>
        <v>0.25</v>
      </c>
      <c r="AC56" s="54">
        <f t="shared" si="103"/>
        <v>0.15</v>
      </c>
      <c r="AD56" s="54">
        <f t="shared" si="103"/>
        <v>0</v>
      </c>
      <c r="AE56" s="54">
        <f t="shared" si="103"/>
        <v>0</v>
      </c>
      <c r="AF56" s="54">
        <f t="shared" ref="AF56:AG56" si="104">ROUND(P56-X56,2)</f>
        <v>1</v>
      </c>
      <c r="AG56" s="54">
        <f t="shared" si="104"/>
        <v>1</v>
      </c>
      <c r="AH56" s="62"/>
      <c r="AI56" s="47"/>
      <c r="AJ56" s="47"/>
      <c r="AK56" s="47"/>
      <c r="AL56" s="47"/>
      <c r="AM56" s="47"/>
      <c r="AN56" s="47"/>
      <c r="AO56" s="47"/>
      <c r="AP56" s="76"/>
      <c r="AQ56" s="62"/>
      <c r="AR56" s="62"/>
      <c r="AS56" s="62"/>
      <c r="AT56" s="54"/>
      <c r="AU56" s="54"/>
      <c r="AV56" s="54"/>
      <c r="AW56" s="54"/>
      <c r="AX56" s="54"/>
      <c r="AY56" s="54"/>
      <c r="AZ56" s="54"/>
      <c r="BA56" s="57"/>
      <c r="BB56" s="58"/>
      <c r="BC56" s="57"/>
      <c r="BD56" s="57"/>
      <c r="BE56" s="59"/>
      <c r="BF56" s="60"/>
      <c r="BG56" s="61"/>
      <c r="BH56" s="61"/>
      <c r="BI56" s="61"/>
      <c r="BJ56" s="61"/>
      <c r="BK56" s="62"/>
      <c r="BL56" s="54"/>
      <c r="BM56" s="54"/>
      <c r="BN56" s="54"/>
      <c r="BO56" s="54"/>
      <c r="BP56" s="54"/>
    </row>
    <row r="57">
      <c r="A57" s="47">
        <v>53.0</v>
      </c>
      <c r="B57" s="80" t="s">
        <v>95</v>
      </c>
      <c r="C57" s="49" t="s">
        <v>93</v>
      </c>
      <c r="D57" s="50">
        <v>2.0</v>
      </c>
      <c r="E57" s="50">
        <v>1.0</v>
      </c>
      <c r="F57" s="50">
        <v>0.2</v>
      </c>
      <c r="G57" s="50">
        <v>0.45</v>
      </c>
      <c r="H57" s="50">
        <v>0.0</v>
      </c>
      <c r="I57" s="50">
        <v>0.35</v>
      </c>
      <c r="J57" s="51"/>
      <c r="K57" s="51"/>
      <c r="L57" s="51"/>
      <c r="M57" s="51"/>
      <c r="N57" s="51"/>
      <c r="O57" s="51"/>
      <c r="P57" s="52">
        <v>1.0</v>
      </c>
      <c r="Q57" s="52">
        <v>1.0</v>
      </c>
      <c r="R57" s="62"/>
      <c r="S57" s="47"/>
      <c r="T57" s="47">
        <v>0.1</v>
      </c>
      <c r="U57" s="47"/>
      <c r="V57" s="47"/>
      <c r="W57" s="54"/>
      <c r="X57" s="47"/>
      <c r="Y57" s="47"/>
      <c r="Z57" s="62"/>
      <c r="AA57" s="54">
        <f t="shared" ref="AA57:AE57" si="105">ROUND(E57*0.5+K57*0.5-S57,2)</f>
        <v>0.5</v>
      </c>
      <c r="AB57" s="54">
        <f t="shared" si="105"/>
        <v>0</v>
      </c>
      <c r="AC57" s="54">
        <f t="shared" si="105"/>
        <v>0.23</v>
      </c>
      <c r="AD57" s="54">
        <f t="shared" si="105"/>
        <v>0</v>
      </c>
      <c r="AE57" s="54">
        <f t="shared" si="105"/>
        <v>0.18</v>
      </c>
      <c r="AF57" s="54">
        <f t="shared" ref="AF57:AG57" si="106">ROUND(P57-X57,2)</f>
        <v>1</v>
      </c>
      <c r="AG57" s="54">
        <f t="shared" si="106"/>
        <v>1</v>
      </c>
      <c r="AH57" s="62"/>
      <c r="AI57" s="47"/>
      <c r="AJ57" s="47"/>
      <c r="AK57" s="47"/>
      <c r="AL57" s="47"/>
      <c r="AM57" s="47"/>
      <c r="AN57" s="47"/>
      <c r="AO57" s="47"/>
      <c r="AP57" s="52"/>
      <c r="AQ57" s="62"/>
      <c r="AR57" s="62"/>
      <c r="AS57" s="62"/>
      <c r="AT57" s="54"/>
      <c r="AU57" s="54"/>
      <c r="AV57" s="54"/>
      <c r="AW57" s="54"/>
      <c r="AX57" s="54"/>
      <c r="AY57" s="72"/>
      <c r="AZ57" s="54"/>
      <c r="BA57" s="58"/>
      <c r="BB57" s="58"/>
      <c r="BC57" s="58"/>
      <c r="BD57" s="58"/>
      <c r="BE57" s="64"/>
      <c r="BF57" s="60"/>
      <c r="BG57" s="61"/>
      <c r="BH57" s="61"/>
      <c r="BI57" s="61"/>
      <c r="BJ57" s="61"/>
      <c r="BK57" s="62"/>
      <c r="BL57" s="54"/>
      <c r="BM57" s="54"/>
      <c r="BN57" s="54"/>
      <c r="BO57" s="54"/>
      <c r="BP57" s="54"/>
    </row>
    <row r="58">
      <c r="A58" s="47">
        <v>54.0</v>
      </c>
      <c r="B58" s="80" t="s">
        <v>96</v>
      </c>
      <c r="C58" s="49" t="s">
        <v>93</v>
      </c>
      <c r="D58" s="50">
        <v>3.0</v>
      </c>
      <c r="E58" s="50">
        <v>1.5</v>
      </c>
      <c r="F58" s="50">
        <v>0.5</v>
      </c>
      <c r="G58" s="50">
        <v>0.0</v>
      </c>
      <c r="H58" s="50">
        <v>0.0</v>
      </c>
      <c r="I58" s="50">
        <v>0.0</v>
      </c>
      <c r="J58" s="51"/>
      <c r="K58" s="51"/>
      <c r="L58" s="51"/>
      <c r="M58" s="51"/>
      <c r="N58" s="51"/>
      <c r="O58" s="51"/>
      <c r="P58" s="52">
        <v>1.0</v>
      </c>
      <c r="Q58" s="52">
        <v>1.0</v>
      </c>
      <c r="R58" s="62"/>
      <c r="S58" s="47">
        <v>0.17</v>
      </c>
      <c r="T58" s="47"/>
      <c r="U58" s="47">
        <v>0.03</v>
      </c>
      <c r="V58" s="54"/>
      <c r="W58" s="54"/>
      <c r="X58" s="47"/>
      <c r="Y58" s="47"/>
      <c r="Z58" s="62"/>
      <c r="AA58" s="54">
        <f t="shared" ref="AA58:AE58" si="107">ROUND(E58*0.5+K58*0.5-S58,2)</f>
        <v>0.58</v>
      </c>
      <c r="AB58" s="54">
        <f t="shared" si="107"/>
        <v>0.25</v>
      </c>
      <c r="AC58" s="54">
        <f t="shared" si="107"/>
        <v>-0.03</v>
      </c>
      <c r="AD58" s="54">
        <f t="shared" si="107"/>
        <v>0</v>
      </c>
      <c r="AE58" s="54">
        <f t="shared" si="107"/>
        <v>0</v>
      </c>
      <c r="AF58" s="54">
        <f t="shared" ref="AF58:AG58" si="108">ROUND(P58-X58,2)</f>
        <v>1</v>
      </c>
      <c r="AG58" s="54">
        <f t="shared" si="108"/>
        <v>1</v>
      </c>
      <c r="AH58" s="62"/>
      <c r="AI58" s="47"/>
      <c r="AJ58" s="47"/>
      <c r="AK58" s="47"/>
      <c r="AL58" s="47"/>
      <c r="AM58" s="47"/>
      <c r="AN58" s="47"/>
      <c r="AO58" s="47"/>
      <c r="AP58" s="94"/>
      <c r="AQ58" s="62"/>
      <c r="AR58" s="62"/>
      <c r="AS58" s="62"/>
      <c r="AT58" s="54"/>
      <c r="AU58" s="54"/>
      <c r="AV58" s="54"/>
      <c r="AW58" s="54"/>
      <c r="AX58" s="54"/>
      <c r="AY58" s="54"/>
      <c r="AZ58" s="54"/>
      <c r="BA58" s="57"/>
      <c r="BB58" s="58"/>
      <c r="BC58" s="58"/>
      <c r="BD58" s="57"/>
      <c r="BE58" s="59"/>
      <c r="BF58" s="68"/>
      <c r="BG58" s="69"/>
      <c r="BH58" s="69"/>
      <c r="BI58" s="69"/>
      <c r="BJ58" s="69"/>
      <c r="BK58" s="62"/>
      <c r="BL58" s="54"/>
      <c r="BM58" s="54"/>
      <c r="BN58" s="54"/>
      <c r="BO58" s="54"/>
      <c r="BP58" s="54"/>
    </row>
    <row r="59">
      <c r="A59" s="47">
        <v>55.0</v>
      </c>
      <c r="B59" s="80" t="s">
        <v>97</v>
      </c>
      <c r="C59" s="49" t="s">
        <v>93</v>
      </c>
      <c r="D59" s="50">
        <v>2.66</v>
      </c>
      <c r="E59" s="50">
        <v>0.5</v>
      </c>
      <c r="F59" s="50">
        <v>0.0</v>
      </c>
      <c r="G59" s="50">
        <v>0.54</v>
      </c>
      <c r="H59" s="50">
        <v>0.3</v>
      </c>
      <c r="I59" s="50">
        <v>0.0</v>
      </c>
      <c r="J59" s="51"/>
      <c r="K59" s="51"/>
      <c r="L59" s="51"/>
      <c r="M59" s="51"/>
      <c r="N59" s="51"/>
      <c r="O59" s="51"/>
      <c r="P59" s="52">
        <v>1.0</v>
      </c>
      <c r="Q59" s="52">
        <v>1.0</v>
      </c>
      <c r="R59" s="62"/>
      <c r="S59" s="47"/>
      <c r="T59" s="47"/>
      <c r="U59" s="47"/>
      <c r="V59" s="54"/>
      <c r="W59" s="54"/>
      <c r="X59" s="54"/>
      <c r="Y59" s="47"/>
      <c r="Z59" s="62"/>
      <c r="AA59" s="54">
        <f t="shared" ref="AA59:AE59" si="109">ROUND(E59*0.5+K59*0.5-S59,2)</f>
        <v>0.25</v>
      </c>
      <c r="AB59" s="54">
        <f t="shared" si="109"/>
        <v>0</v>
      </c>
      <c r="AC59" s="54">
        <f t="shared" si="109"/>
        <v>0.27</v>
      </c>
      <c r="AD59" s="54">
        <f t="shared" si="109"/>
        <v>0.15</v>
      </c>
      <c r="AE59" s="54">
        <f t="shared" si="109"/>
        <v>0</v>
      </c>
      <c r="AF59" s="54">
        <f t="shared" ref="AF59:AG59" si="110">ROUND(P59-X59,2)</f>
        <v>1</v>
      </c>
      <c r="AG59" s="54">
        <f t="shared" si="110"/>
        <v>1</v>
      </c>
      <c r="AH59" s="62"/>
      <c r="AI59" s="47"/>
      <c r="AJ59" s="47"/>
      <c r="AK59" s="47"/>
      <c r="AL59" s="47"/>
      <c r="AM59" s="47"/>
      <c r="AN59" s="47"/>
      <c r="AO59" s="47"/>
      <c r="AP59" s="78"/>
      <c r="AQ59" s="62"/>
      <c r="AR59" s="62"/>
      <c r="AS59" s="62"/>
      <c r="AT59" s="72"/>
      <c r="AU59" s="72"/>
      <c r="AV59" s="77"/>
      <c r="AW59" s="77"/>
      <c r="AX59" s="77"/>
      <c r="AY59" s="72"/>
      <c r="AZ59" s="72"/>
      <c r="BA59" s="57"/>
      <c r="BB59" s="58"/>
      <c r="BC59" s="58"/>
      <c r="BD59" s="57"/>
      <c r="BE59" s="59"/>
      <c r="BF59" s="68"/>
      <c r="BG59" s="69"/>
      <c r="BH59" s="69"/>
      <c r="BI59" s="69"/>
      <c r="BJ59" s="69"/>
      <c r="BK59" s="62"/>
      <c r="BL59" s="54"/>
      <c r="BM59" s="54"/>
      <c r="BN59" s="54"/>
      <c r="BO59" s="54"/>
      <c r="BP59" s="54"/>
    </row>
    <row r="60">
      <c r="A60" s="47">
        <v>56.0</v>
      </c>
      <c r="B60" s="80" t="s">
        <v>98</v>
      </c>
      <c r="C60" s="49" t="s">
        <v>93</v>
      </c>
      <c r="D60" s="50">
        <v>4.0</v>
      </c>
      <c r="E60" s="50">
        <v>0.5</v>
      </c>
      <c r="F60" s="50">
        <v>0.5</v>
      </c>
      <c r="G60" s="50">
        <v>0.0</v>
      </c>
      <c r="H60" s="50">
        <v>0.0</v>
      </c>
      <c r="I60" s="50">
        <v>0.0</v>
      </c>
      <c r="J60" s="51"/>
      <c r="K60" s="51"/>
      <c r="L60" s="51"/>
      <c r="M60" s="51"/>
      <c r="N60" s="51"/>
      <c r="O60" s="51"/>
      <c r="P60" s="52">
        <v>1.0</v>
      </c>
      <c r="Q60" s="52">
        <v>1.0</v>
      </c>
      <c r="R60" s="62"/>
      <c r="S60" s="47"/>
      <c r="T60" s="54"/>
      <c r="U60" s="54"/>
      <c r="V60" s="54"/>
      <c r="W60" s="54"/>
      <c r="X60" s="54"/>
      <c r="Y60" s="47"/>
      <c r="Z60" s="62"/>
      <c r="AA60" s="54">
        <f t="shared" ref="AA60:AE60" si="111">ROUND(E60*0.5+K60*0.5-S60,2)</f>
        <v>0.25</v>
      </c>
      <c r="AB60" s="54">
        <f t="shared" si="111"/>
        <v>0.25</v>
      </c>
      <c r="AC60" s="54">
        <f t="shared" si="111"/>
        <v>0</v>
      </c>
      <c r="AD60" s="54">
        <f t="shared" si="111"/>
        <v>0</v>
      </c>
      <c r="AE60" s="54">
        <f t="shared" si="111"/>
        <v>0</v>
      </c>
      <c r="AF60" s="54">
        <f t="shared" ref="AF60:AG60" si="112">ROUND(P60-X60,2)</f>
        <v>1</v>
      </c>
      <c r="AG60" s="54">
        <f t="shared" si="112"/>
        <v>1</v>
      </c>
      <c r="AH60" s="62"/>
      <c r="AI60" s="47"/>
      <c r="AJ60" s="47"/>
      <c r="AK60" s="47"/>
      <c r="AL60" s="47"/>
      <c r="AM60" s="47"/>
      <c r="AN60" s="47"/>
      <c r="AO60" s="47"/>
      <c r="AP60" s="74"/>
      <c r="AQ60" s="62"/>
      <c r="AR60" s="62"/>
      <c r="AS60" s="62"/>
      <c r="AT60" s="54"/>
      <c r="AU60" s="54"/>
      <c r="AV60" s="54"/>
      <c r="AW60" s="54"/>
      <c r="AX60" s="54"/>
      <c r="AY60" s="54"/>
      <c r="AZ60" s="54"/>
      <c r="BA60" s="57"/>
      <c r="BB60" s="58"/>
      <c r="BC60" s="58"/>
      <c r="BD60" s="57"/>
      <c r="BE60" s="59"/>
      <c r="BF60" s="60"/>
      <c r="BG60" s="61"/>
      <c r="BH60" s="61"/>
      <c r="BI60" s="61"/>
      <c r="BJ60" s="61"/>
      <c r="BK60" s="62"/>
      <c r="BL60" s="54"/>
      <c r="BM60" s="54"/>
      <c r="BN60" s="54"/>
      <c r="BO60" s="54"/>
      <c r="BP60" s="54"/>
    </row>
    <row r="61">
      <c r="A61" s="47">
        <v>57.0</v>
      </c>
      <c r="B61" s="80" t="s">
        <v>99</v>
      </c>
      <c r="C61" s="49" t="s">
        <v>93</v>
      </c>
      <c r="D61" s="50">
        <v>4.0</v>
      </c>
      <c r="E61" s="50">
        <v>0.0</v>
      </c>
      <c r="F61" s="50">
        <v>0.0</v>
      </c>
      <c r="G61" s="50">
        <v>0.0</v>
      </c>
      <c r="H61" s="50">
        <v>0.65</v>
      </c>
      <c r="I61" s="50">
        <v>0.35</v>
      </c>
      <c r="J61" s="51"/>
      <c r="K61" s="51"/>
      <c r="L61" s="51"/>
      <c r="M61" s="51"/>
      <c r="N61" s="51"/>
      <c r="O61" s="51"/>
      <c r="P61" s="52">
        <v>1.0</v>
      </c>
      <c r="Q61" s="52">
        <v>1.0</v>
      </c>
      <c r="R61" s="62"/>
      <c r="S61" s="47"/>
      <c r="T61" s="54"/>
      <c r="U61" s="54"/>
      <c r="V61" s="54"/>
      <c r="W61" s="54"/>
      <c r="X61" s="54"/>
      <c r="Y61" s="47"/>
      <c r="Z61" s="62"/>
      <c r="AA61" s="54">
        <f t="shared" ref="AA61:AE61" si="113">ROUND(E61*0.5+K61*0.5-S61,2)</f>
        <v>0</v>
      </c>
      <c r="AB61" s="54">
        <f t="shared" si="113"/>
        <v>0</v>
      </c>
      <c r="AC61" s="54">
        <f t="shared" si="113"/>
        <v>0</v>
      </c>
      <c r="AD61" s="54">
        <f t="shared" si="113"/>
        <v>0.33</v>
      </c>
      <c r="AE61" s="54">
        <f t="shared" si="113"/>
        <v>0.18</v>
      </c>
      <c r="AF61" s="54">
        <f t="shared" ref="AF61:AG61" si="114">ROUND(P61-X61,2)</f>
        <v>1</v>
      </c>
      <c r="AG61" s="54">
        <f t="shared" si="114"/>
        <v>1</v>
      </c>
      <c r="AH61" s="62"/>
      <c r="AI61" s="47"/>
      <c r="AJ61" s="47"/>
      <c r="AK61" s="47"/>
      <c r="AL61" s="47"/>
      <c r="AM61" s="47"/>
      <c r="AN61" s="47"/>
      <c r="AO61" s="47"/>
      <c r="AP61" s="52"/>
      <c r="AQ61" s="62"/>
      <c r="AR61" s="62"/>
      <c r="AS61" s="62"/>
      <c r="AT61" s="54"/>
      <c r="AU61" s="54"/>
      <c r="AV61" s="54"/>
      <c r="AW61" s="54"/>
      <c r="AX61" s="54"/>
      <c r="AY61" s="54"/>
      <c r="AZ61" s="54"/>
      <c r="BA61" s="57"/>
      <c r="BB61" s="57"/>
      <c r="BC61" s="57"/>
      <c r="BD61" s="57"/>
      <c r="BE61" s="59"/>
      <c r="BF61" s="60"/>
      <c r="BG61" s="61"/>
      <c r="BH61" s="61"/>
      <c r="BI61" s="61"/>
      <c r="BJ61" s="61"/>
      <c r="BK61" s="62"/>
      <c r="BL61" s="54"/>
      <c r="BM61" s="54"/>
      <c r="BN61" s="54"/>
      <c r="BO61" s="54"/>
      <c r="BP61" s="54"/>
    </row>
    <row r="62" ht="16.5" customHeight="1">
      <c r="A62" s="47">
        <v>58.0</v>
      </c>
      <c r="B62" s="80" t="s">
        <v>100</v>
      </c>
      <c r="C62" s="49" t="s">
        <v>93</v>
      </c>
      <c r="D62" s="50">
        <v>3.16</v>
      </c>
      <c r="E62" s="50">
        <v>0.5</v>
      </c>
      <c r="F62" s="50">
        <v>0.0</v>
      </c>
      <c r="G62" s="50">
        <v>0.34</v>
      </c>
      <c r="H62" s="50">
        <v>0.0</v>
      </c>
      <c r="I62" s="50">
        <v>0.0</v>
      </c>
      <c r="J62" s="51"/>
      <c r="K62" s="51"/>
      <c r="L62" s="51"/>
      <c r="M62" s="51"/>
      <c r="N62" s="51"/>
      <c r="O62" s="51"/>
      <c r="P62" s="52">
        <v>1.0</v>
      </c>
      <c r="Q62" s="52">
        <v>1.0</v>
      </c>
      <c r="R62" s="62"/>
      <c r="S62" s="47"/>
      <c r="T62" s="47"/>
      <c r="U62" s="47"/>
      <c r="V62" s="54"/>
      <c r="W62" s="54"/>
      <c r="X62" s="54"/>
      <c r="Y62" s="54"/>
      <c r="Z62" s="62"/>
      <c r="AA62" s="54">
        <f t="shared" ref="AA62:AE62" si="115">ROUND(E62*0.5+K62*0.5-S62,2)</f>
        <v>0.25</v>
      </c>
      <c r="AB62" s="54">
        <f t="shared" si="115"/>
        <v>0</v>
      </c>
      <c r="AC62" s="54">
        <f t="shared" si="115"/>
        <v>0.17</v>
      </c>
      <c r="AD62" s="54">
        <f t="shared" si="115"/>
        <v>0</v>
      </c>
      <c r="AE62" s="54">
        <f t="shared" si="115"/>
        <v>0</v>
      </c>
      <c r="AF62" s="54">
        <f t="shared" ref="AF62:AG62" si="116">ROUND(P62-X62,2)</f>
        <v>1</v>
      </c>
      <c r="AG62" s="54">
        <f t="shared" si="116"/>
        <v>1</v>
      </c>
      <c r="AH62" s="62"/>
      <c r="AI62" s="47"/>
      <c r="AJ62" s="47"/>
      <c r="AK62" s="47"/>
      <c r="AL62" s="47"/>
      <c r="AM62" s="47"/>
      <c r="AN62" s="47"/>
      <c r="AO62" s="47"/>
      <c r="AP62" s="94"/>
      <c r="AQ62" s="62"/>
      <c r="AR62" s="62"/>
      <c r="AS62" s="62"/>
      <c r="AT62" s="74"/>
      <c r="AU62" s="74"/>
      <c r="AV62" s="54"/>
      <c r="AW62" s="72"/>
      <c r="AX62" s="77"/>
      <c r="AY62" s="74"/>
      <c r="AZ62" s="72"/>
      <c r="BA62" s="52"/>
      <c r="BB62" s="58"/>
      <c r="BC62" s="58"/>
      <c r="BD62" s="57"/>
      <c r="BE62" s="59"/>
      <c r="BF62" s="68"/>
      <c r="BG62" s="69"/>
      <c r="BH62" s="69"/>
      <c r="BI62" s="69"/>
      <c r="BJ62" s="69"/>
      <c r="BK62" s="62"/>
      <c r="BL62" s="54"/>
      <c r="BM62" s="54"/>
      <c r="BN62" s="54"/>
      <c r="BO62" s="54"/>
      <c r="BP62" s="54"/>
    </row>
    <row r="63">
      <c r="A63" s="47">
        <v>59.0</v>
      </c>
      <c r="B63" s="80" t="s">
        <v>101</v>
      </c>
      <c r="C63" s="49" t="s">
        <v>93</v>
      </c>
      <c r="D63" s="50">
        <v>4.0</v>
      </c>
      <c r="E63" s="50">
        <v>0.5</v>
      </c>
      <c r="F63" s="50">
        <v>0.3</v>
      </c>
      <c r="G63" s="50">
        <v>0.2</v>
      </c>
      <c r="H63" s="50">
        <v>0.0</v>
      </c>
      <c r="I63" s="50">
        <v>0.0</v>
      </c>
      <c r="J63" s="51"/>
      <c r="K63" s="51"/>
      <c r="L63" s="51"/>
      <c r="M63" s="51"/>
      <c r="N63" s="51"/>
      <c r="O63" s="51"/>
      <c r="P63" s="52">
        <v>1.0</v>
      </c>
      <c r="Q63" s="52">
        <v>1.0</v>
      </c>
      <c r="R63" s="62"/>
      <c r="S63" s="47">
        <v>0.15</v>
      </c>
      <c r="T63" s="54"/>
      <c r="U63" s="47"/>
      <c r="V63" s="54"/>
      <c r="W63" s="54"/>
      <c r="X63" s="54"/>
      <c r="Y63" s="47"/>
      <c r="Z63" s="62"/>
      <c r="AA63" s="54">
        <f t="shared" ref="AA63:AE63" si="117">ROUND(E63*0.5+K63*0.5-S63,2)</f>
        <v>0.1</v>
      </c>
      <c r="AB63" s="54">
        <f t="shared" si="117"/>
        <v>0.15</v>
      </c>
      <c r="AC63" s="54">
        <f t="shared" si="117"/>
        <v>0.1</v>
      </c>
      <c r="AD63" s="54">
        <f t="shared" si="117"/>
        <v>0</v>
      </c>
      <c r="AE63" s="54">
        <f t="shared" si="117"/>
        <v>0</v>
      </c>
      <c r="AF63" s="54">
        <f t="shared" ref="AF63:AG63" si="118">ROUND(P63-X63,2)</f>
        <v>1</v>
      </c>
      <c r="AG63" s="54">
        <f t="shared" si="118"/>
        <v>1</v>
      </c>
      <c r="AH63" s="62"/>
      <c r="AI63" s="47"/>
      <c r="AJ63" s="47"/>
      <c r="AK63" s="47"/>
      <c r="AL63" s="47"/>
      <c r="AM63" s="47"/>
      <c r="AN63" s="47"/>
      <c r="AO63" s="47"/>
      <c r="AP63" s="78"/>
      <c r="AQ63" s="62"/>
      <c r="AR63" s="62"/>
      <c r="AS63" s="62"/>
      <c r="AT63" s="54"/>
      <c r="AU63" s="54"/>
      <c r="AV63" s="54"/>
      <c r="AW63" s="54"/>
      <c r="AX63" s="54"/>
      <c r="AY63" s="54"/>
      <c r="AZ63" s="54"/>
      <c r="BA63" s="57"/>
      <c r="BB63" s="58"/>
      <c r="BC63" s="58"/>
      <c r="BD63" s="57"/>
      <c r="BE63" s="59"/>
      <c r="BF63" s="60"/>
      <c r="BG63" s="61"/>
      <c r="BH63" s="61"/>
      <c r="BI63" s="61"/>
      <c r="BJ63" s="61"/>
      <c r="BK63" s="62"/>
      <c r="BL63" s="54"/>
      <c r="BM63" s="54"/>
      <c r="BN63" s="54"/>
      <c r="BO63" s="54"/>
      <c r="BP63" s="54"/>
    </row>
    <row r="64" ht="16.5" customHeight="1">
      <c r="A64" s="47">
        <v>60.0</v>
      </c>
      <c r="B64" s="80" t="s">
        <v>102</v>
      </c>
      <c r="C64" s="49" t="s">
        <v>93</v>
      </c>
      <c r="D64" s="50">
        <v>3.0</v>
      </c>
      <c r="E64" s="50">
        <v>1.45</v>
      </c>
      <c r="F64" s="50">
        <v>0.0</v>
      </c>
      <c r="G64" s="50">
        <v>0.2</v>
      </c>
      <c r="H64" s="50">
        <v>0.0</v>
      </c>
      <c r="I64" s="50">
        <v>0.35</v>
      </c>
      <c r="J64" s="51"/>
      <c r="K64" s="51"/>
      <c r="L64" s="51"/>
      <c r="M64" s="51"/>
      <c r="N64" s="51"/>
      <c r="O64" s="51"/>
      <c r="P64" s="52">
        <v>1.0</v>
      </c>
      <c r="Q64" s="52">
        <v>1.0</v>
      </c>
      <c r="R64" s="62"/>
      <c r="S64" s="47"/>
      <c r="T64" s="54"/>
      <c r="U64" s="47"/>
      <c r="V64" s="54"/>
      <c r="W64" s="54"/>
      <c r="X64" s="54"/>
      <c r="Y64" s="47"/>
      <c r="Z64" s="62"/>
      <c r="AA64" s="54">
        <f t="shared" ref="AA64:AE64" si="119">ROUND(E64*0.5+K64*0.5-S64,2)</f>
        <v>0.73</v>
      </c>
      <c r="AB64" s="54">
        <f t="shared" si="119"/>
        <v>0</v>
      </c>
      <c r="AC64" s="54">
        <f t="shared" si="119"/>
        <v>0.1</v>
      </c>
      <c r="AD64" s="54">
        <f t="shared" si="119"/>
        <v>0</v>
      </c>
      <c r="AE64" s="54">
        <f t="shared" si="119"/>
        <v>0.18</v>
      </c>
      <c r="AF64" s="54">
        <f t="shared" ref="AF64:AG64" si="120">ROUND(P64-X64,2)</f>
        <v>1</v>
      </c>
      <c r="AG64" s="54">
        <f t="shared" si="120"/>
        <v>1</v>
      </c>
      <c r="AH64" s="62"/>
      <c r="AI64" s="47"/>
      <c r="AJ64" s="47"/>
      <c r="AK64" s="47"/>
      <c r="AL64" s="47"/>
      <c r="AM64" s="47"/>
      <c r="AN64" s="47"/>
      <c r="AO64" s="47"/>
      <c r="AP64" s="79"/>
      <c r="AQ64" s="62"/>
      <c r="AR64" s="62"/>
      <c r="AS64" s="62"/>
      <c r="AT64" s="71"/>
      <c r="AU64" s="74"/>
      <c r="AV64" s="77"/>
      <c r="AW64" s="77"/>
      <c r="AX64" s="77"/>
      <c r="AY64" s="74"/>
      <c r="AZ64" s="72"/>
      <c r="BA64" s="84"/>
      <c r="BB64" s="58"/>
      <c r="BC64" s="57"/>
      <c r="BD64" s="57"/>
      <c r="BE64" s="59"/>
      <c r="BF64" s="68"/>
      <c r="BG64" s="69"/>
      <c r="BH64" s="69"/>
      <c r="BI64" s="69"/>
      <c r="BJ64" s="69"/>
      <c r="BK64" s="62"/>
      <c r="BL64" s="54"/>
      <c r="BM64" s="54"/>
      <c r="BN64" s="54"/>
      <c r="BO64" s="54"/>
      <c r="BP64" s="54"/>
    </row>
    <row r="65">
      <c r="A65" s="47">
        <v>61.0</v>
      </c>
      <c r="B65" s="80" t="s">
        <v>103</v>
      </c>
      <c r="C65" s="49" t="s">
        <v>93</v>
      </c>
      <c r="D65" s="50">
        <v>4.0</v>
      </c>
      <c r="E65" s="50">
        <v>0.45</v>
      </c>
      <c r="F65" s="50">
        <v>0.0</v>
      </c>
      <c r="G65" s="50">
        <v>0.2</v>
      </c>
      <c r="H65" s="50">
        <v>0.0</v>
      </c>
      <c r="I65" s="50">
        <v>0.35</v>
      </c>
      <c r="J65" s="51"/>
      <c r="K65" s="51"/>
      <c r="L65" s="51"/>
      <c r="M65" s="51"/>
      <c r="N65" s="51"/>
      <c r="O65" s="51"/>
      <c r="P65" s="52">
        <v>1.0</v>
      </c>
      <c r="Q65" s="52">
        <v>1.0</v>
      </c>
      <c r="R65" s="62"/>
      <c r="S65" s="47">
        <v>0.16</v>
      </c>
      <c r="U65" s="47">
        <v>0.03</v>
      </c>
      <c r="V65" s="54"/>
      <c r="W65" s="54"/>
      <c r="X65" s="54"/>
      <c r="Y65" s="54"/>
      <c r="Z65" s="62"/>
      <c r="AA65" s="54">
        <f t="shared" ref="AA65:AE65" si="121">ROUND(E65*0.5+K65*0.5-S65,2)</f>
        <v>0.07</v>
      </c>
      <c r="AB65" s="54">
        <f t="shared" si="121"/>
        <v>0</v>
      </c>
      <c r="AC65" s="54">
        <f t="shared" si="121"/>
        <v>0.07</v>
      </c>
      <c r="AD65" s="54">
        <f t="shared" si="121"/>
        <v>0</v>
      </c>
      <c r="AE65" s="54">
        <f t="shared" si="121"/>
        <v>0.18</v>
      </c>
      <c r="AF65" s="54">
        <f t="shared" ref="AF65:AG65" si="122">ROUND(P65-X65,2)</f>
        <v>1</v>
      </c>
      <c r="AG65" s="54">
        <f t="shared" si="122"/>
        <v>1</v>
      </c>
      <c r="AH65" s="62"/>
      <c r="AI65" s="47"/>
      <c r="AJ65" s="47"/>
      <c r="AK65" s="47"/>
      <c r="AL65" s="47"/>
      <c r="AM65" s="47"/>
      <c r="AN65" s="47"/>
      <c r="AO65" s="47"/>
      <c r="AP65" s="95"/>
      <c r="AQ65" s="62"/>
      <c r="AR65" s="62"/>
      <c r="AS65" s="62"/>
      <c r="AT65" s="54"/>
      <c r="AU65" s="96"/>
      <c r="AV65" s="59"/>
      <c r="AW65" s="54"/>
      <c r="AX65" s="54"/>
      <c r="AY65" s="54"/>
      <c r="AZ65" s="54"/>
      <c r="BA65" s="57"/>
      <c r="BB65" s="58"/>
      <c r="BC65" s="57"/>
      <c r="BD65" s="57"/>
      <c r="BE65" s="59"/>
      <c r="BF65" s="60"/>
      <c r="BG65" s="61"/>
      <c r="BH65" s="61"/>
      <c r="BI65" s="61"/>
      <c r="BJ65" s="61"/>
      <c r="BK65" s="62"/>
      <c r="BL65" s="54"/>
      <c r="BM65" s="54"/>
      <c r="BN65" s="54"/>
      <c r="BO65" s="54"/>
      <c r="BP65" s="54"/>
    </row>
    <row r="66">
      <c r="A66" s="47">
        <v>62.0</v>
      </c>
      <c r="B66" s="80" t="s">
        <v>104</v>
      </c>
      <c r="C66" s="49" t="s">
        <v>93</v>
      </c>
      <c r="D66" s="50">
        <v>3.5</v>
      </c>
      <c r="E66" s="50">
        <v>0.9</v>
      </c>
      <c r="F66" s="50">
        <v>0.4</v>
      </c>
      <c r="G66" s="50">
        <v>0.2</v>
      </c>
      <c r="H66" s="50">
        <v>0.0</v>
      </c>
      <c r="I66" s="50">
        <v>0.0</v>
      </c>
      <c r="J66" s="51"/>
      <c r="K66" s="51"/>
      <c r="L66" s="51"/>
      <c r="M66" s="51"/>
      <c r="N66" s="51"/>
      <c r="O66" s="51"/>
      <c r="P66" s="52">
        <v>1.0</v>
      </c>
      <c r="Q66" s="52">
        <v>1.0</v>
      </c>
      <c r="R66" s="62"/>
      <c r="S66" s="47"/>
      <c r="T66" s="47"/>
      <c r="U66" s="47"/>
      <c r="V66" s="54"/>
      <c r="W66" s="54"/>
      <c r="X66" s="54"/>
      <c r="Y66" s="47"/>
      <c r="Z66" s="62"/>
      <c r="AA66" s="54">
        <f t="shared" ref="AA66:AE66" si="123">ROUND(E66*0.5+K66*0.5-S66,2)</f>
        <v>0.45</v>
      </c>
      <c r="AB66" s="54">
        <f t="shared" si="123"/>
        <v>0.2</v>
      </c>
      <c r="AC66" s="54">
        <f t="shared" si="123"/>
        <v>0.1</v>
      </c>
      <c r="AD66" s="54">
        <f t="shared" si="123"/>
        <v>0</v>
      </c>
      <c r="AE66" s="54">
        <f t="shared" si="123"/>
        <v>0</v>
      </c>
      <c r="AF66" s="54">
        <f t="shared" ref="AF66:AG66" si="124">ROUND(P66-X66,2)</f>
        <v>1</v>
      </c>
      <c r="AG66" s="54">
        <f t="shared" si="124"/>
        <v>1</v>
      </c>
      <c r="AH66" s="62"/>
      <c r="AI66" s="47"/>
      <c r="AJ66" s="47"/>
      <c r="AK66" s="47"/>
      <c r="AL66" s="47"/>
      <c r="AM66" s="47"/>
      <c r="AN66" s="47"/>
      <c r="AO66" s="47"/>
      <c r="AP66" s="79"/>
      <c r="AQ66" s="62"/>
      <c r="AR66" s="62"/>
      <c r="AS66" s="62"/>
      <c r="AT66" s="54"/>
      <c r="AU66" s="54"/>
      <c r="AV66" s="54"/>
      <c r="AW66" s="54"/>
      <c r="AX66" s="54"/>
      <c r="AY66" s="54"/>
      <c r="AZ66" s="54"/>
      <c r="BA66" s="57"/>
      <c r="BB66" s="58"/>
      <c r="BC66" s="58"/>
      <c r="BD66" s="57"/>
      <c r="BE66" s="59"/>
      <c r="BF66" s="68"/>
      <c r="BG66" s="69"/>
      <c r="BH66" s="69"/>
      <c r="BI66" s="69"/>
      <c r="BJ66" s="69"/>
      <c r="BK66" s="62"/>
      <c r="BL66" s="54"/>
      <c r="BM66" s="54"/>
      <c r="BN66" s="54"/>
      <c r="BO66" s="54"/>
      <c r="BP66" s="54"/>
    </row>
    <row r="67">
      <c r="A67" s="47">
        <v>63.0</v>
      </c>
      <c r="B67" s="80" t="s">
        <v>105</v>
      </c>
      <c r="C67" s="49" t="s">
        <v>93</v>
      </c>
      <c r="D67" s="50">
        <v>4.0</v>
      </c>
      <c r="E67" s="50">
        <v>0.5</v>
      </c>
      <c r="F67" s="50">
        <v>0.3</v>
      </c>
      <c r="G67" s="50">
        <v>0.2</v>
      </c>
      <c r="H67" s="50">
        <v>0.0</v>
      </c>
      <c r="I67" s="50">
        <v>0.0</v>
      </c>
      <c r="J67" s="51"/>
      <c r="K67" s="51"/>
      <c r="L67" s="51"/>
      <c r="M67" s="51"/>
      <c r="N67" s="51"/>
      <c r="O67" s="51"/>
      <c r="P67" s="52">
        <v>1.0</v>
      </c>
      <c r="Q67" s="52">
        <v>1.0</v>
      </c>
      <c r="R67" s="62"/>
      <c r="S67" s="47">
        <v>0.52</v>
      </c>
      <c r="T67" s="54"/>
      <c r="U67" s="47">
        <v>0.05</v>
      </c>
      <c r="V67" s="54"/>
      <c r="W67" s="54"/>
      <c r="X67" s="54"/>
      <c r="Y67" s="54"/>
      <c r="Z67" s="62"/>
      <c r="AA67" s="54">
        <f t="shared" ref="AA67:AE67" si="125">ROUND(E67*0.5+K67*0.5-S67,2)</f>
        <v>-0.27</v>
      </c>
      <c r="AB67" s="54">
        <f t="shared" si="125"/>
        <v>0.15</v>
      </c>
      <c r="AC67" s="54">
        <f t="shared" si="125"/>
        <v>0.05</v>
      </c>
      <c r="AD67" s="54">
        <f t="shared" si="125"/>
        <v>0</v>
      </c>
      <c r="AE67" s="54">
        <f t="shared" si="125"/>
        <v>0</v>
      </c>
      <c r="AF67" s="54">
        <f t="shared" ref="AF67:AG67" si="126">ROUND(P67-X67,2)</f>
        <v>1</v>
      </c>
      <c r="AG67" s="54">
        <f t="shared" si="126"/>
        <v>1</v>
      </c>
      <c r="AH67" s="62"/>
      <c r="AI67" s="47"/>
      <c r="AJ67" s="47"/>
      <c r="AK67" s="47"/>
      <c r="AL67" s="47"/>
      <c r="AM67" s="47"/>
      <c r="AN67" s="47"/>
      <c r="AO67" s="47"/>
      <c r="AP67" s="95"/>
      <c r="AQ67" s="62"/>
      <c r="AR67" s="62"/>
      <c r="AS67" s="62"/>
      <c r="AT67" s="54"/>
      <c r="AU67" s="54"/>
      <c r="AV67" s="54"/>
      <c r="AW67" s="54"/>
      <c r="AX67" s="54"/>
      <c r="AY67" s="54"/>
      <c r="AZ67" s="54"/>
      <c r="BA67" s="57"/>
      <c r="BB67" s="58"/>
      <c r="BC67" s="57"/>
      <c r="BD67" s="57"/>
      <c r="BE67" s="59"/>
      <c r="BF67" s="68"/>
      <c r="BG67" s="69"/>
      <c r="BH67" s="69"/>
      <c r="BI67" s="69"/>
      <c r="BJ67" s="69"/>
      <c r="BK67" s="62"/>
      <c r="BL67" s="54"/>
      <c r="BM67" s="54"/>
      <c r="BN67" s="54"/>
      <c r="BO67" s="54"/>
      <c r="BP67" s="54"/>
    </row>
    <row r="68">
      <c r="A68" s="47">
        <v>64.0</v>
      </c>
      <c r="B68" s="80" t="s">
        <v>106</v>
      </c>
      <c r="C68" s="49" t="s">
        <v>93</v>
      </c>
      <c r="D68" s="50">
        <v>3.33</v>
      </c>
      <c r="E68" s="50">
        <v>0.47</v>
      </c>
      <c r="F68" s="50">
        <v>0.2</v>
      </c>
      <c r="G68" s="50">
        <v>0.0</v>
      </c>
      <c r="H68" s="50">
        <v>0.0</v>
      </c>
      <c r="I68" s="50">
        <v>0.0</v>
      </c>
      <c r="J68" s="51"/>
      <c r="K68" s="51"/>
      <c r="L68" s="51"/>
      <c r="M68" s="51"/>
      <c r="N68" s="51"/>
      <c r="O68" s="51"/>
      <c r="P68" s="52">
        <v>1.0</v>
      </c>
      <c r="Q68" s="52">
        <v>1.0</v>
      </c>
      <c r="R68" s="62"/>
      <c r="S68" s="47">
        <v>0.04</v>
      </c>
      <c r="T68" s="54"/>
      <c r="U68" s="47"/>
      <c r="V68" s="54"/>
      <c r="W68" s="54"/>
      <c r="X68" s="47"/>
      <c r="Y68" s="47"/>
      <c r="Z68" s="62"/>
      <c r="AA68" s="54">
        <f t="shared" ref="AA68:AE68" si="127">ROUND(E68*0.5+K68*0.5-S68,2)</f>
        <v>0.2</v>
      </c>
      <c r="AB68" s="54">
        <f t="shared" si="127"/>
        <v>0.1</v>
      </c>
      <c r="AC68" s="54">
        <f t="shared" si="127"/>
        <v>0</v>
      </c>
      <c r="AD68" s="54">
        <f t="shared" si="127"/>
        <v>0</v>
      </c>
      <c r="AE68" s="54">
        <f t="shared" si="127"/>
        <v>0</v>
      </c>
      <c r="AF68" s="54">
        <f t="shared" ref="AF68:AG68" si="128">ROUND(P68-X68,2)</f>
        <v>1</v>
      </c>
      <c r="AG68" s="54">
        <f t="shared" si="128"/>
        <v>1</v>
      </c>
      <c r="AH68" s="62"/>
      <c r="AI68" s="47"/>
      <c r="AJ68" s="47"/>
      <c r="AK68" s="47"/>
      <c r="AL68" s="47"/>
      <c r="AM68" s="47"/>
      <c r="AN68" s="47"/>
      <c r="AO68" s="47"/>
      <c r="AP68" s="52"/>
      <c r="AQ68" s="62"/>
      <c r="AR68" s="62"/>
      <c r="AS68" s="62"/>
      <c r="AT68" s="54"/>
      <c r="AU68" s="54"/>
      <c r="AV68" s="54"/>
      <c r="AW68" s="54"/>
      <c r="AX68" s="54"/>
      <c r="AY68" s="54"/>
      <c r="AZ68" s="54"/>
      <c r="BA68" s="57"/>
      <c r="BB68" s="58"/>
      <c r="BC68" s="58"/>
      <c r="BD68" s="57"/>
      <c r="BE68" s="59"/>
      <c r="BF68" s="68"/>
      <c r="BG68" s="69"/>
      <c r="BH68" s="69"/>
      <c r="BI68" s="69"/>
      <c r="BJ68" s="69"/>
      <c r="BK68" s="62"/>
      <c r="BL68" s="54"/>
      <c r="BM68" s="54"/>
      <c r="BN68" s="54"/>
      <c r="BO68" s="54"/>
      <c r="BP68" s="54"/>
    </row>
    <row r="69">
      <c r="A69" s="47">
        <v>65.0</v>
      </c>
      <c r="B69" s="80" t="s">
        <v>107</v>
      </c>
      <c r="C69" s="49" t="s">
        <v>93</v>
      </c>
      <c r="D69" s="50">
        <v>3.0</v>
      </c>
      <c r="E69" s="50">
        <v>0.5</v>
      </c>
      <c r="F69" s="50">
        <v>0.2</v>
      </c>
      <c r="G69" s="50">
        <v>0.0</v>
      </c>
      <c r="H69" s="50">
        <v>0.3</v>
      </c>
      <c r="I69" s="50">
        <v>0.0</v>
      </c>
      <c r="J69" s="51"/>
      <c r="K69" s="51"/>
      <c r="L69" s="51"/>
      <c r="M69" s="51"/>
      <c r="N69" s="51"/>
      <c r="O69" s="51"/>
      <c r="P69" s="52">
        <v>1.0</v>
      </c>
      <c r="Q69" s="52">
        <v>1.0</v>
      </c>
      <c r="R69" s="62"/>
      <c r="S69" s="54"/>
      <c r="T69" s="54"/>
      <c r="U69" s="54"/>
      <c r="V69" s="54"/>
      <c r="W69" s="54"/>
      <c r="X69" s="54"/>
      <c r="Y69" s="54"/>
      <c r="Z69" s="62"/>
      <c r="AA69" s="54">
        <f t="shared" ref="AA69:AE69" si="129">ROUND(E69*0.5+K69*0.5-S69,2)</f>
        <v>0.25</v>
      </c>
      <c r="AB69" s="54">
        <f t="shared" si="129"/>
        <v>0.1</v>
      </c>
      <c r="AC69" s="54">
        <f t="shared" si="129"/>
        <v>0</v>
      </c>
      <c r="AD69" s="54">
        <f t="shared" si="129"/>
        <v>0.15</v>
      </c>
      <c r="AE69" s="54">
        <f t="shared" si="129"/>
        <v>0</v>
      </c>
      <c r="AF69" s="54">
        <f t="shared" ref="AF69:AG69" si="130">ROUND(P69-X69,2)</f>
        <v>1</v>
      </c>
      <c r="AG69" s="54">
        <f t="shared" si="130"/>
        <v>1</v>
      </c>
      <c r="AH69" s="62"/>
      <c r="AI69" s="47"/>
      <c r="AJ69" s="47"/>
      <c r="AK69" s="47"/>
      <c r="AL69" s="47"/>
      <c r="AM69" s="47"/>
      <c r="AN69" s="47"/>
      <c r="AO69" s="47"/>
      <c r="AP69" s="95"/>
      <c r="AQ69" s="62"/>
      <c r="AR69" s="62"/>
      <c r="AS69" s="62"/>
      <c r="AT69" s="54"/>
      <c r="AU69" s="54"/>
      <c r="AV69" s="54"/>
      <c r="AW69" s="54"/>
      <c r="AX69" s="54"/>
      <c r="AY69" s="54"/>
      <c r="AZ69" s="54"/>
      <c r="BA69" s="57"/>
      <c r="BB69" s="58"/>
      <c r="BC69" s="57"/>
      <c r="BD69" s="57"/>
      <c r="BE69" s="59"/>
      <c r="BF69" s="60"/>
      <c r="BG69" s="61"/>
      <c r="BH69" s="61"/>
      <c r="BI69" s="61"/>
      <c r="BJ69" s="61"/>
      <c r="BK69" s="62"/>
      <c r="BL69" s="54"/>
      <c r="BM69" s="54"/>
      <c r="BN69" s="54"/>
      <c r="BO69" s="54"/>
      <c r="BP69" s="54"/>
    </row>
    <row r="70">
      <c r="A70" s="47">
        <v>66.0</v>
      </c>
      <c r="B70" s="80" t="s">
        <v>108</v>
      </c>
      <c r="C70" s="49" t="s">
        <v>93</v>
      </c>
      <c r="D70" s="97">
        <v>3.0</v>
      </c>
      <c r="E70" s="97">
        <v>0.5</v>
      </c>
      <c r="F70" s="97">
        <v>0.2</v>
      </c>
      <c r="G70" s="97">
        <v>0.3</v>
      </c>
      <c r="H70" s="97">
        <v>0.0</v>
      </c>
      <c r="I70" s="50">
        <v>0.0</v>
      </c>
      <c r="J70" s="98"/>
      <c r="K70" s="98"/>
      <c r="L70" s="98"/>
      <c r="M70" s="98"/>
      <c r="N70" s="98"/>
      <c r="O70" s="99"/>
      <c r="P70" s="52">
        <v>1.0</v>
      </c>
      <c r="Q70" s="52">
        <v>1.0</v>
      </c>
      <c r="R70" s="62"/>
      <c r="S70" s="47">
        <v>0.3</v>
      </c>
      <c r="T70" s="54"/>
      <c r="U70" s="47">
        <v>0.02</v>
      </c>
      <c r="V70" s="47"/>
      <c r="W70" s="54"/>
      <c r="X70" s="54"/>
      <c r="Y70" s="54"/>
      <c r="Z70" s="62"/>
      <c r="AA70" s="54">
        <f t="shared" ref="AA70:AE70" si="131">ROUND(E70*0.5+K70*0.5-S70,2)</f>
        <v>-0.05</v>
      </c>
      <c r="AB70" s="54">
        <f t="shared" si="131"/>
        <v>0.1</v>
      </c>
      <c r="AC70" s="54">
        <f t="shared" si="131"/>
        <v>0.13</v>
      </c>
      <c r="AD70" s="54">
        <f t="shared" si="131"/>
        <v>0</v>
      </c>
      <c r="AE70" s="54">
        <f t="shared" si="131"/>
        <v>0</v>
      </c>
      <c r="AF70" s="54">
        <f t="shared" ref="AF70:AG70" si="132">ROUND(P70-X70,2)</f>
        <v>1</v>
      </c>
      <c r="AG70" s="54">
        <f t="shared" si="132"/>
        <v>1</v>
      </c>
      <c r="AH70" s="62"/>
      <c r="AI70" s="47"/>
      <c r="AJ70" s="47"/>
      <c r="AK70" s="47"/>
      <c r="AL70" s="47"/>
      <c r="AM70" s="47"/>
      <c r="AN70" s="47"/>
      <c r="AO70" s="47"/>
      <c r="AP70" s="52"/>
      <c r="AQ70" s="62"/>
      <c r="AR70" s="62"/>
      <c r="AS70" s="62"/>
      <c r="AT70" s="72"/>
      <c r="AU70" s="72"/>
      <c r="AV70" s="77"/>
      <c r="AW70" s="77"/>
      <c r="AX70" s="77"/>
      <c r="AY70" s="72"/>
      <c r="AZ70" s="54"/>
      <c r="BA70" s="58"/>
      <c r="BB70" s="58"/>
      <c r="BC70" s="57"/>
      <c r="BD70" s="57"/>
      <c r="BE70" s="59"/>
      <c r="BF70" s="60"/>
      <c r="BG70" s="61"/>
      <c r="BH70" s="61"/>
      <c r="BI70" s="61"/>
      <c r="BJ70" s="61"/>
      <c r="BK70" s="62"/>
      <c r="BL70" s="54"/>
      <c r="BM70" s="54"/>
      <c r="BN70" s="54"/>
      <c r="BO70" s="54"/>
      <c r="BP70" s="54"/>
    </row>
    <row r="71">
      <c r="A71" s="47">
        <v>67.0</v>
      </c>
      <c r="B71" s="80" t="s">
        <v>109</v>
      </c>
      <c r="C71" s="49" t="s">
        <v>93</v>
      </c>
      <c r="D71" s="97">
        <v>3.0</v>
      </c>
      <c r="E71" s="97">
        <v>0.5</v>
      </c>
      <c r="F71" s="97">
        <v>0.0</v>
      </c>
      <c r="G71" s="97">
        <v>0.2</v>
      </c>
      <c r="H71" s="97">
        <v>0.3</v>
      </c>
      <c r="I71" s="50">
        <v>0.0</v>
      </c>
      <c r="J71" s="99"/>
      <c r="K71" s="99"/>
      <c r="L71" s="99"/>
      <c r="M71" s="99"/>
      <c r="N71" s="99"/>
      <c r="O71" s="99"/>
      <c r="P71" s="52">
        <v>1.0</v>
      </c>
      <c r="Q71" s="52">
        <v>1.0</v>
      </c>
      <c r="R71" s="62"/>
      <c r="S71" s="54"/>
      <c r="T71" s="54"/>
      <c r="U71" s="47">
        <v>0.02</v>
      </c>
      <c r="V71" s="47"/>
      <c r="W71" s="54"/>
      <c r="X71" s="54"/>
      <c r="Y71" s="54"/>
      <c r="Z71" s="62"/>
      <c r="AA71" s="54">
        <f t="shared" ref="AA71:AE71" si="133">ROUND(E71*0.5+K71*0.5-S71,2)</f>
        <v>0.25</v>
      </c>
      <c r="AB71" s="54">
        <f t="shared" si="133"/>
        <v>0</v>
      </c>
      <c r="AC71" s="54">
        <f t="shared" si="133"/>
        <v>0.08</v>
      </c>
      <c r="AD71" s="54">
        <f t="shared" si="133"/>
        <v>0.15</v>
      </c>
      <c r="AE71" s="54">
        <f t="shared" si="133"/>
        <v>0</v>
      </c>
      <c r="AF71" s="54">
        <f t="shared" ref="AF71:AG71" si="134">ROUND(P71-X71,2)</f>
        <v>1</v>
      </c>
      <c r="AG71" s="54">
        <f t="shared" si="134"/>
        <v>1</v>
      </c>
      <c r="AH71" s="62"/>
      <c r="AI71" s="47"/>
      <c r="AJ71" s="47"/>
      <c r="AK71" s="47"/>
      <c r="AL71" s="47"/>
      <c r="AM71" s="47"/>
      <c r="AN71" s="47"/>
      <c r="AO71" s="47"/>
      <c r="AP71" s="74"/>
      <c r="AQ71" s="62"/>
      <c r="AR71" s="62"/>
      <c r="AS71" s="62"/>
      <c r="AT71" s="54"/>
      <c r="AU71" s="54"/>
      <c r="AV71" s="54"/>
      <c r="AW71" s="54"/>
      <c r="AX71" s="54"/>
      <c r="AY71" s="54"/>
      <c r="AZ71" s="54"/>
      <c r="BA71" s="57"/>
      <c r="BB71" s="58"/>
      <c r="BC71" s="57"/>
      <c r="BD71" s="57"/>
      <c r="BE71" s="59"/>
      <c r="BF71" s="60"/>
      <c r="BG71" s="61"/>
      <c r="BH71" s="61"/>
      <c r="BI71" s="61"/>
      <c r="BJ71" s="61"/>
      <c r="BK71" s="62"/>
      <c r="BL71" s="54"/>
      <c r="BM71" s="54"/>
      <c r="BN71" s="54"/>
      <c r="BO71" s="54"/>
      <c r="BP71" s="54"/>
    </row>
    <row r="72">
      <c r="A72" s="47">
        <v>68.0</v>
      </c>
      <c r="B72" s="80" t="s">
        <v>110</v>
      </c>
      <c r="C72" s="49" t="s">
        <v>93</v>
      </c>
      <c r="D72" s="97">
        <v>3.16</v>
      </c>
      <c r="E72" s="97">
        <v>0.54</v>
      </c>
      <c r="F72" s="97">
        <v>0.0</v>
      </c>
      <c r="G72" s="97">
        <v>0.0</v>
      </c>
      <c r="H72" s="97">
        <v>0.3</v>
      </c>
      <c r="I72" s="50">
        <v>0.0</v>
      </c>
      <c r="J72" s="99"/>
      <c r="K72" s="99"/>
      <c r="L72" s="99"/>
      <c r="M72" s="99"/>
      <c r="N72" s="99"/>
      <c r="O72" s="99"/>
      <c r="P72" s="52">
        <v>1.0</v>
      </c>
      <c r="Q72" s="52">
        <v>1.0</v>
      </c>
      <c r="R72" s="62"/>
      <c r="S72" s="47">
        <v>0.4</v>
      </c>
      <c r="T72" s="47">
        <v>0.003</v>
      </c>
      <c r="U72" s="54"/>
      <c r="V72" s="47"/>
      <c r="W72" s="54"/>
      <c r="X72" s="47">
        <v>0.08</v>
      </c>
      <c r="Y72" s="47">
        <v>0.08</v>
      </c>
      <c r="Z72" s="62"/>
      <c r="AA72" s="54">
        <f t="shared" ref="AA72:AE72" si="135">ROUND(E72*0.5+K72*0.5-S72,2)</f>
        <v>-0.13</v>
      </c>
      <c r="AB72" s="54">
        <f t="shared" si="135"/>
        <v>0</v>
      </c>
      <c r="AC72" s="54">
        <f t="shared" si="135"/>
        <v>0</v>
      </c>
      <c r="AD72" s="54">
        <f t="shared" si="135"/>
        <v>0.15</v>
      </c>
      <c r="AE72" s="54">
        <f t="shared" si="135"/>
        <v>0</v>
      </c>
      <c r="AF72" s="54">
        <f t="shared" ref="AF72:AG72" si="136">ROUND(P72-X72,2)</f>
        <v>0.92</v>
      </c>
      <c r="AG72" s="54">
        <f t="shared" si="136"/>
        <v>0.92</v>
      </c>
      <c r="AH72" s="62"/>
      <c r="AI72" s="47"/>
      <c r="AJ72" s="47"/>
      <c r="AK72" s="47"/>
      <c r="AL72" s="47"/>
      <c r="AM72" s="47"/>
      <c r="AN72" s="47"/>
      <c r="AO72" s="47"/>
      <c r="AP72" s="52"/>
      <c r="AQ72" s="62"/>
      <c r="AR72" s="62"/>
      <c r="AS72" s="62"/>
      <c r="AT72" s="54"/>
      <c r="AU72" s="54"/>
      <c r="AV72" s="54"/>
      <c r="AW72" s="54"/>
      <c r="AX72" s="54"/>
      <c r="AY72" s="54"/>
      <c r="AZ72" s="54"/>
      <c r="BA72" s="57"/>
      <c r="BB72" s="58"/>
      <c r="BC72" s="57"/>
      <c r="BD72" s="57"/>
      <c r="BE72" s="59"/>
      <c r="BF72" s="60"/>
      <c r="BG72" s="61"/>
      <c r="BH72" s="61"/>
      <c r="BI72" s="61"/>
      <c r="BJ72" s="61"/>
      <c r="BK72" s="62"/>
      <c r="BL72" s="54"/>
      <c r="BM72" s="54"/>
      <c r="BN72" s="54"/>
      <c r="BO72" s="54"/>
      <c r="BP72" s="54"/>
    </row>
    <row r="73">
      <c r="A73" s="47">
        <v>69.0</v>
      </c>
      <c r="B73" s="80" t="s">
        <v>111</v>
      </c>
      <c r="C73" s="49" t="s">
        <v>93</v>
      </c>
      <c r="D73" s="97">
        <v>3.0</v>
      </c>
      <c r="E73" s="97">
        <v>0.8</v>
      </c>
      <c r="F73" s="97">
        <v>0.0</v>
      </c>
      <c r="G73" s="97">
        <v>0.0</v>
      </c>
      <c r="H73" s="97">
        <v>0.2</v>
      </c>
      <c r="I73" s="50">
        <v>0.0</v>
      </c>
      <c r="J73" s="99"/>
      <c r="K73" s="99"/>
      <c r="L73" s="99"/>
      <c r="M73" s="99"/>
      <c r="N73" s="99"/>
      <c r="O73" s="99"/>
      <c r="P73" s="52">
        <v>1.0</v>
      </c>
      <c r="Q73" s="52">
        <v>1.0</v>
      </c>
      <c r="R73" s="62"/>
      <c r="S73" s="47"/>
      <c r="T73" s="47"/>
      <c r="U73" s="47"/>
      <c r="V73" s="47"/>
      <c r="W73" s="47"/>
      <c r="X73" s="54"/>
      <c r="Y73" s="54"/>
      <c r="Z73" s="62"/>
      <c r="AA73" s="54">
        <f t="shared" ref="AA73:AE73" si="137">ROUND(E73*0.5+K73*0.5-S73,2)</f>
        <v>0.4</v>
      </c>
      <c r="AB73" s="54">
        <f t="shared" si="137"/>
        <v>0</v>
      </c>
      <c r="AC73" s="54">
        <f t="shared" si="137"/>
        <v>0</v>
      </c>
      <c r="AD73" s="54">
        <f t="shared" si="137"/>
        <v>0.1</v>
      </c>
      <c r="AE73" s="54">
        <f t="shared" si="137"/>
        <v>0</v>
      </c>
      <c r="AF73" s="54">
        <f t="shared" ref="AF73:AG73" si="138">ROUND(P73-X73,2)</f>
        <v>1</v>
      </c>
      <c r="AG73" s="54">
        <f t="shared" si="138"/>
        <v>1</v>
      </c>
      <c r="AH73" s="62"/>
      <c r="AI73" s="47"/>
      <c r="AJ73" s="47"/>
      <c r="AK73" s="47"/>
      <c r="AL73" s="47"/>
      <c r="AM73" s="47"/>
      <c r="AN73" s="47"/>
      <c r="AO73" s="47"/>
      <c r="AP73" s="74"/>
      <c r="AQ73" s="62"/>
      <c r="AR73" s="62"/>
      <c r="AS73" s="62"/>
      <c r="AT73" s="54"/>
      <c r="AU73" s="54"/>
      <c r="AV73" s="54"/>
      <c r="AW73" s="54"/>
      <c r="AX73" s="54"/>
      <c r="AY73" s="72"/>
      <c r="AZ73" s="54"/>
      <c r="BA73" s="58"/>
      <c r="BB73" s="58"/>
      <c r="BC73" s="57"/>
      <c r="BD73" s="57"/>
      <c r="BE73" s="59"/>
      <c r="BF73" s="47"/>
      <c r="BG73" s="47"/>
      <c r="BH73" s="47"/>
      <c r="BI73" s="47"/>
      <c r="BJ73" s="47"/>
      <c r="BK73" s="62"/>
      <c r="BL73" s="54"/>
      <c r="BM73" s="54"/>
      <c r="BN73" s="54"/>
      <c r="BO73" s="54"/>
      <c r="BP73" s="54"/>
    </row>
    <row r="74">
      <c r="A74" s="47">
        <v>70.0</v>
      </c>
      <c r="B74" s="80" t="s">
        <v>112</v>
      </c>
      <c r="C74" s="49" t="s">
        <v>93</v>
      </c>
      <c r="D74" s="97">
        <v>3.33</v>
      </c>
      <c r="E74" s="97">
        <v>0.47</v>
      </c>
      <c r="F74" s="97">
        <v>0.0</v>
      </c>
      <c r="G74" s="97">
        <v>0.2</v>
      </c>
      <c r="H74" s="97">
        <v>0.0</v>
      </c>
      <c r="I74" s="50">
        <v>0.0</v>
      </c>
      <c r="J74" s="99"/>
      <c r="K74" s="99"/>
      <c r="L74" s="99"/>
      <c r="M74" s="99"/>
      <c r="N74" s="99"/>
      <c r="O74" s="99"/>
      <c r="P74" s="52">
        <v>1.0</v>
      </c>
      <c r="Q74" s="52">
        <v>1.0</v>
      </c>
      <c r="R74" s="62"/>
      <c r="S74" s="47">
        <v>0.3</v>
      </c>
      <c r="T74" s="47">
        <v>0.006</v>
      </c>
      <c r="U74" s="54"/>
      <c r="V74" s="47"/>
      <c r="W74" s="47"/>
      <c r="X74" s="54"/>
      <c r="Y74" s="47">
        <v>0.17</v>
      </c>
      <c r="Z74" s="62"/>
      <c r="AA74" s="54">
        <f t="shared" ref="AA74:AE74" si="139">ROUND(E74*0.5+K74*0.5-S74,2)</f>
        <v>-0.07</v>
      </c>
      <c r="AB74" s="54">
        <f t="shared" si="139"/>
        <v>-0.01</v>
      </c>
      <c r="AC74" s="54">
        <f t="shared" si="139"/>
        <v>0.1</v>
      </c>
      <c r="AD74" s="54">
        <f t="shared" si="139"/>
        <v>0</v>
      </c>
      <c r="AE74" s="54">
        <f t="shared" si="139"/>
        <v>0</v>
      </c>
      <c r="AF74" s="54">
        <f t="shared" ref="AF74:AG74" si="140">ROUND(P74-X74,2)</f>
        <v>1</v>
      </c>
      <c r="AG74" s="54">
        <f t="shared" si="140"/>
        <v>0.83</v>
      </c>
      <c r="AH74" s="62"/>
      <c r="AI74" s="47"/>
      <c r="AJ74" s="47"/>
      <c r="AK74" s="47"/>
      <c r="AL74" s="47"/>
      <c r="AM74" s="47"/>
      <c r="AN74" s="47"/>
      <c r="AO74" s="47"/>
      <c r="AP74" s="52"/>
      <c r="AQ74" s="62"/>
      <c r="AR74" s="62"/>
      <c r="AS74" s="62"/>
      <c r="AT74" s="54"/>
      <c r="AU74" s="54"/>
      <c r="AV74" s="54"/>
      <c r="AW74" s="54"/>
      <c r="AX74" s="54"/>
      <c r="AY74" s="54"/>
      <c r="AZ74" s="54"/>
      <c r="BA74" s="57"/>
      <c r="BB74" s="58"/>
      <c r="BC74" s="57"/>
      <c r="BD74" s="57"/>
      <c r="BE74" s="59"/>
      <c r="BF74" s="47"/>
      <c r="BG74" s="47"/>
      <c r="BH74" s="47"/>
      <c r="BI74" s="47"/>
      <c r="BJ74" s="47"/>
      <c r="BK74" s="62"/>
      <c r="BL74" s="54"/>
      <c r="BM74" s="54"/>
      <c r="BN74" s="54"/>
      <c r="BO74" s="54"/>
      <c r="BP74" s="54"/>
    </row>
    <row r="75">
      <c r="A75" s="47">
        <v>71.0</v>
      </c>
      <c r="B75" s="80" t="s">
        <v>113</v>
      </c>
      <c r="C75" s="49" t="s">
        <v>93</v>
      </c>
      <c r="D75" s="97">
        <v>3.0</v>
      </c>
      <c r="E75" s="97">
        <v>0.5</v>
      </c>
      <c r="F75" s="97">
        <v>0.3</v>
      </c>
      <c r="G75" s="97">
        <v>0.2</v>
      </c>
      <c r="H75" s="97">
        <v>0.0</v>
      </c>
      <c r="I75" s="50">
        <v>0.0</v>
      </c>
      <c r="J75" s="99"/>
      <c r="K75" s="99"/>
      <c r="L75" s="99"/>
      <c r="M75" s="99"/>
      <c r="N75" s="99"/>
      <c r="O75" s="99"/>
      <c r="P75" s="52">
        <v>1.0</v>
      </c>
      <c r="Q75" s="52">
        <v>1.0</v>
      </c>
      <c r="R75" s="62"/>
      <c r="S75" s="47"/>
      <c r="T75" s="54"/>
      <c r="U75" s="54"/>
      <c r="V75" s="47"/>
      <c r="W75" s="47"/>
      <c r="X75" s="47"/>
      <c r="Y75" s="54"/>
      <c r="Z75" s="62"/>
      <c r="AA75" s="54">
        <f t="shared" ref="AA75:AE75" si="141">ROUND(E75*0.5+K75*0.5-S75,2)</f>
        <v>0.25</v>
      </c>
      <c r="AB75" s="54">
        <f t="shared" si="141"/>
        <v>0.15</v>
      </c>
      <c r="AC75" s="54">
        <f t="shared" si="141"/>
        <v>0.1</v>
      </c>
      <c r="AD75" s="54">
        <f t="shared" si="141"/>
        <v>0</v>
      </c>
      <c r="AE75" s="54">
        <f t="shared" si="141"/>
        <v>0</v>
      </c>
      <c r="AF75" s="54">
        <f t="shared" ref="AF75:AG75" si="142">ROUND(P75-X75,2)</f>
        <v>1</v>
      </c>
      <c r="AG75" s="54">
        <f t="shared" si="142"/>
        <v>1</v>
      </c>
      <c r="AH75" s="62"/>
      <c r="AI75" s="47"/>
      <c r="AJ75" s="47"/>
      <c r="AK75" s="47"/>
      <c r="AL75" s="47"/>
      <c r="AM75" s="47"/>
      <c r="AN75" s="47"/>
      <c r="AO75" s="47"/>
      <c r="AP75" s="52"/>
      <c r="AQ75" s="62"/>
      <c r="AR75" s="62"/>
      <c r="AS75" s="62"/>
      <c r="AT75" s="54"/>
      <c r="AU75" s="54"/>
      <c r="AV75" s="54"/>
      <c r="AW75" s="54"/>
      <c r="AX75" s="54"/>
      <c r="AY75" s="54"/>
      <c r="AZ75" s="54"/>
      <c r="BA75" s="57"/>
      <c r="BB75" s="58"/>
      <c r="BC75" s="57"/>
      <c r="BD75" s="57"/>
      <c r="BE75" s="59"/>
      <c r="BF75" s="60"/>
      <c r="BG75" s="61"/>
      <c r="BH75" s="61"/>
      <c r="BI75" s="61"/>
      <c r="BJ75" s="61"/>
      <c r="BK75" s="62"/>
      <c r="BL75" s="54"/>
      <c r="BM75" s="54"/>
      <c r="BN75" s="54"/>
      <c r="BO75" s="54"/>
      <c r="BP75" s="54"/>
    </row>
    <row r="76">
      <c r="A76" s="47">
        <v>72.0</v>
      </c>
      <c r="B76" s="80" t="s">
        <v>114</v>
      </c>
      <c r="C76" s="49" t="s">
        <v>93</v>
      </c>
      <c r="D76" s="97">
        <v>3.0</v>
      </c>
      <c r="E76" s="97">
        <v>0.8</v>
      </c>
      <c r="F76" s="97">
        <v>0.0</v>
      </c>
      <c r="G76" s="97">
        <v>0.2</v>
      </c>
      <c r="H76" s="97">
        <v>0.0</v>
      </c>
      <c r="I76" s="50">
        <v>0.0</v>
      </c>
      <c r="J76" s="99"/>
      <c r="K76" s="99"/>
      <c r="L76" s="99"/>
      <c r="M76" s="99"/>
      <c r="N76" s="99"/>
      <c r="O76" s="99"/>
      <c r="P76" s="52">
        <v>1.0</v>
      </c>
      <c r="Q76" s="52">
        <v>1.0</v>
      </c>
      <c r="R76" s="62"/>
      <c r="S76" s="47"/>
      <c r="T76" s="54"/>
      <c r="U76" s="54"/>
      <c r="V76" s="47"/>
      <c r="W76" s="47"/>
      <c r="X76" s="54"/>
      <c r="Y76" s="54"/>
      <c r="Z76" s="62"/>
      <c r="AA76" s="54">
        <f t="shared" ref="AA76:AE76" si="143">ROUND(E76*0.5+K76*0.5-S76,2)</f>
        <v>0.4</v>
      </c>
      <c r="AB76" s="54">
        <f t="shared" si="143"/>
        <v>0</v>
      </c>
      <c r="AC76" s="54">
        <f t="shared" si="143"/>
        <v>0.1</v>
      </c>
      <c r="AD76" s="54">
        <f t="shared" si="143"/>
        <v>0</v>
      </c>
      <c r="AE76" s="54">
        <f t="shared" si="143"/>
        <v>0</v>
      </c>
      <c r="AF76" s="54">
        <f t="shared" ref="AF76:AG76" si="144">ROUND(P76-X76,2)</f>
        <v>1</v>
      </c>
      <c r="AG76" s="54">
        <f t="shared" si="144"/>
        <v>1</v>
      </c>
      <c r="AH76" s="62"/>
      <c r="AI76" s="47"/>
      <c r="AJ76" s="47"/>
      <c r="AK76" s="47"/>
      <c r="AL76" s="47"/>
      <c r="AM76" s="47"/>
      <c r="AN76" s="47"/>
      <c r="AO76" s="47"/>
      <c r="AP76" s="78"/>
      <c r="AQ76" s="62"/>
      <c r="AR76" s="62"/>
      <c r="AS76" s="62"/>
      <c r="AT76" s="54"/>
      <c r="AU76" s="54"/>
      <c r="AV76" s="54"/>
      <c r="AW76" s="54"/>
      <c r="AX76" s="54"/>
      <c r="AY76" s="54"/>
      <c r="AZ76" s="54"/>
      <c r="BA76" s="57"/>
      <c r="BB76" s="58"/>
      <c r="BC76" s="57"/>
      <c r="BD76" s="57"/>
      <c r="BE76" s="59"/>
      <c r="BF76" s="60"/>
      <c r="BG76" s="61"/>
      <c r="BH76" s="61"/>
      <c r="BI76" s="61"/>
      <c r="BJ76" s="61"/>
      <c r="BK76" s="62"/>
      <c r="BL76" s="54"/>
      <c r="BM76" s="54"/>
      <c r="BN76" s="54"/>
      <c r="BO76" s="54"/>
      <c r="BP76" s="54"/>
    </row>
    <row r="77">
      <c r="A77" s="47">
        <v>73.0</v>
      </c>
      <c r="B77" s="80" t="s">
        <v>115</v>
      </c>
      <c r="C77" s="49" t="s">
        <v>93</v>
      </c>
      <c r="D77" s="97">
        <v>3.33</v>
      </c>
      <c r="E77" s="97">
        <v>0.47</v>
      </c>
      <c r="F77" s="97">
        <v>0.0</v>
      </c>
      <c r="G77" s="97">
        <v>0.2</v>
      </c>
      <c r="H77" s="97">
        <v>0.0</v>
      </c>
      <c r="I77" s="50">
        <v>0.0</v>
      </c>
      <c r="J77" s="99"/>
      <c r="K77" s="99"/>
      <c r="L77" s="99"/>
      <c r="M77" s="99"/>
      <c r="N77" s="99"/>
      <c r="O77" s="99"/>
      <c r="P77" s="52">
        <v>1.0</v>
      </c>
      <c r="Q77" s="52">
        <v>1.0</v>
      </c>
      <c r="R77" s="62"/>
      <c r="S77" s="47"/>
      <c r="T77" s="54"/>
      <c r="U77" s="54"/>
      <c r="V77" s="47"/>
      <c r="W77" s="47"/>
      <c r="X77" s="54"/>
      <c r="Y77" s="54"/>
      <c r="Z77" s="62"/>
      <c r="AA77" s="54">
        <f t="shared" ref="AA77:AE77" si="145">ROUND(E77*0.5+K77*0.5-S77,2)</f>
        <v>0.24</v>
      </c>
      <c r="AB77" s="54">
        <f t="shared" si="145"/>
        <v>0</v>
      </c>
      <c r="AC77" s="54">
        <f t="shared" si="145"/>
        <v>0.1</v>
      </c>
      <c r="AD77" s="54">
        <f t="shared" si="145"/>
        <v>0</v>
      </c>
      <c r="AE77" s="54">
        <f t="shared" si="145"/>
        <v>0</v>
      </c>
      <c r="AF77" s="54">
        <f t="shared" ref="AF77:AG77" si="146">ROUND(P77-X77,2)</f>
        <v>1</v>
      </c>
      <c r="AG77" s="54">
        <f t="shared" si="146"/>
        <v>1</v>
      </c>
      <c r="AH77" s="62"/>
      <c r="AI77" s="47"/>
      <c r="AJ77" s="47"/>
      <c r="AK77" s="47"/>
      <c r="AL77" s="47"/>
      <c r="AM77" s="47"/>
      <c r="AN77" s="47"/>
      <c r="AO77" s="47"/>
      <c r="AP77" s="70"/>
      <c r="AQ77" s="62"/>
      <c r="AR77" s="62"/>
      <c r="AS77" s="62"/>
      <c r="AT77" s="54"/>
      <c r="AU77" s="54"/>
      <c r="AV77" s="54"/>
      <c r="AW77" s="54"/>
      <c r="AX77" s="54"/>
      <c r="AY77" s="54"/>
      <c r="AZ77" s="54"/>
      <c r="BA77" s="57"/>
      <c r="BB77" s="58"/>
      <c r="BC77" s="57"/>
      <c r="BD77" s="57"/>
      <c r="BE77" s="59"/>
      <c r="BF77" s="68"/>
      <c r="BG77" s="69"/>
      <c r="BH77" s="69"/>
      <c r="BI77" s="69"/>
      <c r="BJ77" s="69"/>
      <c r="BK77" s="62"/>
      <c r="BL77" s="54"/>
      <c r="BM77" s="54"/>
      <c r="BN77" s="54"/>
      <c r="BO77" s="54"/>
      <c r="BP77" s="54"/>
    </row>
    <row r="78">
      <c r="A78" s="47">
        <v>74.0</v>
      </c>
      <c r="B78" s="80" t="s">
        <v>116</v>
      </c>
      <c r="C78" s="49" t="s">
        <v>93</v>
      </c>
      <c r="D78" s="97">
        <v>4.0</v>
      </c>
      <c r="E78" s="97">
        <v>0.0</v>
      </c>
      <c r="F78" s="97">
        <v>0.0</v>
      </c>
      <c r="G78" s="97">
        <v>0.0</v>
      </c>
      <c r="H78" s="97">
        <v>0.0</v>
      </c>
      <c r="I78" s="50">
        <v>0.0</v>
      </c>
      <c r="J78" s="99"/>
      <c r="K78" s="99"/>
      <c r="L78" s="99"/>
      <c r="M78" s="99"/>
      <c r="N78" s="99"/>
      <c r="O78" s="99"/>
      <c r="P78" s="52">
        <v>1.0</v>
      </c>
      <c r="Q78" s="52">
        <v>1.0</v>
      </c>
      <c r="R78" s="62"/>
      <c r="S78" s="47"/>
      <c r="T78" s="54"/>
      <c r="U78" s="54"/>
      <c r="V78" s="47"/>
      <c r="W78" s="47"/>
      <c r="X78" s="54"/>
      <c r="Y78" s="54"/>
      <c r="Z78" s="62"/>
      <c r="AA78" s="54">
        <f t="shared" ref="AA78:AE78" si="147">ROUND(E78*0.5+K78*0.5-S78,2)</f>
        <v>0</v>
      </c>
      <c r="AB78" s="54">
        <f t="shared" si="147"/>
        <v>0</v>
      </c>
      <c r="AC78" s="54">
        <f t="shared" si="147"/>
        <v>0</v>
      </c>
      <c r="AD78" s="54">
        <f t="shared" si="147"/>
        <v>0</v>
      </c>
      <c r="AE78" s="54">
        <f t="shared" si="147"/>
        <v>0</v>
      </c>
      <c r="AF78" s="54">
        <f t="shared" ref="AF78:AG78" si="148">ROUND(P78-X78,2)</f>
        <v>1</v>
      </c>
      <c r="AG78" s="54">
        <f t="shared" si="148"/>
        <v>1</v>
      </c>
      <c r="AH78" s="62"/>
      <c r="AI78" s="47"/>
      <c r="AJ78" s="47"/>
      <c r="AK78" s="47"/>
      <c r="AL78" s="47"/>
      <c r="AM78" s="47"/>
      <c r="AN78" s="47"/>
      <c r="AO78" s="47"/>
      <c r="AP78" s="76"/>
      <c r="AQ78" s="62"/>
      <c r="AR78" s="62"/>
      <c r="AS78" s="62"/>
      <c r="AT78" s="54"/>
      <c r="AU78" s="54"/>
      <c r="AV78" s="54"/>
      <c r="AW78" s="54"/>
      <c r="AX78" s="54"/>
      <c r="AY78" s="54"/>
      <c r="AZ78" s="54"/>
      <c r="BA78" s="57"/>
      <c r="BB78" s="57"/>
      <c r="BC78" s="57"/>
      <c r="BD78" s="57"/>
      <c r="BE78" s="59"/>
      <c r="BF78" s="47"/>
      <c r="BG78" s="47"/>
      <c r="BH78" s="47"/>
      <c r="BI78" s="47"/>
      <c r="BJ78" s="47"/>
      <c r="BK78" s="62"/>
      <c r="BL78" s="54"/>
      <c r="BM78" s="54"/>
      <c r="BN78" s="54"/>
      <c r="BO78" s="54"/>
      <c r="BP78" s="54"/>
    </row>
    <row r="79">
      <c r="A79" s="47">
        <v>75.0</v>
      </c>
      <c r="B79" s="80" t="s">
        <v>117</v>
      </c>
      <c r="C79" s="49" t="s">
        <v>93</v>
      </c>
      <c r="D79" s="97">
        <v>4.0</v>
      </c>
      <c r="E79" s="97">
        <v>0.6</v>
      </c>
      <c r="F79" s="97">
        <v>0.2</v>
      </c>
      <c r="G79" s="97">
        <v>0.2</v>
      </c>
      <c r="H79" s="97">
        <v>0.0</v>
      </c>
      <c r="I79" s="50">
        <v>0.0</v>
      </c>
      <c r="J79" s="99"/>
      <c r="K79" s="99"/>
      <c r="L79" s="99"/>
      <c r="M79" s="99"/>
      <c r="N79" s="99"/>
      <c r="O79" s="99"/>
      <c r="P79" s="52">
        <v>1.0</v>
      </c>
      <c r="Q79" s="52">
        <v>1.0</v>
      </c>
      <c r="R79" s="62"/>
      <c r="S79" s="47"/>
      <c r="T79" s="54"/>
      <c r="U79" s="54"/>
      <c r="V79" s="47"/>
      <c r="W79" s="47"/>
      <c r="X79" s="54"/>
      <c r="Y79" s="54"/>
      <c r="Z79" s="62"/>
      <c r="AA79" s="54">
        <f t="shared" ref="AA79:AE79" si="149">ROUND(E79*0.5+K79*0.5-S79,2)</f>
        <v>0.3</v>
      </c>
      <c r="AB79" s="54">
        <f t="shared" si="149"/>
        <v>0.1</v>
      </c>
      <c r="AC79" s="54">
        <f t="shared" si="149"/>
        <v>0.1</v>
      </c>
      <c r="AD79" s="54">
        <f t="shared" si="149"/>
        <v>0</v>
      </c>
      <c r="AE79" s="54">
        <f t="shared" si="149"/>
        <v>0</v>
      </c>
      <c r="AF79" s="54">
        <f t="shared" ref="AF79:AG79" si="150">ROUND(P79-X79,2)</f>
        <v>1</v>
      </c>
      <c r="AG79" s="54">
        <f t="shared" si="150"/>
        <v>1</v>
      </c>
      <c r="AH79" s="62"/>
      <c r="AI79" s="47"/>
      <c r="AJ79" s="47"/>
      <c r="AK79" s="47"/>
      <c r="AL79" s="47"/>
      <c r="AM79" s="47"/>
      <c r="AN79" s="47"/>
      <c r="AO79" s="47"/>
      <c r="AP79" s="76"/>
      <c r="AQ79" s="62"/>
      <c r="AR79" s="62"/>
      <c r="AS79" s="62"/>
      <c r="AT79" s="54"/>
      <c r="AU79" s="54"/>
      <c r="AV79" s="54"/>
      <c r="AW79" s="54"/>
      <c r="AX79" s="54"/>
      <c r="AY79" s="54"/>
      <c r="AZ79" s="54"/>
      <c r="BA79" s="57"/>
      <c r="BB79" s="58"/>
      <c r="BC79" s="57"/>
      <c r="BD79" s="57"/>
      <c r="BE79" s="59"/>
      <c r="BF79" s="47"/>
      <c r="BG79" s="47"/>
      <c r="BH79" s="47"/>
      <c r="BI79" s="47"/>
      <c r="BJ79" s="47"/>
      <c r="BK79" s="62"/>
      <c r="BL79" s="54"/>
      <c r="BM79" s="54"/>
      <c r="BN79" s="54"/>
      <c r="BO79" s="54"/>
      <c r="BP79" s="54"/>
    </row>
    <row r="80">
      <c r="A80" s="47">
        <v>76.0</v>
      </c>
      <c r="B80" s="80" t="s">
        <v>118</v>
      </c>
      <c r="C80" s="49" t="s">
        <v>93</v>
      </c>
      <c r="D80" s="97">
        <v>3.0</v>
      </c>
      <c r="E80" s="97">
        <v>1.0</v>
      </c>
      <c r="F80" s="97">
        <v>0.0</v>
      </c>
      <c r="G80" s="97">
        <v>0.0</v>
      </c>
      <c r="H80" s="97">
        <v>0.0</v>
      </c>
      <c r="I80" s="50">
        <v>0.0</v>
      </c>
      <c r="J80" s="99"/>
      <c r="K80" s="99"/>
      <c r="L80" s="99"/>
      <c r="M80" s="99"/>
      <c r="N80" s="99"/>
      <c r="O80" s="99"/>
      <c r="P80" s="52">
        <v>1.0</v>
      </c>
      <c r="Q80" s="52">
        <v>1.0</v>
      </c>
      <c r="R80" s="62"/>
      <c r="S80" s="47"/>
      <c r="T80" s="54"/>
      <c r="U80" s="54"/>
      <c r="V80" s="47"/>
      <c r="W80" s="47"/>
      <c r="X80" s="54"/>
      <c r="Y80" s="54"/>
      <c r="Z80" s="62"/>
      <c r="AA80" s="54">
        <f t="shared" ref="AA80:AE80" si="151">ROUND(E80*0.5+K80*0.5-S80,2)</f>
        <v>0.5</v>
      </c>
      <c r="AB80" s="54">
        <f t="shared" si="151"/>
        <v>0</v>
      </c>
      <c r="AC80" s="54">
        <f t="shared" si="151"/>
        <v>0</v>
      </c>
      <c r="AD80" s="54">
        <f t="shared" si="151"/>
        <v>0</v>
      </c>
      <c r="AE80" s="54">
        <f t="shared" si="151"/>
        <v>0</v>
      </c>
      <c r="AF80" s="54">
        <f t="shared" ref="AF80:AG80" si="152">ROUND(P80-X80,2)</f>
        <v>1</v>
      </c>
      <c r="AG80" s="54">
        <f t="shared" si="152"/>
        <v>1</v>
      </c>
      <c r="AH80" s="62"/>
      <c r="AI80" s="47"/>
      <c r="AJ80" s="47"/>
      <c r="AK80" s="47"/>
      <c r="AL80" s="47"/>
      <c r="AM80" s="47"/>
      <c r="AN80" s="47"/>
      <c r="AO80" s="47"/>
      <c r="AP80" s="76"/>
      <c r="AQ80" s="62"/>
      <c r="AR80" s="62"/>
      <c r="AS80" s="62"/>
      <c r="AT80" s="54"/>
      <c r="AU80" s="54"/>
      <c r="AV80" s="54"/>
      <c r="AW80" s="54"/>
      <c r="AX80" s="54"/>
      <c r="AY80" s="54"/>
      <c r="AZ80" s="54"/>
      <c r="BA80" s="57"/>
      <c r="BB80" s="58"/>
      <c r="BC80" s="57"/>
      <c r="BD80" s="57"/>
      <c r="BE80" s="59"/>
      <c r="BF80" s="47"/>
      <c r="BG80" s="47"/>
      <c r="BH80" s="47"/>
      <c r="BI80" s="47"/>
      <c r="BJ80" s="47"/>
      <c r="BK80" s="62"/>
      <c r="BL80" s="54"/>
      <c r="BM80" s="54"/>
      <c r="BN80" s="54"/>
      <c r="BO80" s="54"/>
      <c r="BP80" s="54"/>
    </row>
    <row r="81">
      <c r="A81" s="47">
        <v>77.0</v>
      </c>
      <c r="B81" s="80" t="s">
        <v>119</v>
      </c>
      <c r="C81" s="49" t="s">
        <v>93</v>
      </c>
      <c r="D81" s="97">
        <v>3.5</v>
      </c>
      <c r="E81" s="97">
        <v>0.5</v>
      </c>
      <c r="F81" s="97">
        <v>0.0</v>
      </c>
      <c r="G81" s="97">
        <v>0.0</v>
      </c>
      <c r="H81" s="97">
        <v>0.0</v>
      </c>
      <c r="I81" s="50">
        <v>0.0</v>
      </c>
      <c r="J81" s="99"/>
      <c r="K81" s="99"/>
      <c r="L81" s="99"/>
      <c r="M81" s="99"/>
      <c r="N81" s="99"/>
      <c r="O81" s="99"/>
      <c r="P81" s="52">
        <v>1.0</v>
      </c>
      <c r="Q81" s="52">
        <v>1.0</v>
      </c>
      <c r="R81" s="62"/>
      <c r="S81" s="47"/>
      <c r="T81" s="54"/>
      <c r="U81" s="54"/>
      <c r="V81" s="47"/>
      <c r="W81" s="47"/>
      <c r="X81" s="54"/>
      <c r="Y81" s="54"/>
      <c r="Z81" s="62"/>
      <c r="AA81" s="54">
        <f t="shared" ref="AA81:AE81" si="153">ROUND(E81*0.5+K81*0.5-S81,2)</f>
        <v>0.25</v>
      </c>
      <c r="AB81" s="54">
        <f t="shared" si="153"/>
        <v>0</v>
      </c>
      <c r="AC81" s="54">
        <f t="shared" si="153"/>
        <v>0</v>
      </c>
      <c r="AD81" s="54">
        <f t="shared" si="153"/>
        <v>0</v>
      </c>
      <c r="AE81" s="54">
        <f t="shared" si="153"/>
        <v>0</v>
      </c>
      <c r="AF81" s="54">
        <f t="shared" ref="AF81:AG81" si="154">ROUND(P81-X81,2)</f>
        <v>1</v>
      </c>
      <c r="AG81" s="54">
        <f t="shared" si="154"/>
        <v>1</v>
      </c>
      <c r="AH81" s="62"/>
      <c r="AI81" s="47"/>
      <c r="AJ81" s="47"/>
      <c r="AK81" s="47"/>
      <c r="AL81" s="47"/>
      <c r="AM81" s="47"/>
      <c r="AN81" s="47"/>
      <c r="AO81" s="47"/>
      <c r="AP81" s="76"/>
      <c r="AQ81" s="62"/>
      <c r="AR81" s="62"/>
      <c r="AS81" s="62"/>
      <c r="AT81" s="54"/>
      <c r="AU81" s="54"/>
      <c r="AV81" s="54"/>
      <c r="AW81" s="54"/>
      <c r="AX81" s="54"/>
      <c r="AY81" s="54"/>
      <c r="AZ81" s="54"/>
      <c r="BA81" s="57"/>
      <c r="BB81" s="58"/>
      <c r="BC81" s="57"/>
      <c r="BD81" s="57"/>
      <c r="BE81" s="59"/>
      <c r="BF81" s="47"/>
      <c r="BG81" s="47"/>
      <c r="BH81" s="47"/>
      <c r="BI81" s="47"/>
      <c r="BJ81" s="47"/>
      <c r="BK81" s="62"/>
      <c r="BL81" s="54"/>
      <c r="BM81" s="54"/>
      <c r="BN81" s="54"/>
      <c r="BO81" s="54"/>
      <c r="BP81" s="54"/>
    </row>
    <row r="82">
      <c r="A82" s="47">
        <v>78.0</v>
      </c>
      <c r="B82" s="80" t="s">
        <v>120</v>
      </c>
      <c r="C82" s="49" t="s">
        <v>93</v>
      </c>
      <c r="D82" s="97">
        <v>3.5</v>
      </c>
      <c r="E82" s="97">
        <v>0.5</v>
      </c>
      <c r="F82" s="97">
        <v>0.0</v>
      </c>
      <c r="G82" s="97">
        <v>0.0</v>
      </c>
      <c r="H82" s="97">
        <v>0.0</v>
      </c>
      <c r="I82" s="50">
        <v>0.0</v>
      </c>
      <c r="J82" s="99"/>
      <c r="K82" s="99"/>
      <c r="L82" s="99"/>
      <c r="M82" s="99"/>
      <c r="N82" s="99"/>
      <c r="O82" s="99"/>
      <c r="P82" s="52">
        <v>1.0</v>
      </c>
      <c r="Q82" s="52">
        <v>1.0</v>
      </c>
      <c r="R82" s="62"/>
      <c r="S82" s="47"/>
      <c r="T82" s="54"/>
      <c r="U82" s="54"/>
      <c r="V82" s="47"/>
      <c r="W82" s="47"/>
      <c r="X82" s="54"/>
      <c r="Y82" s="54"/>
      <c r="Z82" s="62"/>
      <c r="AA82" s="54">
        <f t="shared" ref="AA82:AE82" si="155">ROUND(E82*0.5+K82*0.5-S82,2)</f>
        <v>0.25</v>
      </c>
      <c r="AB82" s="54">
        <f t="shared" si="155"/>
        <v>0</v>
      </c>
      <c r="AC82" s="54">
        <f t="shared" si="155"/>
        <v>0</v>
      </c>
      <c r="AD82" s="54">
        <f t="shared" si="155"/>
        <v>0</v>
      </c>
      <c r="AE82" s="54">
        <f t="shared" si="155"/>
        <v>0</v>
      </c>
      <c r="AF82" s="54">
        <f t="shared" ref="AF82:AG82" si="156">ROUND(P82-X82,2)</f>
        <v>1</v>
      </c>
      <c r="AG82" s="54">
        <f t="shared" si="156"/>
        <v>1</v>
      </c>
      <c r="AH82" s="62"/>
      <c r="AI82" s="47"/>
      <c r="AJ82" s="47"/>
      <c r="AK82" s="47"/>
      <c r="AL82" s="47"/>
      <c r="AM82" s="47"/>
      <c r="AN82" s="47"/>
      <c r="AO82" s="47"/>
      <c r="AP82" s="76"/>
      <c r="AQ82" s="62"/>
      <c r="AR82" s="62"/>
      <c r="AS82" s="62"/>
      <c r="AT82" s="72"/>
      <c r="AU82" s="72"/>
      <c r="AV82" s="77"/>
      <c r="AW82" s="77"/>
      <c r="AX82" s="77"/>
      <c r="AY82" s="72"/>
      <c r="AZ82" s="54"/>
      <c r="BA82" s="57"/>
      <c r="BB82" s="58"/>
      <c r="BC82" s="57"/>
      <c r="BD82" s="57"/>
      <c r="BE82" s="59"/>
      <c r="BF82" s="47"/>
      <c r="BG82" s="47"/>
      <c r="BH82" s="47"/>
      <c r="BI82" s="47"/>
      <c r="BJ82" s="47"/>
      <c r="BK82" s="62"/>
      <c r="BL82" s="54"/>
      <c r="BM82" s="54"/>
      <c r="BN82" s="54"/>
      <c r="BO82" s="54"/>
      <c r="BP82" s="54"/>
    </row>
    <row r="83">
      <c r="A83" s="47">
        <v>79.0</v>
      </c>
      <c r="B83" s="80" t="s">
        <v>121</v>
      </c>
      <c r="C83" s="49" t="s">
        <v>93</v>
      </c>
      <c r="D83" s="97">
        <v>4.0</v>
      </c>
      <c r="E83" s="97">
        <v>0.0</v>
      </c>
      <c r="F83" s="97">
        <v>0.0</v>
      </c>
      <c r="G83" s="97">
        <v>0.0</v>
      </c>
      <c r="H83" s="97">
        <v>0.0</v>
      </c>
      <c r="I83" s="50">
        <v>0.0</v>
      </c>
      <c r="J83" s="99"/>
      <c r="K83" s="99"/>
      <c r="L83" s="99"/>
      <c r="M83" s="99"/>
      <c r="N83" s="99"/>
      <c r="O83" s="99"/>
      <c r="P83" s="52">
        <v>1.0</v>
      </c>
      <c r="Q83" s="52">
        <v>1.0</v>
      </c>
      <c r="R83" s="62"/>
      <c r="S83" s="47"/>
      <c r="T83" s="54"/>
      <c r="U83" s="54"/>
      <c r="V83" s="47"/>
      <c r="W83" s="47"/>
      <c r="X83" s="54"/>
      <c r="Y83" s="54"/>
      <c r="Z83" s="62"/>
      <c r="AA83" s="54">
        <f t="shared" ref="AA83:AE83" si="157">ROUND(E83*0.5+K83*0.5-S83,2)</f>
        <v>0</v>
      </c>
      <c r="AB83" s="54">
        <f t="shared" si="157"/>
        <v>0</v>
      </c>
      <c r="AC83" s="54">
        <f t="shared" si="157"/>
        <v>0</v>
      </c>
      <c r="AD83" s="54">
        <f t="shared" si="157"/>
        <v>0</v>
      </c>
      <c r="AE83" s="54">
        <f t="shared" si="157"/>
        <v>0</v>
      </c>
      <c r="AF83" s="54">
        <f t="shared" ref="AF83:AG83" si="158">ROUND(P83-X83,2)</f>
        <v>1</v>
      </c>
      <c r="AG83" s="54">
        <f t="shared" si="158"/>
        <v>1</v>
      </c>
      <c r="AH83" s="62"/>
      <c r="AI83" s="47"/>
      <c r="AJ83" s="47"/>
      <c r="AK83" s="47"/>
      <c r="AL83" s="47"/>
      <c r="AM83" s="47"/>
      <c r="AN83" s="47"/>
      <c r="AO83" s="47"/>
      <c r="AP83" s="76"/>
      <c r="AQ83" s="62"/>
      <c r="AR83" s="62"/>
      <c r="AS83" s="62"/>
      <c r="AT83" s="72"/>
      <c r="AU83" s="72"/>
      <c r="AV83" s="77"/>
      <c r="AW83" s="77"/>
      <c r="AX83" s="77"/>
      <c r="AY83" s="72"/>
      <c r="AZ83" s="54"/>
      <c r="BA83" s="57"/>
      <c r="BB83" s="58"/>
      <c r="BC83" s="57"/>
      <c r="BD83" s="57"/>
      <c r="BE83" s="59"/>
      <c r="BF83" s="47"/>
      <c r="BG83" s="47"/>
      <c r="BH83" s="47"/>
      <c r="BI83" s="47"/>
      <c r="BJ83" s="47"/>
      <c r="BK83" s="62"/>
      <c r="BL83" s="54"/>
      <c r="BM83" s="54"/>
      <c r="BN83" s="54"/>
      <c r="BO83" s="54"/>
      <c r="BP83" s="54"/>
    </row>
    <row r="84">
      <c r="A84" s="47">
        <v>80.0</v>
      </c>
      <c r="B84" s="80" t="s">
        <v>122</v>
      </c>
      <c r="C84" s="49" t="s">
        <v>93</v>
      </c>
      <c r="D84" s="97">
        <v>4.0</v>
      </c>
      <c r="E84" s="97">
        <v>0.0</v>
      </c>
      <c r="F84" s="97">
        <v>0.0</v>
      </c>
      <c r="G84" s="97">
        <v>0.0</v>
      </c>
      <c r="H84" s="97">
        <v>0.0</v>
      </c>
      <c r="I84" s="50">
        <v>0.0</v>
      </c>
      <c r="J84" s="99"/>
      <c r="K84" s="99"/>
      <c r="L84" s="99"/>
      <c r="M84" s="99"/>
      <c r="N84" s="99"/>
      <c r="O84" s="99"/>
      <c r="P84" s="52">
        <v>1.0</v>
      </c>
      <c r="Q84" s="52">
        <v>1.0</v>
      </c>
      <c r="R84" s="62"/>
      <c r="S84" s="47"/>
      <c r="T84" s="54"/>
      <c r="U84" s="54"/>
      <c r="V84" s="47"/>
      <c r="W84" s="47"/>
      <c r="X84" s="54"/>
      <c r="Y84" s="54"/>
      <c r="Z84" s="62"/>
      <c r="AA84" s="54">
        <f t="shared" ref="AA84:AE84" si="159">ROUND(E84*0.5+K84*0.5-S84,2)</f>
        <v>0</v>
      </c>
      <c r="AB84" s="54">
        <f t="shared" si="159"/>
        <v>0</v>
      </c>
      <c r="AC84" s="54">
        <f t="shared" si="159"/>
        <v>0</v>
      </c>
      <c r="AD84" s="54">
        <f t="shared" si="159"/>
        <v>0</v>
      </c>
      <c r="AE84" s="54">
        <f t="shared" si="159"/>
        <v>0</v>
      </c>
      <c r="AF84" s="54">
        <f t="shared" ref="AF84:AG84" si="160">ROUND(P84-X84,2)</f>
        <v>1</v>
      </c>
      <c r="AG84" s="54">
        <f t="shared" si="160"/>
        <v>1</v>
      </c>
      <c r="AH84" s="62"/>
      <c r="AI84" s="47"/>
      <c r="AJ84" s="47"/>
      <c r="AK84" s="47"/>
      <c r="AL84" s="47"/>
      <c r="AM84" s="47"/>
      <c r="AN84" s="47"/>
      <c r="AO84" s="47"/>
      <c r="AP84" s="76"/>
      <c r="AQ84" s="62"/>
      <c r="AR84" s="62"/>
      <c r="AS84" s="62"/>
      <c r="AT84" s="72"/>
      <c r="AU84" s="72"/>
      <c r="AV84" s="77"/>
      <c r="AW84" s="77"/>
      <c r="AX84" s="77"/>
      <c r="AY84" s="72"/>
      <c r="AZ84" s="54"/>
      <c r="BA84" s="57"/>
      <c r="BB84" s="58"/>
      <c r="BC84" s="57"/>
      <c r="BD84" s="57"/>
      <c r="BE84" s="59"/>
      <c r="BF84" s="47"/>
      <c r="BG84" s="47"/>
      <c r="BH84" s="47"/>
      <c r="BI84" s="47"/>
      <c r="BJ84" s="47"/>
      <c r="BK84" s="62"/>
      <c r="BL84" s="54"/>
      <c r="BM84" s="54"/>
      <c r="BN84" s="54"/>
      <c r="BO84" s="54"/>
      <c r="BP84" s="54"/>
    </row>
    <row r="85">
      <c r="A85" s="47">
        <v>81.0</v>
      </c>
      <c r="B85" s="80" t="s">
        <v>123</v>
      </c>
      <c r="C85" s="49" t="s">
        <v>93</v>
      </c>
      <c r="D85" s="97">
        <v>4.0</v>
      </c>
      <c r="E85" s="97">
        <v>0.0</v>
      </c>
      <c r="F85" s="97">
        <v>0.0</v>
      </c>
      <c r="G85" s="97">
        <v>0.0</v>
      </c>
      <c r="H85" s="97">
        <v>0.0</v>
      </c>
      <c r="I85" s="50">
        <v>0.0</v>
      </c>
      <c r="J85" s="99"/>
      <c r="K85" s="99"/>
      <c r="L85" s="99"/>
      <c r="M85" s="99"/>
      <c r="N85" s="99"/>
      <c r="O85" s="99"/>
      <c r="P85" s="52">
        <v>1.0</v>
      </c>
      <c r="Q85" s="52">
        <v>1.0</v>
      </c>
      <c r="R85" s="62"/>
      <c r="S85" s="47"/>
      <c r="T85" s="54"/>
      <c r="U85" s="54"/>
      <c r="V85" s="47"/>
      <c r="W85" s="47"/>
      <c r="X85" s="54"/>
      <c r="Y85" s="54"/>
      <c r="Z85" s="62"/>
      <c r="AA85" s="54">
        <f t="shared" ref="AA85:AE85" si="161">ROUND(E85*0.5+K85*0.5-S85,2)</f>
        <v>0</v>
      </c>
      <c r="AB85" s="54">
        <f t="shared" si="161"/>
        <v>0</v>
      </c>
      <c r="AC85" s="54">
        <f t="shared" si="161"/>
        <v>0</v>
      </c>
      <c r="AD85" s="54">
        <f t="shared" si="161"/>
        <v>0</v>
      </c>
      <c r="AE85" s="54">
        <f t="shared" si="161"/>
        <v>0</v>
      </c>
      <c r="AF85" s="54">
        <f t="shared" ref="AF85:AG85" si="162">ROUND(P85-X85,2)</f>
        <v>1</v>
      </c>
      <c r="AG85" s="54">
        <f t="shared" si="162"/>
        <v>1</v>
      </c>
      <c r="AH85" s="62"/>
      <c r="AI85" s="47"/>
      <c r="AJ85" s="47"/>
      <c r="AK85" s="47"/>
      <c r="AL85" s="47"/>
      <c r="AM85" s="47"/>
      <c r="AN85" s="47"/>
      <c r="AO85" s="47"/>
      <c r="AP85" s="76"/>
      <c r="AQ85" s="62"/>
      <c r="AR85" s="62"/>
      <c r="AS85" s="62"/>
      <c r="AT85" s="72"/>
      <c r="AU85" s="72"/>
      <c r="AV85" s="77"/>
      <c r="AW85" s="77"/>
      <c r="AX85" s="77"/>
      <c r="AY85" s="72"/>
      <c r="AZ85" s="54"/>
      <c r="BA85" s="57"/>
      <c r="BB85" s="58"/>
      <c r="BC85" s="58"/>
      <c r="BD85" s="57"/>
      <c r="BE85" s="59"/>
      <c r="BF85" s="60"/>
      <c r="BG85" s="61"/>
      <c r="BH85" s="61"/>
      <c r="BI85" s="61"/>
      <c r="BJ85" s="61"/>
      <c r="BK85" s="62"/>
      <c r="BL85" s="54"/>
      <c r="BM85" s="54"/>
      <c r="BN85" s="54"/>
      <c r="BO85" s="54"/>
      <c r="BP85" s="54"/>
    </row>
    <row r="86">
      <c r="A86" s="47">
        <v>82.0</v>
      </c>
      <c r="B86" s="80" t="s">
        <v>124</v>
      </c>
      <c r="C86" s="49" t="s">
        <v>93</v>
      </c>
      <c r="D86" s="97">
        <v>4.0</v>
      </c>
      <c r="E86" s="97">
        <v>0.0</v>
      </c>
      <c r="F86" s="97">
        <v>0.0</v>
      </c>
      <c r="G86" s="97">
        <v>0.0</v>
      </c>
      <c r="H86" s="97">
        <v>0.0</v>
      </c>
      <c r="I86" s="50">
        <v>0.0</v>
      </c>
      <c r="J86" s="99"/>
      <c r="K86" s="99"/>
      <c r="L86" s="99"/>
      <c r="M86" s="99"/>
      <c r="N86" s="99"/>
      <c r="O86" s="99"/>
      <c r="P86" s="52">
        <v>1.0</v>
      </c>
      <c r="Q86" s="52">
        <v>1.0</v>
      </c>
      <c r="R86" s="62"/>
      <c r="S86" s="47"/>
      <c r="T86" s="54"/>
      <c r="U86" s="54"/>
      <c r="V86" s="47"/>
      <c r="W86" s="47"/>
      <c r="X86" s="54"/>
      <c r="Y86" s="54"/>
      <c r="Z86" s="62"/>
      <c r="AA86" s="54">
        <f t="shared" ref="AA86:AE86" si="163">ROUND(E86*0.5+K86*0.5-S86,2)</f>
        <v>0</v>
      </c>
      <c r="AB86" s="54">
        <f t="shared" si="163"/>
        <v>0</v>
      </c>
      <c r="AC86" s="54">
        <f t="shared" si="163"/>
        <v>0</v>
      </c>
      <c r="AD86" s="54">
        <f t="shared" si="163"/>
        <v>0</v>
      </c>
      <c r="AE86" s="54">
        <f t="shared" si="163"/>
        <v>0</v>
      </c>
      <c r="AF86" s="54">
        <f t="shared" ref="AF86:AG86" si="164">ROUND(P86-X86,2)</f>
        <v>1</v>
      </c>
      <c r="AG86" s="54">
        <f t="shared" si="164"/>
        <v>1</v>
      </c>
      <c r="AH86" s="62"/>
      <c r="AI86" s="47"/>
      <c r="AJ86" s="47"/>
      <c r="AK86" s="47"/>
      <c r="AL86" s="47"/>
      <c r="AM86" s="47"/>
      <c r="AN86" s="47"/>
      <c r="AO86" s="47"/>
      <c r="AP86" s="76"/>
      <c r="AQ86" s="62"/>
      <c r="AR86" s="62"/>
      <c r="AS86" s="62"/>
      <c r="AT86" s="54"/>
      <c r="AU86" s="54"/>
      <c r="AV86" s="54"/>
      <c r="AW86" s="54"/>
      <c r="AX86" s="54"/>
      <c r="AY86" s="54"/>
      <c r="AZ86" s="54"/>
      <c r="BA86" s="57"/>
      <c r="BB86" s="57"/>
      <c r="BC86" s="57"/>
      <c r="BD86" s="57"/>
      <c r="BE86" s="59"/>
      <c r="BF86" s="60"/>
      <c r="BG86" s="61"/>
      <c r="BH86" s="61"/>
      <c r="BI86" s="61"/>
      <c r="BJ86" s="61"/>
      <c r="BK86" s="62"/>
      <c r="BL86" s="54"/>
      <c r="BM86" s="54"/>
      <c r="BN86" s="54"/>
      <c r="BO86" s="54"/>
      <c r="BP86" s="54"/>
    </row>
    <row r="87">
      <c r="A87" s="47">
        <v>83.0</v>
      </c>
      <c r="B87" s="80" t="s">
        <v>125</v>
      </c>
      <c r="C87" s="49" t="s">
        <v>93</v>
      </c>
      <c r="D87" s="97">
        <v>4.0</v>
      </c>
      <c r="E87" s="97">
        <v>0.0</v>
      </c>
      <c r="F87" s="97">
        <v>0.0</v>
      </c>
      <c r="G87" s="97">
        <v>0.0</v>
      </c>
      <c r="H87" s="97">
        <v>0.0</v>
      </c>
      <c r="I87" s="50">
        <v>0.0</v>
      </c>
      <c r="J87" s="99"/>
      <c r="K87" s="99"/>
      <c r="L87" s="99"/>
      <c r="M87" s="99"/>
      <c r="N87" s="99"/>
      <c r="O87" s="99"/>
      <c r="P87" s="52">
        <v>1.0</v>
      </c>
      <c r="Q87" s="52">
        <v>1.0</v>
      </c>
      <c r="R87" s="62"/>
      <c r="S87" s="47"/>
      <c r="T87" s="54"/>
      <c r="U87" s="54"/>
      <c r="V87" s="47"/>
      <c r="W87" s="47"/>
      <c r="X87" s="54"/>
      <c r="Y87" s="54"/>
      <c r="Z87" s="62"/>
      <c r="AA87" s="54">
        <f t="shared" ref="AA87:AE87" si="165">ROUND(E87*0.5+K87*0.5-S87,2)</f>
        <v>0</v>
      </c>
      <c r="AB87" s="54">
        <f t="shared" si="165"/>
        <v>0</v>
      </c>
      <c r="AC87" s="54">
        <f t="shared" si="165"/>
        <v>0</v>
      </c>
      <c r="AD87" s="54">
        <f t="shared" si="165"/>
        <v>0</v>
      </c>
      <c r="AE87" s="54">
        <f t="shared" si="165"/>
        <v>0</v>
      </c>
      <c r="AF87" s="54">
        <f t="shared" ref="AF87:AG87" si="166">ROUND(P87-X87,2)</f>
        <v>1</v>
      </c>
      <c r="AG87" s="54">
        <f t="shared" si="166"/>
        <v>1</v>
      </c>
      <c r="AH87" s="62"/>
      <c r="AI87" s="47"/>
      <c r="AJ87" s="47"/>
      <c r="AK87" s="47"/>
      <c r="AL87" s="47"/>
      <c r="AM87" s="47"/>
      <c r="AN87" s="47"/>
      <c r="AO87" s="47"/>
      <c r="AP87" s="76"/>
      <c r="AQ87" s="62"/>
      <c r="AR87" s="62"/>
      <c r="AS87" s="62"/>
      <c r="AT87" s="54"/>
      <c r="AU87" s="54"/>
      <c r="AV87" s="54"/>
      <c r="AW87" s="54"/>
      <c r="AX87" s="54"/>
      <c r="AY87" s="54"/>
      <c r="AZ87" s="54"/>
      <c r="BA87" s="57"/>
      <c r="BB87" s="58"/>
      <c r="BC87" s="57"/>
      <c r="BD87" s="57"/>
      <c r="BE87" s="59"/>
      <c r="BF87" s="68"/>
      <c r="BG87" s="69"/>
      <c r="BH87" s="69"/>
      <c r="BI87" s="69"/>
      <c r="BJ87" s="69"/>
      <c r="BK87" s="62"/>
      <c r="BL87" s="54"/>
      <c r="BM87" s="54"/>
      <c r="BN87" s="54"/>
      <c r="BO87" s="54"/>
      <c r="BP87" s="54"/>
    </row>
    <row r="88">
      <c r="A88" s="47">
        <v>84.0</v>
      </c>
      <c r="B88" s="80" t="s">
        <v>126</v>
      </c>
      <c r="C88" s="100" t="s">
        <v>127</v>
      </c>
      <c r="D88" s="97">
        <v>0.0</v>
      </c>
      <c r="E88" s="97">
        <v>0.5</v>
      </c>
      <c r="F88" s="97">
        <v>0.3</v>
      </c>
      <c r="G88" s="97">
        <v>0.0</v>
      </c>
      <c r="H88" s="97">
        <v>0.0</v>
      </c>
      <c r="I88" s="97">
        <v>0.2</v>
      </c>
      <c r="J88" s="99"/>
      <c r="K88" s="99"/>
      <c r="L88" s="99"/>
      <c r="M88" s="99"/>
      <c r="N88" s="99"/>
      <c r="O88" s="99"/>
      <c r="P88" s="52">
        <v>1.0</v>
      </c>
      <c r="Q88" s="52">
        <v>1.0</v>
      </c>
      <c r="R88" s="62"/>
      <c r="S88" s="47"/>
      <c r="T88" s="54"/>
      <c r="U88" s="54"/>
      <c r="V88" s="47"/>
      <c r="W88" s="47"/>
      <c r="X88" s="54"/>
      <c r="Y88" s="54"/>
      <c r="Z88" s="62"/>
      <c r="AA88" s="54">
        <f t="shared" ref="AA88:AE88" si="167">ROUND(E88*0.5+K88*0.5-S88,2)</f>
        <v>0.25</v>
      </c>
      <c r="AB88" s="54">
        <f t="shared" si="167"/>
        <v>0.15</v>
      </c>
      <c r="AC88" s="54">
        <f t="shared" si="167"/>
        <v>0</v>
      </c>
      <c r="AD88" s="54">
        <f t="shared" si="167"/>
        <v>0</v>
      </c>
      <c r="AE88" s="54">
        <f t="shared" si="167"/>
        <v>0.1</v>
      </c>
      <c r="AF88" s="54">
        <f t="shared" ref="AF88:AG88" si="168">ROUND(P88-X88,2)</f>
        <v>1</v>
      </c>
      <c r="AG88" s="54">
        <f t="shared" si="168"/>
        <v>1</v>
      </c>
      <c r="AH88" s="62"/>
      <c r="AI88" s="47"/>
      <c r="AJ88" s="47"/>
      <c r="AK88" s="47"/>
      <c r="AL88" s="47"/>
      <c r="AM88" s="47"/>
      <c r="AN88" s="47"/>
      <c r="AO88" s="47"/>
      <c r="AP88" s="52"/>
      <c r="AQ88" s="62"/>
      <c r="AR88" s="62"/>
      <c r="AS88" s="62"/>
      <c r="AT88" s="54"/>
      <c r="AU88" s="54"/>
      <c r="AV88" s="54"/>
      <c r="AW88" s="54"/>
      <c r="AX88" s="54"/>
      <c r="AY88" s="54"/>
      <c r="AZ88" s="54"/>
      <c r="BA88" s="57"/>
      <c r="BB88" s="58"/>
      <c r="BC88" s="57"/>
      <c r="BD88" s="57"/>
      <c r="BE88" s="59"/>
      <c r="BF88" s="68"/>
      <c r="BG88" s="69"/>
      <c r="BH88" s="69"/>
      <c r="BI88" s="69"/>
      <c r="BJ88" s="69"/>
      <c r="BK88" s="62"/>
      <c r="BL88" s="54"/>
      <c r="BM88" s="54"/>
      <c r="BN88" s="54"/>
      <c r="BO88" s="54"/>
      <c r="BP88" s="54"/>
    </row>
    <row r="89">
      <c r="A89" s="47">
        <v>85.0</v>
      </c>
      <c r="B89" s="80" t="s">
        <v>128</v>
      </c>
      <c r="C89" s="100" t="s">
        <v>127</v>
      </c>
      <c r="D89" s="97">
        <v>2.0</v>
      </c>
      <c r="E89" s="97">
        <v>1.0</v>
      </c>
      <c r="F89" s="97">
        <v>0.7</v>
      </c>
      <c r="G89" s="97">
        <v>0.3</v>
      </c>
      <c r="H89" s="97">
        <v>0.0</v>
      </c>
      <c r="I89" s="97">
        <v>0.0</v>
      </c>
      <c r="J89" s="99"/>
      <c r="K89" s="99"/>
      <c r="L89" s="99"/>
      <c r="M89" s="99"/>
      <c r="N89" s="99"/>
      <c r="O89" s="99"/>
      <c r="P89" s="52">
        <v>1.0</v>
      </c>
      <c r="Q89" s="52">
        <v>1.0</v>
      </c>
      <c r="R89" s="62"/>
      <c r="S89" s="47">
        <v>0.03</v>
      </c>
      <c r="T89" s="54"/>
      <c r="U89" s="54"/>
      <c r="V89" s="47"/>
      <c r="W89" s="47"/>
      <c r="X89" s="54"/>
      <c r="Y89" s="47">
        <v>0.24</v>
      </c>
      <c r="Z89" s="62"/>
      <c r="AA89" s="54">
        <f t="shared" ref="AA89:AE89" si="169">ROUND(E89*0.5+K89*0.5-S89,2)</f>
        <v>0.47</v>
      </c>
      <c r="AB89" s="54">
        <f t="shared" si="169"/>
        <v>0.35</v>
      </c>
      <c r="AC89" s="54">
        <f t="shared" si="169"/>
        <v>0.15</v>
      </c>
      <c r="AD89" s="54">
        <f t="shared" si="169"/>
        <v>0</v>
      </c>
      <c r="AE89" s="54">
        <f t="shared" si="169"/>
        <v>0</v>
      </c>
      <c r="AF89" s="54">
        <f t="shared" ref="AF89:AG89" si="170">ROUND(P89-X89,2)</f>
        <v>1</v>
      </c>
      <c r="AG89" s="54">
        <f t="shared" si="170"/>
        <v>0.76</v>
      </c>
      <c r="AH89" s="62"/>
      <c r="AI89" s="47"/>
      <c r="AJ89" s="47"/>
      <c r="AK89" s="47"/>
      <c r="AL89" s="47"/>
      <c r="AM89" s="47"/>
      <c r="AN89" s="47"/>
      <c r="AO89" s="47"/>
      <c r="AP89" s="76"/>
      <c r="AQ89" s="62"/>
      <c r="AR89" s="62"/>
      <c r="AS89" s="62"/>
      <c r="AT89" s="54"/>
      <c r="AU89" s="54"/>
      <c r="AV89" s="54"/>
      <c r="AW89" s="54"/>
      <c r="AX89" s="54"/>
      <c r="AY89" s="54"/>
      <c r="AZ89" s="54"/>
      <c r="BA89" s="57"/>
      <c r="BB89" s="57"/>
      <c r="BC89" s="57"/>
      <c r="BD89" s="57"/>
      <c r="BE89" s="59"/>
      <c r="BF89" s="68"/>
      <c r="BG89" s="69"/>
      <c r="BH89" s="69"/>
      <c r="BI89" s="69"/>
      <c r="BJ89" s="69"/>
      <c r="BK89" s="62"/>
      <c r="BL89" s="54"/>
      <c r="BM89" s="54"/>
      <c r="BN89" s="54"/>
      <c r="BO89" s="54"/>
      <c r="BP89" s="54"/>
    </row>
    <row r="90">
      <c r="A90" s="47">
        <v>86.0</v>
      </c>
      <c r="B90" s="80" t="s">
        <v>129</v>
      </c>
      <c r="C90" s="100" t="s">
        <v>127</v>
      </c>
      <c r="D90" s="97">
        <v>2.33</v>
      </c>
      <c r="E90" s="97">
        <v>0.97</v>
      </c>
      <c r="F90" s="97">
        <v>0.5</v>
      </c>
      <c r="G90" s="97">
        <v>0.2</v>
      </c>
      <c r="H90" s="97">
        <v>0.0</v>
      </c>
      <c r="I90" s="97">
        <v>0.0</v>
      </c>
      <c r="J90" s="99"/>
      <c r="K90" s="99"/>
      <c r="L90" s="99"/>
      <c r="M90" s="99"/>
      <c r="N90" s="99"/>
      <c r="O90" s="99"/>
      <c r="P90" s="52">
        <v>1.0</v>
      </c>
      <c r="Q90" s="52">
        <v>1.0</v>
      </c>
      <c r="R90" s="62"/>
      <c r="S90" s="47"/>
      <c r="T90" s="54"/>
      <c r="U90" s="54"/>
      <c r="V90" s="47"/>
      <c r="W90" s="47"/>
      <c r="X90" s="54"/>
      <c r="Y90" s="47"/>
      <c r="Z90" s="62"/>
      <c r="AA90" s="54">
        <f t="shared" ref="AA90:AE90" si="171">ROUND(E90*0.5+K90*0.5-S90,2)</f>
        <v>0.49</v>
      </c>
      <c r="AB90" s="54">
        <f t="shared" si="171"/>
        <v>0.25</v>
      </c>
      <c r="AC90" s="54">
        <f t="shared" si="171"/>
        <v>0.1</v>
      </c>
      <c r="AD90" s="54">
        <f t="shared" si="171"/>
        <v>0</v>
      </c>
      <c r="AE90" s="54">
        <f t="shared" si="171"/>
        <v>0</v>
      </c>
      <c r="AF90" s="54">
        <f t="shared" ref="AF90:AG90" si="172">ROUND(P90-X90,2)</f>
        <v>1</v>
      </c>
      <c r="AG90" s="54">
        <f t="shared" si="172"/>
        <v>1</v>
      </c>
      <c r="AH90" s="62"/>
      <c r="AI90" s="47"/>
      <c r="AJ90" s="47"/>
      <c r="AK90" s="47"/>
      <c r="AL90" s="47"/>
      <c r="AM90" s="47"/>
      <c r="AN90" s="47"/>
      <c r="AO90" s="47"/>
      <c r="AP90" s="76"/>
      <c r="AQ90" s="62"/>
      <c r="AR90" s="62"/>
      <c r="AS90" s="62"/>
      <c r="AT90" s="54"/>
      <c r="AU90" s="54"/>
      <c r="AV90" s="54"/>
      <c r="AW90" s="54"/>
      <c r="AX90" s="54"/>
      <c r="AY90" s="54"/>
      <c r="AZ90" s="54"/>
      <c r="BA90" s="57"/>
      <c r="BB90" s="58"/>
      <c r="BC90" s="57"/>
      <c r="BD90" s="57"/>
      <c r="BE90" s="59"/>
      <c r="BF90" s="60"/>
      <c r="BG90" s="61"/>
      <c r="BH90" s="61"/>
      <c r="BI90" s="61"/>
      <c r="BJ90" s="61"/>
      <c r="BK90" s="62"/>
      <c r="BL90" s="54"/>
      <c r="BM90" s="54"/>
      <c r="BN90" s="54"/>
      <c r="BO90" s="54"/>
      <c r="BP90" s="54"/>
    </row>
    <row r="91">
      <c r="A91" s="47">
        <v>87.0</v>
      </c>
      <c r="B91" s="80" t="s">
        <v>130</v>
      </c>
      <c r="C91" s="100" t="s">
        <v>127</v>
      </c>
      <c r="D91" s="97">
        <v>1.33</v>
      </c>
      <c r="E91" s="97">
        <v>1.5</v>
      </c>
      <c r="F91" s="97">
        <v>0.0</v>
      </c>
      <c r="G91" s="97">
        <v>0.2</v>
      </c>
      <c r="H91" s="97">
        <v>0.37</v>
      </c>
      <c r="I91" s="97">
        <v>0.6</v>
      </c>
      <c r="J91" s="99"/>
      <c r="K91" s="99"/>
      <c r="L91" s="98"/>
      <c r="M91" s="98"/>
      <c r="N91" s="98"/>
      <c r="O91" s="98"/>
      <c r="P91" s="52">
        <v>1.0</v>
      </c>
      <c r="Q91" s="52">
        <v>1.0</v>
      </c>
      <c r="R91" s="62"/>
      <c r="S91" s="47"/>
      <c r="T91" s="54"/>
      <c r="U91" s="54"/>
      <c r="V91" s="47"/>
      <c r="W91" s="47"/>
      <c r="X91" s="54"/>
      <c r="Y91" s="54"/>
      <c r="Z91" s="62"/>
      <c r="AA91" s="54">
        <f t="shared" ref="AA91:AE91" si="173">ROUND(E91*0.5+K91*0.5-S91,2)</f>
        <v>0.75</v>
      </c>
      <c r="AB91" s="54">
        <f t="shared" si="173"/>
        <v>0</v>
      </c>
      <c r="AC91" s="54">
        <f t="shared" si="173"/>
        <v>0.1</v>
      </c>
      <c r="AD91" s="54">
        <f t="shared" si="173"/>
        <v>0.19</v>
      </c>
      <c r="AE91" s="54">
        <f t="shared" si="173"/>
        <v>0.3</v>
      </c>
      <c r="AF91" s="54">
        <f t="shared" ref="AF91:AG91" si="174">ROUND(P91-X91,2)</f>
        <v>1</v>
      </c>
      <c r="AG91" s="54">
        <f t="shared" si="174"/>
        <v>1</v>
      </c>
      <c r="AH91" s="62"/>
      <c r="AI91" s="47"/>
      <c r="AJ91" s="47"/>
      <c r="AK91" s="47"/>
      <c r="AL91" s="47"/>
      <c r="AM91" s="47"/>
      <c r="AN91" s="47"/>
      <c r="AO91" s="47"/>
      <c r="AP91" s="76"/>
      <c r="AQ91" s="62"/>
      <c r="AR91" s="62"/>
      <c r="AS91" s="62"/>
      <c r="AT91" s="54"/>
      <c r="AU91" s="54"/>
      <c r="AV91" s="54"/>
      <c r="AW91" s="54"/>
      <c r="AX91" s="54"/>
      <c r="AY91" s="54"/>
      <c r="AZ91" s="54"/>
      <c r="BA91" s="57"/>
      <c r="BB91" s="57"/>
      <c r="BC91" s="57"/>
      <c r="BD91" s="57"/>
      <c r="BE91" s="59"/>
      <c r="BF91" s="68"/>
      <c r="BG91" s="69"/>
      <c r="BH91" s="69"/>
      <c r="BI91" s="69"/>
      <c r="BJ91" s="69"/>
      <c r="BK91" s="62"/>
      <c r="BL91" s="54"/>
      <c r="BM91" s="54"/>
      <c r="BN91" s="54"/>
      <c r="BO91" s="54"/>
      <c r="BP91" s="54"/>
    </row>
    <row r="92">
      <c r="A92" s="47">
        <v>88.0</v>
      </c>
      <c r="B92" s="80" t="s">
        <v>131</v>
      </c>
      <c r="C92" s="100" t="s">
        <v>127</v>
      </c>
      <c r="D92" s="97">
        <v>2.3</v>
      </c>
      <c r="E92" s="97">
        <v>0.9</v>
      </c>
      <c r="F92" s="97">
        <v>0.3</v>
      </c>
      <c r="G92" s="97">
        <v>0.2</v>
      </c>
      <c r="H92" s="97">
        <v>0.3</v>
      </c>
      <c r="I92" s="97">
        <v>0.0</v>
      </c>
      <c r="J92" s="99"/>
      <c r="K92" s="99"/>
      <c r="L92" s="99"/>
      <c r="M92" s="99"/>
      <c r="N92" s="99"/>
      <c r="O92" s="98"/>
      <c r="P92" s="52">
        <v>1.0</v>
      </c>
      <c r="Q92" s="52">
        <v>1.0</v>
      </c>
      <c r="R92" s="62"/>
      <c r="S92" s="47"/>
      <c r="T92" s="54"/>
      <c r="U92" s="47">
        <v>0.03</v>
      </c>
      <c r="V92" s="47">
        <v>0.08</v>
      </c>
      <c r="W92" s="47"/>
      <c r="X92" s="54"/>
      <c r="Y92" s="54"/>
      <c r="Z92" s="62"/>
      <c r="AA92" s="54">
        <f t="shared" ref="AA92:AE92" si="175">ROUND(E92*0.5+K92*0.5-S92,2)</f>
        <v>0.45</v>
      </c>
      <c r="AB92" s="54">
        <f t="shared" si="175"/>
        <v>0.15</v>
      </c>
      <c r="AC92" s="54">
        <f t="shared" si="175"/>
        <v>0.07</v>
      </c>
      <c r="AD92" s="54">
        <f t="shared" si="175"/>
        <v>0.07</v>
      </c>
      <c r="AE92" s="54">
        <f t="shared" si="175"/>
        <v>0</v>
      </c>
      <c r="AF92" s="54">
        <f t="shared" ref="AF92:AG92" si="176">ROUND(P92-X92,2)</f>
        <v>1</v>
      </c>
      <c r="AG92" s="54">
        <f t="shared" si="176"/>
        <v>1</v>
      </c>
      <c r="AH92" s="62"/>
      <c r="AI92" s="47"/>
      <c r="AJ92" s="47"/>
      <c r="AK92" s="47"/>
      <c r="AL92" s="47"/>
      <c r="AM92" s="47"/>
      <c r="AN92" s="47"/>
      <c r="AO92" s="47"/>
      <c r="AP92" s="76"/>
      <c r="AQ92" s="62"/>
      <c r="AR92" s="62"/>
      <c r="AS92" s="62"/>
      <c r="AT92" s="47">
        <v>0.06</v>
      </c>
      <c r="AU92" s="54"/>
      <c r="AV92" s="54"/>
      <c r="AW92" s="54"/>
      <c r="AX92" s="54"/>
      <c r="AY92" s="54"/>
      <c r="AZ92" s="54"/>
      <c r="BA92" s="57"/>
      <c r="BB92" s="58"/>
      <c r="BC92" s="57"/>
      <c r="BD92" s="57"/>
      <c r="BE92" s="59"/>
      <c r="BF92" s="68"/>
      <c r="BG92" s="69"/>
      <c r="BH92" s="69"/>
      <c r="BI92" s="69"/>
      <c r="BJ92" s="69"/>
      <c r="BK92" s="62"/>
      <c r="BL92" s="54"/>
      <c r="BM92" s="54"/>
      <c r="BN92" s="54"/>
      <c r="BO92" s="54"/>
      <c r="BP92" s="54"/>
    </row>
    <row r="93">
      <c r="A93" s="47">
        <v>89.0</v>
      </c>
      <c r="B93" s="80" t="s">
        <v>132</v>
      </c>
      <c r="C93" s="100" t="s">
        <v>127</v>
      </c>
      <c r="D93" s="97">
        <v>3.16</v>
      </c>
      <c r="E93" s="97">
        <v>0.34</v>
      </c>
      <c r="F93" s="97">
        <v>0.0</v>
      </c>
      <c r="G93" s="97">
        <v>0.2</v>
      </c>
      <c r="H93" s="97">
        <v>0.0</v>
      </c>
      <c r="I93" s="97">
        <v>0.3</v>
      </c>
      <c r="J93" s="99"/>
      <c r="K93" s="99"/>
      <c r="L93" s="99"/>
      <c r="M93" s="99"/>
      <c r="N93" s="99"/>
      <c r="O93" s="99"/>
      <c r="P93" s="52">
        <v>1.0</v>
      </c>
      <c r="Q93" s="52">
        <v>1.0</v>
      </c>
      <c r="R93" s="62"/>
      <c r="S93" s="47"/>
      <c r="T93" s="54"/>
      <c r="U93" s="54"/>
      <c r="V93" s="47"/>
      <c r="W93" s="47"/>
      <c r="X93" s="54"/>
      <c r="Y93" s="47"/>
      <c r="Z93" s="62"/>
      <c r="AA93" s="54">
        <f t="shared" ref="AA93:AE93" si="177">ROUND(E93*0.5+K93*0.5-S93,2)</f>
        <v>0.17</v>
      </c>
      <c r="AB93" s="54">
        <f t="shared" si="177"/>
        <v>0</v>
      </c>
      <c r="AC93" s="54">
        <f t="shared" si="177"/>
        <v>0.1</v>
      </c>
      <c r="AD93" s="54">
        <f t="shared" si="177"/>
        <v>0</v>
      </c>
      <c r="AE93" s="54">
        <f t="shared" si="177"/>
        <v>0.15</v>
      </c>
      <c r="AF93" s="54">
        <f t="shared" ref="AF93:AG93" si="178">ROUND(P93-X93,2)</f>
        <v>1</v>
      </c>
      <c r="AG93" s="54">
        <f t="shared" si="178"/>
        <v>1</v>
      </c>
      <c r="AH93" s="62"/>
      <c r="AI93" s="47"/>
      <c r="AJ93" s="47"/>
      <c r="AK93" s="47"/>
      <c r="AL93" s="47"/>
      <c r="AM93" s="47"/>
      <c r="AN93" s="47"/>
      <c r="AO93" s="47"/>
      <c r="AP93" s="76"/>
      <c r="AQ93" s="62"/>
      <c r="AR93" s="62"/>
      <c r="AS93" s="62"/>
      <c r="AT93" s="54"/>
      <c r="AU93" s="54"/>
      <c r="AV93" s="54"/>
      <c r="AW93" s="54"/>
      <c r="AX93" s="54"/>
      <c r="AY93" s="54"/>
      <c r="AZ93" s="54"/>
      <c r="BA93" s="57"/>
      <c r="BB93" s="58"/>
      <c r="BC93" s="57"/>
      <c r="BD93" s="57"/>
      <c r="BE93" s="59"/>
      <c r="BF93" s="68"/>
      <c r="BG93" s="69"/>
      <c r="BH93" s="69"/>
      <c r="BI93" s="69"/>
      <c r="BJ93" s="69"/>
      <c r="BK93" s="62"/>
      <c r="BL93" s="54"/>
      <c r="BM93" s="54"/>
      <c r="BN93" s="54"/>
      <c r="BO93" s="54"/>
      <c r="BP93" s="54"/>
    </row>
    <row r="94">
      <c r="A94" s="47">
        <v>90.0</v>
      </c>
      <c r="B94" s="80" t="s">
        <v>133</v>
      </c>
      <c r="C94" s="100" t="s">
        <v>127</v>
      </c>
      <c r="D94" s="97">
        <v>3.0</v>
      </c>
      <c r="E94" s="97">
        <v>0.3</v>
      </c>
      <c r="F94" s="97">
        <v>0.3</v>
      </c>
      <c r="G94" s="97">
        <v>0.4</v>
      </c>
      <c r="H94" s="97">
        <v>0.0</v>
      </c>
      <c r="I94" s="97">
        <v>0.0</v>
      </c>
      <c r="J94" s="99"/>
      <c r="K94" s="99"/>
      <c r="L94" s="99"/>
      <c r="M94" s="99"/>
      <c r="N94" s="99"/>
      <c r="O94" s="99"/>
      <c r="P94" s="52">
        <v>1.0</v>
      </c>
      <c r="Q94" s="52">
        <v>1.0</v>
      </c>
      <c r="R94" s="62"/>
      <c r="S94" s="47"/>
      <c r="T94" s="54"/>
      <c r="U94" s="54"/>
      <c r="V94" s="47"/>
      <c r="W94" s="47"/>
      <c r="X94" s="54"/>
      <c r="Y94" s="54"/>
      <c r="Z94" s="62"/>
      <c r="AA94" s="54">
        <f t="shared" ref="AA94:AE94" si="179">ROUND(E94*0.5+K94*0.5-S94,2)</f>
        <v>0.15</v>
      </c>
      <c r="AB94" s="54">
        <f t="shared" si="179"/>
        <v>0.15</v>
      </c>
      <c r="AC94" s="54">
        <f t="shared" si="179"/>
        <v>0.2</v>
      </c>
      <c r="AD94" s="54">
        <f t="shared" si="179"/>
        <v>0</v>
      </c>
      <c r="AE94" s="54">
        <f t="shared" si="179"/>
        <v>0</v>
      </c>
      <c r="AF94" s="54">
        <f t="shared" ref="AF94:AG94" si="180">ROUND(P94-X94,2)</f>
        <v>1</v>
      </c>
      <c r="AG94" s="54">
        <f t="shared" si="180"/>
        <v>1</v>
      </c>
      <c r="AH94" s="62"/>
      <c r="AI94" s="47"/>
      <c r="AJ94" s="47"/>
      <c r="AK94" s="47"/>
      <c r="AL94" s="47"/>
      <c r="AM94" s="47"/>
      <c r="AN94" s="47"/>
      <c r="AO94" s="47"/>
      <c r="AP94" s="76"/>
      <c r="AQ94" s="62"/>
      <c r="AR94" s="62"/>
      <c r="AS94" s="62"/>
      <c r="AT94" s="54"/>
      <c r="AU94" s="54"/>
      <c r="AV94" s="54"/>
      <c r="AW94" s="54"/>
      <c r="AX94" s="54"/>
      <c r="AY94" s="54"/>
      <c r="AZ94" s="54"/>
      <c r="BA94" s="57"/>
      <c r="BB94" s="58"/>
      <c r="BC94" s="57"/>
      <c r="BD94" s="57"/>
      <c r="BE94" s="59"/>
      <c r="BF94" s="68"/>
      <c r="BG94" s="69"/>
      <c r="BH94" s="69"/>
      <c r="BI94" s="69"/>
      <c r="BJ94" s="69"/>
      <c r="BK94" s="62"/>
      <c r="BL94" s="54"/>
      <c r="BM94" s="54"/>
      <c r="BN94" s="54"/>
      <c r="BO94" s="54"/>
      <c r="BP94" s="54"/>
    </row>
    <row r="95">
      <c r="A95" s="47">
        <v>91.0</v>
      </c>
      <c r="B95" s="80" t="s">
        <v>134</v>
      </c>
      <c r="C95" s="100" t="s">
        <v>127</v>
      </c>
      <c r="D95" s="97">
        <v>3.6</v>
      </c>
      <c r="E95" s="97">
        <v>0.0</v>
      </c>
      <c r="F95" s="97">
        <v>0.2</v>
      </c>
      <c r="G95" s="97">
        <v>0.2</v>
      </c>
      <c r="H95" s="97">
        <v>0.0</v>
      </c>
      <c r="I95" s="97">
        <v>0.0</v>
      </c>
      <c r="J95" s="99"/>
      <c r="K95" s="99"/>
      <c r="L95" s="99"/>
      <c r="M95" s="99"/>
      <c r="N95" s="99"/>
      <c r="O95" s="99"/>
      <c r="P95" s="52">
        <v>1.0</v>
      </c>
      <c r="Q95" s="52">
        <v>1.0</v>
      </c>
      <c r="R95" s="62"/>
      <c r="S95" s="47">
        <v>0.07</v>
      </c>
      <c r="T95" s="54"/>
      <c r="U95" s="47">
        <v>0.03</v>
      </c>
      <c r="V95" s="47"/>
      <c r="W95" s="47">
        <v>0.02</v>
      </c>
      <c r="X95" s="54"/>
      <c r="Y95" s="54"/>
      <c r="Z95" s="62"/>
      <c r="AA95" s="54">
        <f t="shared" ref="AA95:AE95" si="181">ROUND(E95*0.5+K95*0.5-S95,2)</f>
        <v>-0.07</v>
      </c>
      <c r="AB95" s="54">
        <f t="shared" si="181"/>
        <v>0.1</v>
      </c>
      <c r="AC95" s="54">
        <f t="shared" si="181"/>
        <v>0.07</v>
      </c>
      <c r="AD95" s="54">
        <f t="shared" si="181"/>
        <v>0</v>
      </c>
      <c r="AE95" s="54">
        <f t="shared" si="181"/>
        <v>-0.02</v>
      </c>
      <c r="AF95" s="54">
        <f t="shared" ref="AF95:AG95" si="182">ROUND(P95-X95,2)</f>
        <v>1</v>
      </c>
      <c r="AG95" s="54">
        <f t="shared" si="182"/>
        <v>1</v>
      </c>
      <c r="AH95" s="62"/>
      <c r="AI95" s="47"/>
      <c r="AJ95" s="47"/>
      <c r="AK95" s="47"/>
      <c r="AL95" s="47"/>
      <c r="AM95" s="47"/>
      <c r="AN95" s="47"/>
      <c r="AO95" s="47"/>
      <c r="AP95" s="70"/>
      <c r="AQ95" s="62"/>
      <c r="AR95" s="62"/>
      <c r="AS95" s="62"/>
      <c r="AT95" s="47">
        <v>1.46</v>
      </c>
      <c r="AU95" s="54"/>
      <c r="AV95" s="54"/>
      <c r="AW95" s="54"/>
      <c r="AX95" s="54"/>
      <c r="AY95" s="54"/>
      <c r="AZ95" s="54"/>
      <c r="BA95" s="57"/>
      <c r="BB95" s="58"/>
      <c r="BC95" s="57"/>
      <c r="BD95" s="57"/>
      <c r="BE95" s="59"/>
      <c r="BF95" s="60"/>
      <c r="BG95" s="61"/>
      <c r="BH95" s="61"/>
      <c r="BI95" s="61"/>
      <c r="BJ95" s="61"/>
      <c r="BK95" s="62"/>
      <c r="BL95" s="54"/>
      <c r="BM95" s="54"/>
      <c r="BN95" s="54"/>
      <c r="BO95" s="54"/>
      <c r="BP95" s="54"/>
    </row>
    <row r="96">
      <c r="A96" s="47">
        <v>92.0</v>
      </c>
      <c r="B96" s="80" t="s">
        <v>135</v>
      </c>
      <c r="C96" s="100" t="s">
        <v>127</v>
      </c>
      <c r="D96" s="97">
        <v>3.0</v>
      </c>
      <c r="E96" s="97">
        <v>0.6</v>
      </c>
      <c r="F96" s="97">
        <v>0.2</v>
      </c>
      <c r="G96" s="97">
        <v>0.2</v>
      </c>
      <c r="H96" s="97">
        <v>0.0</v>
      </c>
      <c r="I96" s="97">
        <v>0.0</v>
      </c>
      <c r="J96" s="99"/>
      <c r="K96" s="99"/>
      <c r="L96" s="99"/>
      <c r="M96" s="99"/>
      <c r="N96" s="99"/>
      <c r="O96" s="99"/>
      <c r="P96" s="52">
        <v>1.0</v>
      </c>
      <c r="Q96" s="52">
        <v>1.0</v>
      </c>
      <c r="R96" s="62"/>
      <c r="S96" s="47">
        <v>0.12</v>
      </c>
      <c r="T96" s="54"/>
      <c r="U96" s="47">
        <v>0.02</v>
      </c>
      <c r="V96" s="47"/>
      <c r="W96" s="47">
        <v>0.02</v>
      </c>
      <c r="X96" s="47"/>
      <c r="Y96" s="47"/>
      <c r="Z96" s="62"/>
      <c r="AA96" s="54">
        <f t="shared" ref="AA96:AE96" si="183">ROUND(E96*0.5+K96*0.5-S96,2)</f>
        <v>0.18</v>
      </c>
      <c r="AB96" s="54">
        <f t="shared" si="183"/>
        <v>0.1</v>
      </c>
      <c r="AC96" s="54">
        <f t="shared" si="183"/>
        <v>0.08</v>
      </c>
      <c r="AD96" s="54">
        <f t="shared" si="183"/>
        <v>0</v>
      </c>
      <c r="AE96" s="54">
        <f t="shared" si="183"/>
        <v>-0.02</v>
      </c>
      <c r="AF96" s="54">
        <f t="shared" ref="AF96:AG96" si="184">ROUND(P96-X96,2)</f>
        <v>1</v>
      </c>
      <c r="AG96" s="54">
        <f t="shared" si="184"/>
        <v>1</v>
      </c>
      <c r="AH96" s="62"/>
      <c r="AI96" s="47"/>
      <c r="AJ96" s="47"/>
      <c r="AK96" s="47"/>
      <c r="AL96" s="47"/>
      <c r="AM96" s="47"/>
      <c r="AN96" s="47"/>
      <c r="AO96" s="47"/>
      <c r="AP96" s="70"/>
      <c r="AQ96" s="62"/>
      <c r="AR96" s="62"/>
      <c r="AS96" s="62"/>
      <c r="AT96" s="54"/>
      <c r="AU96" s="54"/>
      <c r="AV96" s="54"/>
      <c r="AW96" s="54"/>
      <c r="AX96" s="54"/>
      <c r="AY96" s="54"/>
      <c r="AZ96" s="54"/>
      <c r="BA96" s="57"/>
      <c r="BB96" s="58"/>
      <c r="BC96" s="57"/>
      <c r="BD96" s="57"/>
      <c r="BE96" s="59"/>
      <c r="BF96" s="68"/>
      <c r="BG96" s="69"/>
      <c r="BH96" s="69"/>
      <c r="BI96" s="69"/>
      <c r="BJ96" s="69"/>
      <c r="BK96" s="62"/>
      <c r="BL96" s="54"/>
      <c r="BM96" s="54"/>
      <c r="BN96" s="54"/>
      <c r="BO96" s="54"/>
      <c r="BP96" s="54"/>
    </row>
    <row r="97">
      <c r="A97" s="47">
        <v>93.0</v>
      </c>
      <c r="B97" s="80" t="s">
        <v>136</v>
      </c>
      <c r="C97" s="100" t="s">
        <v>127</v>
      </c>
      <c r="D97" s="97">
        <v>3.6</v>
      </c>
      <c r="E97" s="97">
        <v>0.0</v>
      </c>
      <c r="F97" s="97">
        <v>0.2</v>
      </c>
      <c r="G97" s="97">
        <v>0.2</v>
      </c>
      <c r="H97" s="97">
        <v>0.0</v>
      </c>
      <c r="I97" s="97">
        <v>0.0</v>
      </c>
      <c r="J97" s="99"/>
      <c r="K97" s="99"/>
      <c r="L97" s="99"/>
      <c r="M97" s="99"/>
      <c r="N97" s="99"/>
      <c r="O97" s="99"/>
      <c r="P97" s="52">
        <v>1.0</v>
      </c>
      <c r="Q97" s="52">
        <v>1.0</v>
      </c>
      <c r="R97" s="62"/>
      <c r="S97" s="47">
        <v>0.35</v>
      </c>
      <c r="T97" s="54"/>
      <c r="U97" s="54"/>
      <c r="V97" s="47"/>
      <c r="W97" s="47"/>
      <c r="X97" s="54"/>
      <c r="Y97" s="47">
        <v>1.0</v>
      </c>
      <c r="Z97" s="62"/>
      <c r="AA97" s="54">
        <f t="shared" ref="AA97:AE97" si="185">ROUND(E97*0.5+K97*0.5-S97,2)</f>
        <v>-0.35</v>
      </c>
      <c r="AB97" s="54">
        <f t="shared" si="185"/>
        <v>0.1</v>
      </c>
      <c r="AC97" s="54">
        <f t="shared" si="185"/>
        <v>0.1</v>
      </c>
      <c r="AD97" s="54">
        <f t="shared" si="185"/>
        <v>0</v>
      </c>
      <c r="AE97" s="54">
        <f t="shared" si="185"/>
        <v>0</v>
      </c>
      <c r="AF97" s="54">
        <f t="shared" ref="AF97:AG97" si="186">ROUND(P97-X97,2)</f>
        <v>1</v>
      </c>
      <c r="AG97" s="54">
        <f t="shared" si="186"/>
        <v>0</v>
      </c>
      <c r="AH97" s="62"/>
      <c r="AI97" s="47"/>
      <c r="AJ97" s="47"/>
      <c r="AK97" s="47"/>
      <c r="AL97" s="47"/>
      <c r="AM97" s="47"/>
      <c r="AN97" s="47"/>
      <c r="AO97" s="47"/>
      <c r="AP97" s="76"/>
      <c r="AQ97" s="62"/>
      <c r="AR97" s="62"/>
      <c r="AS97" s="62"/>
      <c r="AT97" s="54"/>
      <c r="AU97" s="54"/>
      <c r="AV97" s="54"/>
      <c r="AW97" s="54"/>
      <c r="AX97" s="54"/>
      <c r="AY97" s="54"/>
      <c r="AZ97" s="54"/>
      <c r="BA97" s="57"/>
      <c r="BB97" s="58"/>
      <c r="BC97" s="57"/>
      <c r="BD97" s="57"/>
      <c r="BE97" s="59"/>
      <c r="BF97" s="47"/>
      <c r="BG97" s="47"/>
      <c r="BH97" s="47"/>
      <c r="BI97" s="47"/>
      <c r="BJ97" s="47"/>
      <c r="BK97" s="62"/>
      <c r="BL97" s="54"/>
      <c r="BM97" s="54"/>
      <c r="BN97" s="54"/>
      <c r="BO97" s="54"/>
      <c r="BP97" s="54"/>
    </row>
    <row r="98">
      <c r="A98" s="47">
        <v>94.0</v>
      </c>
      <c r="B98" s="80" t="s">
        <v>137</v>
      </c>
      <c r="C98" s="100" t="s">
        <v>127</v>
      </c>
      <c r="D98" s="97">
        <v>3.0</v>
      </c>
      <c r="E98" s="97">
        <v>0.5</v>
      </c>
      <c r="F98" s="97">
        <v>0.2</v>
      </c>
      <c r="G98" s="97">
        <v>0.0</v>
      </c>
      <c r="H98" s="97">
        <v>0.3</v>
      </c>
      <c r="I98" s="97">
        <v>0.0</v>
      </c>
      <c r="J98" s="99"/>
      <c r="K98" s="99"/>
      <c r="L98" s="99"/>
      <c r="M98" s="99"/>
      <c r="N98" s="99"/>
      <c r="O98" s="99"/>
      <c r="P98" s="52">
        <v>1.0</v>
      </c>
      <c r="Q98" s="52">
        <v>1.0</v>
      </c>
      <c r="R98" s="62"/>
      <c r="S98" s="47">
        <v>0.2</v>
      </c>
      <c r="T98" s="54"/>
      <c r="U98" s="54"/>
      <c r="V98" s="47">
        <v>0.14</v>
      </c>
      <c r="W98" s="47"/>
      <c r="X98" s="54"/>
      <c r="Y98" s="54"/>
      <c r="Z98" s="62"/>
      <c r="AA98" s="54">
        <f t="shared" ref="AA98:AE98" si="187">ROUND(E98*0.5+K98*0.5-S98,2)</f>
        <v>0.05</v>
      </c>
      <c r="AB98" s="54">
        <f t="shared" si="187"/>
        <v>0.1</v>
      </c>
      <c r="AC98" s="54">
        <f t="shared" si="187"/>
        <v>0</v>
      </c>
      <c r="AD98" s="54">
        <f t="shared" si="187"/>
        <v>0.01</v>
      </c>
      <c r="AE98" s="54">
        <f t="shared" si="187"/>
        <v>0</v>
      </c>
      <c r="AF98" s="54">
        <f t="shared" ref="AF98:AG98" si="188">ROUND(P98-X98,2)</f>
        <v>1</v>
      </c>
      <c r="AG98" s="54">
        <f t="shared" si="188"/>
        <v>1</v>
      </c>
      <c r="AH98" s="62"/>
      <c r="AI98" s="47"/>
      <c r="AJ98" s="47"/>
      <c r="AK98" s="47"/>
      <c r="AL98" s="47"/>
      <c r="AM98" s="47"/>
      <c r="AN98" s="47"/>
      <c r="AO98" s="47"/>
      <c r="AP98" s="76"/>
      <c r="AQ98" s="62"/>
      <c r="AR98" s="62"/>
      <c r="AS98" s="62"/>
      <c r="AT98" s="54"/>
      <c r="AU98" s="54"/>
      <c r="AV98" s="54"/>
      <c r="AW98" s="54"/>
      <c r="AX98" s="54"/>
      <c r="AY98" s="54"/>
      <c r="AZ98" s="54"/>
      <c r="BA98" s="57"/>
      <c r="BB98" s="58"/>
      <c r="BC98" s="57"/>
      <c r="BD98" s="57"/>
      <c r="BE98" s="59"/>
      <c r="BF98" s="47"/>
      <c r="BG98" s="47"/>
      <c r="BH98" s="47"/>
      <c r="BI98" s="47"/>
      <c r="BJ98" s="47"/>
      <c r="BK98" s="62"/>
      <c r="BL98" s="54"/>
      <c r="BM98" s="54"/>
      <c r="BN98" s="54"/>
      <c r="BO98" s="54"/>
      <c r="BP98" s="54"/>
    </row>
    <row r="99">
      <c r="A99" s="47">
        <v>95.0</v>
      </c>
      <c r="B99" s="80" t="s">
        <v>138</v>
      </c>
      <c r="C99" s="100" t="s">
        <v>127</v>
      </c>
      <c r="D99" s="97">
        <v>3.0</v>
      </c>
      <c r="E99" s="97">
        <v>0.6</v>
      </c>
      <c r="F99" s="97">
        <v>0.0</v>
      </c>
      <c r="G99" s="97">
        <v>0.0</v>
      </c>
      <c r="H99" s="97">
        <v>0.0</v>
      </c>
      <c r="I99" s="97">
        <v>0.4</v>
      </c>
      <c r="J99" s="99"/>
      <c r="K99" s="99"/>
      <c r="L99" s="99"/>
      <c r="M99" s="99"/>
      <c r="N99" s="99"/>
      <c r="O99" s="99"/>
      <c r="P99" s="52">
        <v>1.0</v>
      </c>
      <c r="Q99" s="52">
        <v>1.0</v>
      </c>
      <c r="R99" s="62"/>
      <c r="S99" s="47">
        <v>0.14</v>
      </c>
      <c r="T99" s="54"/>
      <c r="U99" s="54"/>
      <c r="V99" s="54"/>
      <c r="W99" s="54"/>
      <c r="X99" s="54"/>
      <c r="Y99" s="54"/>
      <c r="Z99" s="62"/>
      <c r="AA99" s="54">
        <f t="shared" ref="AA99:AE99" si="189">ROUND(E99*0.5+K99*0.5-S99,2)</f>
        <v>0.16</v>
      </c>
      <c r="AB99" s="54">
        <f t="shared" si="189"/>
        <v>0</v>
      </c>
      <c r="AC99" s="54">
        <f t="shared" si="189"/>
        <v>0</v>
      </c>
      <c r="AD99" s="54">
        <f t="shared" si="189"/>
        <v>0</v>
      </c>
      <c r="AE99" s="54">
        <f t="shared" si="189"/>
        <v>0.2</v>
      </c>
      <c r="AF99" s="54">
        <f t="shared" ref="AF99:AG99" si="190">ROUND(P99-X99,2)</f>
        <v>1</v>
      </c>
      <c r="AG99" s="54">
        <f t="shared" si="190"/>
        <v>1</v>
      </c>
      <c r="AH99" s="62"/>
      <c r="AI99" s="47"/>
      <c r="AJ99" s="47"/>
      <c r="AK99" s="47"/>
      <c r="AL99" s="47"/>
      <c r="AM99" s="47"/>
      <c r="AN99" s="47"/>
      <c r="AO99" s="47"/>
      <c r="AP99" s="52"/>
      <c r="AQ99" s="62"/>
      <c r="AR99" s="62"/>
      <c r="AS99" s="62"/>
      <c r="AT99" s="54"/>
      <c r="AU99" s="54"/>
      <c r="AV99" s="54"/>
      <c r="AW99" s="54"/>
      <c r="AX99" s="54"/>
      <c r="AY99" s="54"/>
      <c r="AZ99" s="54"/>
      <c r="BA99" s="57"/>
      <c r="BB99" s="57"/>
      <c r="BC99" s="57"/>
      <c r="BD99" s="57"/>
      <c r="BE99" s="59"/>
      <c r="BF99" s="47"/>
      <c r="BG99" s="47"/>
      <c r="BH99" s="47"/>
      <c r="BI99" s="47"/>
      <c r="BJ99" s="47"/>
      <c r="BK99" s="62"/>
      <c r="BL99" s="54"/>
      <c r="BM99" s="54"/>
      <c r="BN99" s="54"/>
      <c r="BO99" s="54"/>
      <c r="BP99" s="54"/>
    </row>
    <row r="100">
      <c r="A100" s="47">
        <v>96.0</v>
      </c>
      <c r="B100" s="101" t="s">
        <v>139</v>
      </c>
      <c r="C100" s="100" t="s">
        <v>127</v>
      </c>
      <c r="D100" s="97">
        <v>3.0</v>
      </c>
      <c r="E100" s="97">
        <v>1.0</v>
      </c>
      <c r="F100" s="97">
        <v>0.0</v>
      </c>
      <c r="G100" s="97">
        <v>0.0</v>
      </c>
      <c r="H100" s="97">
        <v>0.0</v>
      </c>
      <c r="I100" s="97">
        <v>0.0</v>
      </c>
      <c r="J100" s="99"/>
      <c r="K100" s="99"/>
      <c r="L100" s="99"/>
      <c r="M100" s="99"/>
      <c r="N100" s="99"/>
      <c r="O100" s="99"/>
      <c r="P100" s="52">
        <v>1.0</v>
      </c>
      <c r="Q100" s="52">
        <v>1.0</v>
      </c>
      <c r="R100" s="62"/>
      <c r="S100" s="47"/>
      <c r="T100" s="54"/>
      <c r="U100" s="54"/>
      <c r="V100" s="54"/>
      <c r="W100" s="54"/>
      <c r="X100" s="54"/>
      <c r="Y100" s="54"/>
      <c r="Z100" s="62"/>
      <c r="AA100" s="54">
        <f t="shared" ref="AA100:AE100" si="191">ROUND(E100*0.5+K100*0.5-S100,2)</f>
        <v>0.5</v>
      </c>
      <c r="AB100" s="54">
        <f t="shared" si="191"/>
        <v>0</v>
      </c>
      <c r="AC100" s="54">
        <f t="shared" si="191"/>
        <v>0</v>
      </c>
      <c r="AD100" s="54">
        <f t="shared" si="191"/>
        <v>0</v>
      </c>
      <c r="AE100" s="54">
        <f t="shared" si="191"/>
        <v>0</v>
      </c>
      <c r="AF100" s="54">
        <f t="shared" ref="AF100:AG100" si="192">ROUND(P100-X100,2)</f>
        <v>1</v>
      </c>
      <c r="AG100" s="54">
        <f t="shared" si="192"/>
        <v>1</v>
      </c>
      <c r="AH100" s="62"/>
      <c r="AI100" s="47"/>
      <c r="AJ100" s="47"/>
      <c r="AK100" s="47"/>
      <c r="AL100" s="47"/>
      <c r="AM100" s="47"/>
      <c r="AN100" s="47"/>
      <c r="AO100" s="47"/>
      <c r="AP100" s="52"/>
      <c r="AQ100" s="62"/>
      <c r="AR100" s="62"/>
      <c r="AS100" s="62"/>
      <c r="AT100" s="54"/>
      <c r="AU100" s="54"/>
      <c r="AV100" s="54"/>
      <c r="AW100" s="54"/>
      <c r="AX100" s="54"/>
      <c r="AY100" s="54"/>
      <c r="AZ100" s="54"/>
      <c r="BA100" s="57"/>
      <c r="BB100" s="58"/>
      <c r="BC100" s="57"/>
      <c r="BD100" s="57"/>
      <c r="BE100" s="59"/>
      <c r="BF100" s="47"/>
      <c r="BG100" s="47"/>
      <c r="BH100" s="47"/>
      <c r="BI100" s="47"/>
      <c r="BJ100" s="47"/>
      <c r="BK100" s="62"/>
      <c r="BL100" s="54"/>
      <c r="BM100" s="54"/>
      <c r="BN100" s="54"/>
      <c r="BO100" s="54"/>
      <c r="BP100" s="54"/>
    </row>
    <row r="101">
      <c r="A101" s="47">
        <v>97.0</v>
      </c>
      <c r="B101" s="101" t="s">
        <v>140</v>
      </c>
      <c r="C101" s="100" t="s">
        <v>127</v>
      </c>
      <c r="D101" s="97">
        <v>4.0</v>
      </c>
      <c r="E101" s="97">
        <v>0.0</v>
      </c>
      <c r="F101" s="97">
        <v>0.0</v>
      </c>
      <c r="G101" s="97">
        <v>0.0</v>
      </c>
      <c r="H101" s="97">
        <v>0.0</v>
      </c>
      <c r="I101" s="97">
        <v>0.0</v>
      </c>
      <c r="J101" s="99"/>
      <c r="K101" s="99"/>
      <c r="L101" s="99"/>
      <c r="M101" s="99"/>
      <c r="N101" s="99"/>
      <c r="O101" s="99"/>
      <c r="P101" s="52">
        <v>1.0</v>
      </c>
      <c r="Q101" s="52">
        <v>1.0</v>
      </c>
      <c r="R101" s="62"/>
      <c r="S101" s="54"/>
      <c r="T101" s="54"/>
      <c r="U101" s="54"/>
      <c r="V101" s="54"/>
      <c r="W101" s="54"/>
      <c r="X101" s="54"/>
      <c r="Y101" s="54"/>
      <c r="Z101" s="62"/>
      <c r="AA101" s="54">
        <f t="shared" ref="AA101:AE101" si="193">ROUND(E101*0.5+K101*0.5-S101,2)</f>
        <v>0</v>
      </c>
      <c r="AB101" s="54">
        <f t="shared" si="193"/>
        <v>0</v>
      </c>
      <c r="AC101" s="54">
        <f t="shared" si="193"/>
        <v>0</v>
      </c>
      <c r="AD101" s="54">
        <f t="shared" si="193"/>
        <v>0</v>
      </c>
      <c r="AE101" s="54">
        <f t="shared" si="193"/>
        <v>0</v>
      </c>
      <c r="AF101" s="54">
        <f t="shared" ref="AF101:AG101" si="194">ROUND(P101-X101,2)</f>
        <v>1</v>
      </c>
      <c r="AG101" s="54">
        <f t="shared" si="194"/>
        <v>1</v>
      </c>
      <c r="AH101" s="62"/>
      <c r="AI101" s="47"/>
      <c r="AJ101" s="47"/>
      <c r="AK101" s="47"/>
      <c r="AL101" s="47"/>
      <c r="AM101" s="47"/>
      <c r="AN101" s="47"/>
      <c r="AO101" s="47"/>
      <c r="AP101" s="76"/>
      <c r="AQ101" s="62"/>
      <c r="AR101" s="62"/>
      <c r="AS101" s="62"/>
      <c r="AT101" s="54"/>
      <c r="AU101" s="54"/>
      <c r="AV101" s="54"/>
      <c r="AW101" s="54"/>
      <c r="AX101" s="54"/>
      <c r="AY101" s="54"/>
      <c r="AZ101" s="54"/>
      <c r="BA101" s="57"/>
      <c r="BB101" s="58"/>
      <c r="BC101" s="57"/>
      <c r="BD101" s="57"/>
      <c r="BE101" s="59"/>
      <c r="BF101" s="47"/>
      <c r="BG101" s="47"/>
      <c r="BH101" s="47"/>
      <c r="BI101" s="47"/>
      <c r="BJ101" s="47"/>
      <c r="BK101" s="62"/>
      <c r="BL101" s="54"/>
      <c r="BM101" s="54"/>
      <c r="BN101" s="54"/>
      <c r="BO101" s="54"/>
      <c r="BP101" s="54"/>
    </row>
    <row r="102">
      <c r="A102" s="47">
        <v>98.0</v>
      </c>
      <c r="B102" s="101" t="s">
        <v>141</v>
      </c>
      <c r="C102" s="100" t="s">
        <v>127</v>
      </c>
      <c r="D102" s="97">
        <v>4.0</v>
      </c>
      <c r="E102" s="97">
        <v>0.0</v>
      </c>
      <c r="F102" s="97">
        <v>0.0</v>
      </c>
      <c r="G102" s="97">
        <v>0.0</v>
      </c>
      <c r="H102" s="97">
        <v>0.0</v>
      </c>
      <c r="I102" s="97">
        <v>0.0</v>
      </c>
      <c r="J102" s="99"/>
      <c r="K102" s="99"/>
      <c r="L102" s="99"/>
      <c r="M102" s="99"/>
      <c r="N102" s="99"/>
      <c r="O102" s="99"/>
      <c r="P102" s="52">
        <v>1.0</v>
      </c>
      <c r="Q102" s="52">
        <v>1.0</v>
      </c>
      <c r="R102" s="62"/>
      <c r="S102" s="47">
        <v>0.11</v>
      </c>
      <c r="T102" s="54"/>
      <c r="U102" s="54"/>
      <c r="V102" s="54"/>
      <c r="W102" s="54"/>
      <c r="X102" s="54"/>
      <c r="Y102" s="54"/>
      <c r="Z102" s="62"/>
      <c r="AA102" s="54">
        <f t="shared" ref="AA102:AE102" si="195">ROUND(E102*0.5+K102*0.5-S102,2)</f>
        <v>-0.11</v>
      </c>
      <c r="AB102" s="54">
        <f t="shared" si="195"/>
        <v>0</v>
      </c>
      <c r="AC102" s="54">
        <f t="shared" si="195"/>
        <v>0</v>
      </c>
      <c r="AD102" s="54">
        <f t="shared" si="195"/>
        <v>0</v>
      </c>
      <c r="AE102" s="54">
        <f t="shared" si="195"/>
        <v>0</v>
      </c>
      <c r="AF102" s="54">
        <f t="shared" ref="AF102:AG102" si="196">ROUND(P102-X102,2)</f>
        <v>1</v>
      </c>
      <c r="AG102" s="54">
        <f t="shared" si="196"/>
        <v>1</v>
      </c>
      <c r="AH102" s="62"/>
      <c r="AI102" s="47"/>
      <c r="AJ102" s="47"/>
      <c r="AK102" s="47"/>
      <c r="AL102" s="47"/>
      <c r="AM102" s="47"/>
      <c r="AN102" s="47"/>
      <c r="AO102" s="47"/>
      <c r="AP102" s="52"/>
      <c r="AQ102" s="62"/>
      <c r="AR102" s="62"/>
      <c r="AS102" s="62"/>
      <c r="AT102" s="72"/>
      <c r="AU102" s="72"/>
      <c r="AV102" s="54"/>
      <c r="AW102" s="54"/>
      <c r="AX102" s="54"/>
      <c r="AY102" s="54"/>
      <c r="AZ102" s="72"/>
      <c r="BA102" s="72"/>
      <c r="BB102" s="58"/>
      <c r="BC102" s="58"/>
      <c r="BD102" s="57"/>
      <c r="BE102" s="59"/>
      <c r="BF102" s="47"/>
      <c r="BG102" s="47"/>
      <c r="BH102" s="47"/>
      <c r="BI102" s="47"/>
      <c r="BJ102" s="47"/>
      <c r="BK102" s="62"/>
      <c r="BL102" s="54"/>
      <c r="BM102" s="54"/>
      <c r="BN102" s="54"/>
      <c r="BO102" s="54"/>
      <c r="BP102" s="54"/>
    </row>
    <row r="103">
      <c r="A103" s="47">
        <v>99.0</v>
      </c>
      <c r="B103" s="101" t="s">
        <v>142</v>
      </c>
      <c r="C103" s="100" t="s">
        <v>127</v>
      </c>
      <c r="D103" s="97">
        <v>2.66</v>
      </c>
      <c r="E103" s="97">
        <v>1.0</v>
      </c>
      <c r="F103" s="97">
        <v>0.0</v>
      </c>
      <c r="G103" s="97">
        <v>0.34</v>
      </c>
      <c r="H103" s="97">
        <v>0.0</v>
      </c>
      <c r="I103" s="97">
        <v>0.0</v>
      </c>
      <c r="J103" s="99"/>
      <c r="K103" s="99"/>
      <c r="L103" s="99"/>
      <c r="M103" s="99"/>
      <c r="N103" s="99"/>
      <c r="O103" s="99"/>
      <c r="P103" s="52">
        <v>1.0</v>
      </c>
      <c r="Q103" s="52">
        <v>1.0</v>
      </c>
      <c r="R103" s="62"/>
      <c r="S103" s="47">
        <v>0.14</v>
      </c>
      <c r="T103" s="54"/>
      <c r="U103" s="54"/>
      <c r="V103" s="54"/>
      <c r="W103" s="54"/>
      <c r="X103" s="54"/>
      <c r="Y103" s="47">
        <v>0.42</v>
      </c>
      <c r="Z103" s="62"/>
      <c r="AA103" s="54">
        <f t="shared" ref="AA103:AE103" si="197">ROUND(E103*0.5+K103*0.5-S103,2)</f>
        <v>0.36</v>
      </c>
      <c r="AB103" s="54">
        <f t="shared" si="197"/>
        <v>0</v>
      </c>
      <c r="AC103" s="54">
        <f t="shared" si="197"/>
        <v>0.17</v>
      </c>
      <c r="AD103" s="54">
        <f t="shared" si="197"/>
        <v>0</v>
      </c>
      <c r="AE103" s="54">
        <f t="shared" si="197"/>
        <v>0</v>
      </c>
      <c r="AF103" s="54">
        <f t="shared" ref="AF103:AG103" si="198">ROUND(P103-X103,2)</f>
        <v>1</v>
      </c>
      <c r="AG103" s="54">
        <f t="shared" si="198"/>
        <v>0.58</v>
      </c>
      <c r="AH103" s="62"/>
      <c r="AI103" s="47"/>
      <c r="AJ103" s="47"/>
      <c r="AK103" s="47"/>
      <c r="AL103" s="47"/>
      <c r="AM103" s="47"/>
      <c r="AN103" s="47"/>
      <c r="AO103" s="47"/>
      <c r="AP103" s="52"/>
      <c r="AQ103" s="62"/>
      <c r="AR103" s="62"/>
      <c r="AS103" s="62"/>
      <c r="AT103" s="54"/>
      <c r="AU103" s="54"/>
      <c r="AV103" s="54"/>
      <c r="AW103" s="54"/>
      <c r="AX103" s="54"/>
      <c r="AY103" s="54"/>
      <c r="AZ103" s="54"/>
      <c r="BA103" s="57"/>
      <c r="BB103" s="58"/>
      <c r="BC103" s="57"/>
      <c r="BD103" s="57"/>
      <c r="BE103" s="59"/>
      <c r="BF103" s="47"/>
      <c r="BG103" s="47"/>
      <c r="BH103" s="47"/>
      <c r="BI103" s="47"/>
      <c r="BJ103" s="47"/>
      <c r="BK103" s="62"/>
      <c r="BL103" s="54"/>
      <c r="BM103" s="54"/>
      <c r="BN103" s="54"/>
      <c r="BO103" s="54"/>
      <c r="BP103" s="54"/>
    </row>
    <row r="104">
      <c r="A104" s="47">
        <v>100.0</v>
      </c>
      <c r="B104" s="93" t="s">
        <v>143</v>
      </c>
      <c r="C104" s="100" t="s">
        <v>127</v>
      </c>
      <c r="D104" s="97">
        <v>4.0</v>
      </c>
      <c r="E104" s="97">
        <v>0.0</v>
      </c>
      <c r="F104" s="97">
        <v>0.0</v>
      </c>
      <c r="G104" s="97">
        <v>0.0</v>
      </c>
      <c r="H104" s="97">
        <v>0.0</v>
      </c>
      <c r="I104" s="97">
        <v>0.0</v>
      </c>
      <c r="J104" s="99"/>
      <c r="K104" s="99"/>
      <c r="L104" s="99"/>
      <c r="M104" s="99"/>
      <c r="N104" s="99"/>
      <c r="O104" s="99"/>
      <c r="P104" s="52">
        <v>1.0</v>
      </c>
      <c r="Q104" s="52">
        <v>1.0</v>
      </c>
      <c r="R104" s="62"/>
      <c r="S104" s="47"/>
      <c r="T104" s="54"/>
      <c r="U104" s="54"/>
      <c r="V104" s="54"/>
      <c r="W104" s="54"/>
      <c r="X104" s="54"/>
      <c r="Y104" s="47">
        <v>0.17</v>
      </c>
      <c r="Z104" s="62"/>
      <c r="AA104" s="54">
        <f t="shared" ref="AA104:AE104" si="199">ROUND(E104*0.5+K104*0.5-S104,2)</f>
        <v>0</v>
      </c>
      <c r="AB104" s="54">
        <f t="shared" si="199"/>
        <v>0</v>
      </c>
      <c r="AC104" s="54">
        <f t="shared" si="199"/>
        <v>0</v>
      </c>
      <c r="AD104" s="54">
        <f t="shared" si="199"/>
        <v>0</v>
      </c>
      <c r="AE104" s="54">
        <f t="shared" si="199"/>
        <v>0</v>
      </c>
      <c r="AF104" s="54">
        <f t="shared" ref="AF104:AG104" si="200">ROUND(P104-X104,2)</f>
        <v>1</v>
      </c>
      <c r="AG104" s="54">
        <f t="shared" si="200"/>
        <v>0.83</v>
      </c>
      <c r="AH104" s="62"/>
      <c r="AI104" s="47"/>
      <c r="AJ104" s="47"/>
      <c r="AK104" s="47"/>
      <c r="AL104" s="47"/>
      <c r="AM104" s="47"/>
      <c r="AN104" s="47"/>
      <c r="AO104" s="47"/>
      <c r="AP104" s="74"/>
      <c r="AQ104" s="62"/>
      <c r="AR104" s="62"/>
      <c r="AS104" s="62"/>
      <c r="AT104" s="54"/>
      <c r="AU104" s="54"/>
      <c r="AV104" s="54"/>
      <c r="AW104" s="54"/>
      <c r="AX104" s="54"/>
      <c r="AY104" s="54"/>
      <c r="AZ104" s="54"/>
      <c r="BA104" s="57"/>
      <c r="BB104" s="58"/>
      <c r="BC104" s="58"/>
      <c r="BD104" s="57"/>
      <c r="BE104" s="59"/>
      <c r="BF104" s="47"/>
      <c r="BG104" s="47"/>
      <c r="BH104" s="47"/>
      <c r="BI104" s="47"/>
      <c r="BJ104" s="47"/>
      <c r="BK104" s="62"/>
      <c r="BL104" s="54"/>
      <c r="BM104" s="54"/>
      <c r="BN104" s="54"/>
      <c r="BO104" s="54"/>
      <c r="BP104" s="54"/>
    </row>
    <row r="105">
      <c r="A105" s="47">
        <v>101.0</v>
      </c>
      <c r="B105" s="102" t="s">
        <v>144</v>
      </c>
      <c r="C105" s="100" t="s">
        <v>127</v>
      </c>
      <c r="D105" s="97">
        <v>4.0</v>
      </c>
      <c r="E105" s="97">
        <v>0.0</v>
      </c>
      <c r="F105" s="97">
        <v>0.0</v>
      </c>
      <c r="G105" s="97">
        <v>0.0</v>
      </c>
      <c r="H105" s="97">
        <v>0.0</v>
      </c>
      <c r="I105" s="97">
        <v>0.0</v>
      </c>
      <c r="J105" s="103"/>
      <c r="K105" s="104"/>
      <c r="L105" s="99"/>
      <c r="M105" s="99"/>
      <c r="N105" s="99"/>
      <c r="O105" s="99"/>
      <c r="P105" s="52">
        <v>1.0</v>
      </c>
      <c r="Q105" s="52">
        <v>1.0</v>
      </c>
      <c r="R105" s="62"/>
      <c r="S105" s="47"/>
      <c r="T105" s="54"/>
      <c r="U105" s="54"/>
      <c r="V105" s="54"/>
      <c r="W105" s="54"/>
      <c r="X105" s="54"/>
      <c r="Y105" s="47">
        <v>0.17</v>
      </c>
      <c r="Z105" s="62"/>
      <c r="AA105" s="54">
        <f t="shared" ref="AA105:AE105" si="201">ROUND(E105*0.5+K105*0.5-S105,2)</f>
        <v>0</v>
      </c>
      <c r="AB105" s="54">
        <f t="shared" si="201"/>
        <v>0</v>
      </c>
      <c r="AC105" s="54">
        <f t="shared" si="201"/>
        <v>0</v>
      </c>
      <c r="AD105" s="54">
        <f t="shared" si="201"/>
        <v>0</v>
      </c>
      <c r="AE105" s="54">
        <f t="shared" si="201"/>
        <v>0</v>
      </c>
      <c r="AF105" s="54">
        <f t="shared" ref="AF105:AG105" si="202">ROUND(P105-X105,2)</f>
        <v>1</v>
      </c>
      <c r="AG105" s="54">
        <f t="shared" si="202"/>
        <v>0.83</v>
      </c>
      <c r="AH105" s="62"/>
      <c r="AI105" s="47"/>
      <c r="AJ105" s="47"/>
      <c r="AK105" s="47"/>
      <c r="AL105" s="47"/>
      <c r="AM105" s="47"/>
      <c r="AN105" s="47"/>
      <c r="AO105" s="47"/>
      <c r="AP105" s="74"/>
      <c r="AQ105" s="62"/>
      <c r="AR105" s="62"/>
      <c r="AS105" s="62"/>
      <c r="AT105" s="54"/>
      <c r="AU105" s="54"/>
      <c r="AV105" s="54"/>
      <c r="AW105" s="54"/>
      <c r="AX105" s="54"/>
      <c r="AY105" s="54"/>
      <c r="AZ105" s="54"/>
      <c r="BA105" s="57"/>
      <c r="BB105" s="58"/>
      <c r="BC105" s="58"/>
      <c r="BD105" s="57"/>
      <c r="BE105" s="59"/>
      <c r="BF105" s="47"/>
      <c r="BG105" s="47"/>
      <c r="BH105" s="47"/>
      <c r="BI105" s="47"/>
      <c r="BJ105" s="47"/>
      <c r="BK105" s="62"/>
      <c r="BL105" s="54"/>
      <c r="BM105" s="54"/>
      <c r="BN105" s="54"/>
      <c r="BO105" s="54"/>
      <c r="BP105" s="54"/>
    </row>
    <row r="106">
      <c r="A106" s="47">
        <v>102.0</v>
      </c>
      <c r="B106" s="102" t="s">
        <v>145</v>
      </c>
      <c r="C106" s="100" t="s">
        <v>127</v>
      </c>
      <c r="D106" s="97">
        <v>4.0</v>
      </c>
      <c r="E106" s="97">
        <v>0.0</v>
      </c>
      <c r="F106" s="97">
        <v>0.0</v>
      </c>
      <c r="G106" s="97">
        <v>0.0</v>
      </c>
      <c r="H106" s="97">
        <v>0.0</v>
      </c>
      <c r="I106" s="97">
        <v>0.0</v>
      </c>
      <c r="J106" s="103"/>
      <c r="K106" s="103"/>
      <c r="L106" s="99"/>
      <c r="M106" s="99"/>
      <c r="N106" s="99"/>
      <c r="O106" s="99"/>
      <c r="P106" s="52">
        <v>1.0</v>
      </c>
      <c r="Q106" s="52">
        <v>1.0</v>
      </c>
      <c r="R106" s="62"/>
      <c r="S106" s="47">
        <v>0.056</v>
      </c>
      <c r="T106" s="54"/>
      <c r="U106" s="54"/>
      <c r="V106" s="54"/>
      <c r="W106" s="54"/>
      <c r="X106" s="54"/>
      <c r="Y106" s="54"/>
      <c r="Z106" s="62"/>
      <c r="AA106" s="54">
        <f t="shared" ref="AA106:AE106" si="203">ROUND(E106*0.5+K106*0.5-S106,2)</f>
        <v>-0.06</v>
      </c>
      <c r="AB106" s="54">
        <f t="shared" si="203"/>
        <v>0</v>
      </c>
      <c r="AC106" s="54">
        <f t="shared" si="203"/>
        <v>0</v>
      </c>
      <c r="AD106" s="54">
        <f t="shared" si="203"/>
        <v>0</v>
      </c>
      <c r="AE106" s="54">
        <f t="shared" si="203"/>
        <v>0</v>
      </c>
      <c r="AF106" s="54">
        <f t="shared" ref="AF106:AG106" si="204">ROUND(P106-X106,2)</f>
        <v>1</v>
      </c>
      <c r="AG106" s="54">
        <f t="shared" si="204"/>
        <v>1</v>
      </c>
      <c r="AH106" s="62"/>
      <c r="AI106" s="47"/>
      <c r="AJ106" s="47"/>
      <c r="AK106" s="47"/>
      <c r="AL106" s="47"/>
      <c r="AM106" s="47"/>
      <c r="AN106" s="47"/>
      <c r="AO106" s="47"/>
      <c r="AP106" s="74"/>
      <c r="AQ106" s="62"/>
      <c r="AR106" s="62"/>
      <c r="AS106" s="62"/>
      <c r="AT106" s="54"/>
      <c r="AU106" s="54"/>
      <c r="AV106" s="54"/>
      <c r="AW106" s="54"/>
      <c r="AX106" s="54"/>
      <c r="AY106" s="54"/>
      <c r="AZ106" s="54"/>
      <c r="BA106" s="57"/>
      <c r="BB106" s="58"/>
      <c r="BC106" s="58"/>
      <c r="BD106" s="57"/>
      <c r="BE106" s="59"/>
      <c r="BF106" s="47"/>
      <c r="BG106" s="47"/>
      <c r="BH106" s="47"/>
      <c r="BI106" s="47"/>
      <c r="BJ106" s="47"/>
      <c r="BK106" s="62"/>
      <c r="BL106" s="54"/>
      <c r="BM106" s="54"/>
      <c r="BN106" s="54"/>
      <c r="BO106" s="54"/>
      <c r="BP106" s="54"/>
    </row>
    <row r="107">
      <c r="A107" s="47">
        <v>103.0</v>
      </c>
      <c r="B107" s="102" t="s">
        <v>146</v>
      </c>
      <c r="C107" s="100" t="s">
        <v>127</v>
      </c>
      <c r="D107" s="97">
        <v>4.0</v>
      </c>
      <c r="E107" s="97">
        <v>0.0</v>
      </c>
      <c r="F107" s="97">
        <v>0.0</v>
      </c>
      <c r="G107" s="97">
        <v>0.0</v>
      </c>
      <c r="H107" s="97">
        <v>0.0</v>
      </c>
      <c r="I107" s="97">
        <v>0.0</v>
      </c>
      <c r="J107" s="99"/>
      <c r="K107" s="99"/>
      <c r="L107" s="99"/>
      <c r="M107" s="99"/>
      <c r="N107" s="99"/>
      <c r="O107" s="99"/>
      <c r="P107" s="52">
        <v>1.0</v>
      </c>
      <c r="Q107" s="52">
        <v>1.0</v>
      </c>
      <c r="R107" s="62"/>
      <c r="S107" s="47"/>
      <c r="T107" s="54"/>
      <c r="U107" s="54"/>
      <c r="V107" s="54"/>
      <c r="W107" s="54"/>
      <c r="X107" s="54"/>
      <c r="Y107" s="54"/>
      <c r="Z107" s="62"/>
      <c r="AA107" s="54">
        <f t="shared" ref="AA107:AE107" si="205">ROUND(E107*0.5+K107*0.5-S107,2)</f>
        <v>0</v>
      </c>
      <c r="AB107" s="54">
        <f t="shared" si="205"/>
        <v>0</v>
      </c>
      <c r="AC107" s="54">
        <f t="shared" si="205"/>
        <v>0</v>
      </c>
      <c r="AD107" s="54">
        <f t="shared" si="205"/>
        <v>0</v>
      </c>
      <c r="AE107" s="54">
        <f t="shared" si="205"/>
        <v>0</v>
      </c>
      <c r="AF107" s="54">
        <f t="shared" ref="AF107:AG107" si="206">ROUND(P107-X107,2)</f>
        <v>1</v>
      </c>
      <c r="AG107" s="54">
        <f t="shared" si="206"/>
        <v>1</v>
      </c>
      <c r="AH107" s="62"/>
      <c r="AI107" s="47"/>
      <c r="AJ107" s="47"/>
      <c r="AK107" s="47"/>
      <c r="AL107" s="47"/>
      <c r="AM107" s="47"/>
      <c r="AN107" s="47"/>
      <c r="AO107" s="47"/>
      <c r="AP107" s="74"/>
      <c r="AQ107" s="62"/>
      <c r="AR107" s="62"/>
      <c r="AS107" s="62"/>
      <c r="AT107" s="54"/>
      <c r="AU107" s="54"/>
      <c r="AV107" s="54"/>
      <c r="AW107" s="54"/>
      <c r="AX107" s="54"/>
      <c r="AY107" s="54"/>
      <c r="AZ107" s="54"/>
      <c r="BA107" s="57"/>
      <c r="BB107" s="58"/>
      <c r="BC107" s="58"/>
      <c r="BD107" s="57"/>
      <c r="BE107" s="59"/>
      <c r="BF107" s="47"/>
      <c r="BG107" s="47"/>
      <c r="BH107" s="47"/>
      <c r="BI107" s="47"/>
      <c r="BJ107" s="47"/>
      <c r="BK107" s="62"/>
      <c r="BL107" s="54"/>
      <c r="BM107" s="54"/>
      <c r="BN107" s="54"/>
      <c r="BO107" s="54"/>
      <c r="BP107" s="54"/>
    </row>
    <row r="108">
      <c r="A108" s="47">
        <v>104.0</v>
      </c>
      <c r="B108" s="93" t="s">
        <v>147</v>
      </c>
      <c r="C108" s="100" t="s">
        <v>127</v>
      </c>
      <c r="D108" s="92">
        <v>3.0</v>
      </c>
      <c r="E108" s="92">
        <v>0.5</v>
      </c>
      <c r="F108" s="92">
        <v>0.0</v>
      </c>
      <c r="G108" s="92">
        <v>0.3</v>
      </c>
      <c r="H108" s="92">
        <v>0.0</v>
      </c>
      <c r="I108" s="92">
        <v>0.2</v>
      </c>
      <c r="J108" s="51"/>
      <c r="K108" s="51"/>
      <c r="L108" s="51"/>
      <c r="M108" s="51"/>
      <c r="N108" s="51"/>
      <c r="O108" s="51"/>
      <c r="P108" s="52">
        <v>1.0</v>
      </c>
      <c r="Q108" s="52">
        <v>1.0</v>
      </c>
      <c r="R108" s="62"/>
      <c r="S108" s="47">
        <v>0.26</v>
      </c>
      <c r="T108" s="54"/>
      <c r="U108" s="54"/>
      <c r="V108" s="47">
        <v>0.05</v>
      </c>
      <c r="W108" s="54"/>
      <c r="X108" s="47">
        <v>0.67</v>
      </c>
      <c r="Y108" s="47">
        <v>0.17</v>
      </c>
      <c r="Z108" s="62"/>
      <c r="AA108" s="54">
        <f t="shared" ref="AA108:AE108" si="207">ROUND(E108*0.5+K108*0.5-S108,2)</f>
        <v>-0.01</v>
      </c>
      <c r="AB108" s="54">
        <f t="shared" si="207"/>
        <v>0</v>
      </c>
      <c r="AC108" s="54">
        <f t="shared" si="207"/>
        <v>0.15</v>
      </c>
      <c r="AD108" s="54">
        <f t="shared" si="207"/>
        <v>-0.05</v>
      </c>
      <c r="AE108" s="54">
        <f t="shared" si="207"/>
        <v>0.1</v>
      </c>
      <c r="AF108" s="54">
        <f t="shared" ref="AF108:AG108" si="208">ROUND(P108-X108,2)</f>
        <v>0.33</v>
      </c>
      <c r="AG108" s="54">
        <f t="shared" si="208"/>
        <v>0.83</v>
      </c>
      <c r="AH108" s="62"/>
      <c r="AI108" s="47"/>
      <c r="AJ108" s="47"/>
      <c r="AK108" s="47"/>
      <c r="AL108" s="47"/>
      <c r="AM108" s="47"/>
      <c r="AN108" s="47"/>
      <c r="AO108" s="47"/>
      <c r="AP108" s="74"/>
      <c r="AQ108" s="62"/>
      <c r="AR108" s="62"/>
      <c r="AS108" s="62"/>
      <c r="AT108" s="54"/>
      <c r="AU108" s="54"/>
      <c r="AV108" s="54"/>
      <c r="AW108" s="54"/>
      <c r="AX108" s="54"/>
      <c r="AY108" s="54"/>
      <c r="AZ108" s="54"/>
      <c r="BA108" s="57"/>
      <c r="BB108" s="58"/>
      <c r="BC108" s="58"/>
      <c r="BD108" s="57"/>
      <c r="BE108" s="59"/>
      <c r="BF108" s="47"/>
      <c r="BG108" s="47"/>
      <c r="BH108" s="47"/>
      <c r="BI108" s="47"/>
      <c r="BJ108" s="47"/>
      <c r="BK108" s="62"/>
      <c r="BL108" s="54"/>
      <c r="BM108" s="54"/>
      <c r="BN108" s="54"/>
      <c r="BO108" s="54"/>
      <c r="BP108" s="54"/>
    </row>
    <row r="109">
      <c r="A109" s="47">
        <v>105.0</v>
      </c>
      <c r="B109" s="93" t="s">
        <v>148</v>
      </c>
      <c r="C109" s="100" t="s">
        <v>127</v>
      </c>
      <c r="D109" s="97">
        <v>3.0</v>
      </c>
      <c r="E109" s="97">
        <v>0.8</v>
      </c>
      <c r="F109" s="97">
        <v>0.2</v>
      </c>
      <c r="G109" s="97">
        <v>0.0</v>
      </c>
      <c r="H109" s="97">
        <v>0.0</v>
      </c>
      <c r="I109" s="97">
        <v>0.0</v>
      </c>
      <c r="J109" s="99"/>
      <c r="K109" s="99"/>
      <c r="L109" s="99"/>
      <c r="M109" s="99"/>
      <c r="N109" s="105"/>
      <c r="O109" s="99"/>
      <c r="P109" s="52">
        <v>1.0</v>
      </c>
      <c r="Q109" s="52">
        <v>1.0</v>
      </c>
      <c r="R109" s="62"/>
      <c r="S109" s="47"/>
      <c r="T109" s="54"/>
      <c r="U109" s="54"/>
      <c r="V109" s="54"/>
      <c r="W109" s="54"/>
      <c r="X109" s="54"/>
      <c r="Y109" s="54"/>
      <c r="Z109" s="62"/>
      <c r="AA109" s="54">
        <f t="shared" ref="AA109:AE109" si="209">ROUND(E109*0.5+K109*0.5-S109,2)</f>
        <v>0.4</v>
      </c>
      <c r="AB109" s="54">
        <f t="shared" si="209"/>
        <v>0.1</v>
      </c>
      <c r="AC109" s="54">
        <f t="shared" si="209"/>
        <v>0</v>
      </c>
      <c r="AD109" s="54">
        <f t="shared" si="209"/>
        <v>0</v>
      </c>
      <c r="AE109" s="54">
        <f t="shared" si="209"/>
        <v>0</v>
      </c>
      <c r="AF109" s="54">
        <f t="shared" ref="AF109:AG109" si="210">ROUND(P109-X109,2)</f>
        <v>1</v>
      </c>
      <c r="AG109" s="54">
        <f t="shared" si="210"/>
        <v>1</v>
      </c>
      <c r="AH109" s="62"/>
      <c r="AI109" s="47"/>
      <c r="AJ109" s="47"/>
      <c r="AK109" s="47"/>
      <c r="AL109" s="47"/>
      <c r="AM109" s="47"/>
      <c r="AN109" s="47"/>
      <c r="AO109" s="47"/>
      <c r="AP109" s="74"/>
      <c r="AQ109" s="62"/>
      <c r="AR109" s="62"/>
      <c r="AS109" s="62"/>
      <c r="AT109" s="54"/>
      <c r="AU109" s="54"/>
      <c r="AV109" s="54"/>
      <c r="AW109" s="54"/>
      <c r="AX109" s="54"/>
      <c r="AY109" s="54"/>
      <c r="AZ109" s="54"/>
      <c r="BA109" s="57"/>
      <c r="BB109" s="58"/>
      <c r="BC109" s="58"/>
      <c r="BD109" s="57"/>
      <c r="BE109" s="59"/>
      <c r="BF109" s="60"/>
      <c r="BG109" s="61"/>
      <c r="BH109" s="61"/>
      <c r="BI109" s="61"/>
      <c r="BJ109" s="61"/>
      <c r="BK109" s="62"/>
      <c r="BL109" s="54"/>
      <c r="BM109" s="54"/>
      <c r="BN109" s="54"/>
      <c r="BO109" s="54"/>
      <c r="BP109" s="54"/>
    </row>
    <row r="110">
      <c r="A110" s="47">
        <v>106.0</v>
      </c>
      <c r="B110" s="101" t="s">
        <v>149</v>
      </c>
      <c r="C110" s="100" t="s">
        <v>127</v>
      </c>
      <c r="D110" s="97">
        <v>2.33</v>
      </c>
      <c r="E110" s="97">
        <v>1.0</v>
      </c>
      <c r="F110" s="97">
        <v>0.33</v>
      </c>
      <c r="G110" s="97">
        <v>0.34</v>
      </c>
      <c r="H110" s="97">
        <v>0.0</v>
      </c>
      <c r="I110" s="97">
        <v>0.0</v>
      </c>
      <c r="J110" s="99"/>
      <c r="K110" s="99"/>
      <c r="L110" s="99"/>
      <c r="M110" s="99"/>
      <c r="N110" s="99"/>
      <c r="O110" s="99"/>
      <c r="P110" s="52">
        <v>1.0</v>
      </c>
      <c r="Q110" s="52">
        <v>1.0</v>
      </c>
      <c r="R110" s="62"/>
      <c r="S110" s="47">
        <v>0.2</v>
      </c>
      <c r="T110" s="54"/>
      <c r="U110" s="47">
        <v>0.03</v>
      </c>
      <c r="V110" s="54"/>
      <c r="W110" s="54"/>
      <c r="X110" s="54"/>
      <c r="Y110" s="47"/>
      <c r="Z110" s="62"/>
      <c r="AA110" s="54">
        <f t="shared" ref="AA110:AE110" si="211">ROUND(E110*0.5+K110*0.5-S110,2)</f>
        <v>0.3</v>
      </c>
      <c r="AB110" s="54">
        <f t="shared" si="211"/>
        <v>0.17</v>
      </c>
      <c r="AC110" s="54">
        <f t="shared" si="211"/>
        <v>0.14</v>
      </c>
      <c r="AD110" s="54">
        <f t="shared" si="211"/>
        <v>0</v>
      </c>
      <c r="AE110" s="54">
        <f t="shared" si="211"/>
        <v>0</v>
      </c>
      <c r="AF110" s="54">
        <f t="shared" ref="AF110:AG110" si="212">ROUND(P110-X110,2)</f>
        <v>1</v>
      </c>
      <c r="AG110" s="54">
        <f t="shared" si="212"/>
        <v>1</v>
      </c>
      <c r="AH110" s="62"/>
      <c r="AI110" s="47"/>
      <c r="AJ110" s="47"/>
      <c r="AK110" s="47"/>
      <c r="AL110" s="47"/>
      <c r="AM110" s="47"/>
      <c r="AN110" s="47"/>
      <c r="AO110" s="47"/>
      <c r="AP110" s="52"/>
      <c r="AQ110" s="62"/>
      <c r="AR110" s="62"/>
      <c r="AS110" s="62"/>
      <c r="AT110" s="54"/>
      <c r="AU110" s="54"/>
      <c r="AV110" s="54"/>
      <c r="AW110" s="54"/>
      <c r="AX110" s="54"/>
      <c r="AY110" s="54"/>
      <c r="AZ110" s="54"/>
      <c r="BA110" s="57"/>
      <c r="BB110" s="58"/>
      <c r="BC110" s="57"/>
      <c r="BD110" s="58"/>
      <c r="BE110" s="64"/>
      <c r="BF110" s="60"/>
      <c r="BG110" s="61"/>
      <c r="BH110" s="61"/>
      <c r="BI110" s="61"/>
      <c r="BJ110" s="61"/>
      <c r="BK110" s="62"/>
      <c r="BL110" s="54"/>
      <c r="BM110" s="54"/>
      <c r="BN110" s="54"/>
      <c r="BO110" s="54"/>
      <c r="BP110" s="54"/>
    </row>
    <row r="111">
      <c r="A111" s="47">
        <v>107.0</v>
      </c>
      <c r="B111" s="101" t="s">
        <v>150</v>
      </c>
      <c r="C111" s="100" t="s">
        <v>127</v>
      </c>
      <c r="D111" s="97">
        <v>3.66</v>
      </c>
      <c r="E111" s="97">
        <v>0.34</v>
      </c>
      <c r="F111" s="97">
        <v>0.0</v>
      </c>
      <c r="G111" s="97">
        <v>0.0</v>
      </c>
      <c r="H111" s="97">
        <v>0.0</v>
      </c>
      <c r="I111" s="97">
        <v>0.0</v>
      </c>
      <c r="J111" s="99"/>
      <c r="K111" s="99"/>
      <c r="L111" s="99"/>
      <c r="M111" s="99"/>
      <c r="N111" s="99"/>
      <c r="O111" s="99"/>
      <c r="P111" s="52">
        <v>1.0</v>
      </c>
      <c r="Q111" s="52">
        <v>1.0</v>
      </c>
      <c r="R111" s="62"/>
      <c r="S111" s="47">
        <v>0.11</v>
      </c>
      <c r="T111" s="47"/>
      <c r="U111" s="54"/>
      <c r="V111" s="54"/>
      <c r="W111" s="54"/>
      <c r="X111" s="54"/>
      <c r="Y111" s="54"/>
      <c r="Z111" s="62"/>
      <c r="AA111" s="54">
        <f t="shared" ref="AA111:AE111" si="213">ROUND(E111*0.5+K111*0.5-S111,2)</f>
        <v>0.06</v>
      </c>
      <c r="AB111" s="54">
        <f t="shared" si="213"/>
        <v>0</v>
      </c>
      <c r="AC111" s="54">
        <f t="shared" si="213"/>
        <v>0</v>
      </c>
      <c r="AD111" s="54">
        <f t="shared" si="213"/>
        <v>0</v>
      </c>
      <c r="AE111" s="54">
        <f t="shared" si="213"/>
        <v>0</v>
      </c>
      <c r="AF111" s="54">
        <f t="shared" ref="AF111:AG111" si="214">ROUND(P111-X111,2)</f>
        <v>1</v>
      </c>
      <c r="AG111" s="54">
        <f t="shared" si="214"/>
        <v>1</v>
      </c>
      <c r="AH111" s="62"/>
      <c r="AI111" s="47"/>
      <c r="AJ111" s="47"/>
      <c r="AK111" s="47"/>
      <c r="AL111" s="47"/>
      <c r="AM111" s="47"/>
      <c r="AN111" s="47"/>
      <c r="AO111" s="47"/>
      <c r="AP111" s="52"/>
      <c r="AQ111" s="62"/>
      <c r="AR111" s="62"/>
      <c r="AS111" s="62"/>
      <c r="AT111" s="54"/>
      <c r="AU111" s="54"/>
      <c r="AV111" s="54"/>
      <c r="AW111" s="54"/>
      <c r="AX111" s="54"/>
      <c r="AY111" s="72"/>
      <c r="AZ111" s="54"/>
      <c r="BA111" s="57"/>
      <c r="BB111" s="58"/>
      <c r="BC111" s="58"/>
      <c r="BD111" s="57"/>
      <c r="BE111" s="59"/>
      <c r="BF111" s="60"/>
      <c r="BG111" s="61"/>
      <c r="BH111" s="61"/>
      <c r="BI111" s="61"/>
      <c r="BJ111" s="61"/>
      <c r="BK111" s="62"/>
      <c r="BL111" s="54"/>
      <c r="BM111" s="54"/>
      <c r="BN111" s="54"/>
      <c r="BO111" s="54"/>
      <c r="BP111" s="54"/>
    </row>
    <row r="112">
      <c r="A112" s="47">
        <v>108.0</v>
      </c>
      <c r="B112" s="101" t="s">
        <v>151</v>
      </c>
      <c r="C112" s="100" t="s">
        <v>127</v>
      </c>
      <c r="D112" s="97">
        <v>4.0</v>
      </c>
      <c r="E112" s="97">
        <v>0.0</v>
      </c>
      <c r="F112" s="97">
        <v>0.0</v>
      </c>
      <c r="G112" s="97">
        <v>0.0</v>
      </c>
      <c r="H112" s="97">
        <v>0.0</v>
      </c>
      <c r="I112" s="97">
        <v>0.0</v>
      </c>
      <c r="J112" s="99"/>
      <c r="K112" s="99"/>
      <c r="L112" s="99"/>
      <c r="M112" s="99"/>
      <c r="N112" s="99"/>
      <c r="O112" s="99"/>
      <c r="P112" s="52">
        <v>1.0</v>
      </c>
      <c r="Q112" s="52">
        <v>1.0</v>
      </c>
      <c r="R112" s="62"/>
      <c r="S112" s="47"/>
      <c r="T112" s="54"/>
      <c r="U112" s="54"/>
      <c r="V112" s="54"/>
      <c r="W112" s="54"/>
      <c r="X112" s="54"/>
      <c r="Y112" s="47"/>
      <c r="Z112" s="62"/>
      <c r="AA112" s="54">
        <f t="shared" ref="AA112:AE112" si="215">ROUND(E112*0.5+K112*0.5-S112,2)</f>
        <v>0</v>
      </c>
      <c r="AB112" s="54">
        <f t="shared" si="215"/>
        <v>0</v>
      </c>
      <c r="AC112" s="54">
        <f t="shared" si="215"/>
        <v>0</v>
      </c>
      <c r="AD112" s="54">
        <f t="shared" si="215"/>
        <v>0</v>
      </c>
      <c r="AE112" s="54">
        <f t="shared" si="215"/>
        <v>0</v>
      </c>
      <c r="AF112" s="54">
        <f t="shared" ref="AF112:AG112" si="216">ROUND(P112-X112,2)</f>
        <v>1</v>
      </c>
      <c r="AG112" s="54">
        <f t="shared" si="216"/>
        <v>1</v>
      </c>
      <c r="AH112" s="62"/>
      <c r="AI112" s="47"/>
      <c r="AJ112" s="47"/>
      <c r="AK112" s="47"/>
      <c r="AL112" s="47"/>
      <c r="AM112" s="47"/>
      <c r="AN112" s="47"/>
      <c r="AO112" s="47"/>
      <c r="AP112" s="78"/>
      <c r="AQ112" s="62"/>
      <c r="AR112" s="62"/>
      <c r="AS112" s="62"/>
      <c r="AT112" s="71"/>
      <c r="AU112" s="72"/>
      <c r="AV112" s="54"/>
      <c r="AW112" s="54"/>
      <c r="AX112" s="54"/>
      <c r="AY112" s="88"/>
      <c r="AZ112" s="88"/>
      <c r="BA112" s="57"/>
      <c r="BB112" s="58"/>
      <c r="BC112" s="57"/>
      <c r="BD112" s="57"/>
      <c r="BE112" s="59"/>
      <c r="BF112" s="68"/>
      <c r="BG112" s="69"/>
      <c r="BH112" s="69"/>
      <c r="BI112" s="69"/>
      <c r="BJ112" s="69"/>
      <c r="BK112" s="62"/>
      <c r="BL112" s="54"/>
      <c r="BM112" s="54"/>
      <c r="BN112" s="54"/>
      <c r="BO112" s="54"/>
      <c r="BP112" s="54"/>
    </row>
    <row r="113">
      <c r="A113" s="47">
        <v>109.0</v>
      </c>
      <c r="B113" s="93" t="s">
        <v>152</v>
      </c>
      <c r="C113" s="100" t="s">
        <v>127</v>
      </c>
      <c r="D113" s="106">
        <v>4.0</v>
      </c>
      <c r="E113" s="106">
        <v>0.0</v>
      </c>
      <c r="F113" s="106">
        <v>0.0</v>
      </c>
      <c r="G113" s="106">
        <v>0.0</v>
      </c>
      <c r="H113" s="106">
        <v>0.0</v>
      </c>
      <c r="I113" s="106">
        <v>0.0</v>
      </c>
      <c r="J113" s="107"/>
      <c r="K113" s="107"/>
      <c r="L113" s="107"/>
      <c r="M113" s="107"/>
      <c r="N113" s="107"/>
      <c r="O113" s="108"/>
      <c r="P113" s="52">
        <v>1.0</v>
      </c>
      <c r="Q113" s="52">
        <v>1.0</v>
      </c>
      <c r="R113" s="62"/>
      <c r="S113" s="54"/>
      <c r="T113" s="54"/>
      <c r="U113" s="54"/>
      <c r="V113" s="54"/>
      <c r="W113" s="54"/>
      <c r="X113" s="54"/>
      <c r="Y113" s="54"/>
      <c r="Z113" s="62"/>
      <c r="AA113" s="54">
        <f t="shared" ref="AA113:AE113" si="217">ROUND(E113*0.5+K113*0.5-S113,2)</f>
        <v>0</v>
      </c>
      <c r="AB113" s="54">
        <f t="shared" si="217"/>
        <v>0</v>
      </c>
      <c r="AC113" s="54">
        <f t="shared" si="217"/>
        <v>0</v>
      </c>
      <c r="AD113" s="54">
        <f t="shared" si="217"/>
        <v>0</v>
      </c>
      <c r="AE113" s="54">
        <f t="shared" si="217"/>
        <v>0</v>
      </c>
      <c r="AF113" s="54">
        <f t="shared" ref="AF113:AG113" si="218">ROUND(P113-X113,2)</f>
        <v>1</v>
      </c>
      <c r="AG113" s="54">
        <f t="shared" si="218"/>
        <v>1</v>
      </c>
      <c r="AH113" s="62"/>
      <c r="AI113" s="47"/>
      <c r="AJ113" s="47"/>
      <c r="AK113" s="47"/>
      <c r="AL113" s="47"/>
      <c r="AM113" s="47"/>
      <c r="AN113" s="47"/>
      <c r="AO113" s="47"/>
      <c r="AP113" s="78"/>
      <c r="AQ113" s="62"/>
      <c r="AR113" s="62"/>
      <c r="AS113" s="62"/>
      <c r="AT113" s="47"/>
      <c r="AU113" s="54"/>
      <c r="AV113" s="54"/>
      <c r="AW113" s="54"/>
      <c r="AX113" s="54"/>
      <c r="AY113" s="54"/>
      <c r="AZ113" s="54"/>
      <c r="BA113" s="57"/>
      <c r="BB113" s="58"/>
      <c r="BC113" s="57"/>
      <c r="BD113" s="57"/>
      <c r="BE113" s="59"/>
      <c r="BF113" s="47"/>
      <c r="BG113" s="47"/>
      <c r="BH113" s="47"/>
      <c r="BI113" s="47"/>
      <c r="BJ113" s="47"/>
      <c r="BK113" s="62"/>
      <c r="BL113" s="54"/>
      <c r="BM113" s="54"/>
      <c r="BN113" s="54"/>
      <c r="BO113" s="54"/>
      <c r="BP113" s="54"/>
    </row>
    <row r="114">
      <c r="A114" s="47">
        <v>110.0</v>
      </c>
      <c r="B114" s="93" t="s">
        <v>153</v>
      </c>
      <c r="C114" s="100" t="s">
        <v>127</v>
      </c>
      <c r="D114" s="106">
        <v>2.5</v>
      </c>
      <c r="E114" s="106">
        <v>0.8</v>
      </c>
      <c r="F114" s="106">
        <v>0.0</v>
      </c>
      <c r="G114" s="106">
        <v>0.33</v>
      </c>
      <c r="H114" s="106">
        <v>0.37</v>
      </c>
      <c r="I114" s="106">
        <v>0.0</v>
      </c>
      <c r="J114" s="107"/>
      <c r="K114" s="107"/>
      <c r="L114" s="107"/>
      <c r="M114" s="107"/>
      <c r="N114" s="107"/>
      <c r="O114" s="107"/>
      <c r="P114" s="52">
        <v>1.0</v>
      </c>
      <c r="Q114" s="52">
        <v>1.0</v>
      </c>
      <c r="R114" s="62"/>
      <c r="S114" s="47"/>
      <c r="T114" s="54"/>
      <c r="U114" s="47"/>
      <c r="V114" s="54"/>
      <c r="W114" s="54"/>
      <c r="X114" s="54"/>
      <c r="Y114" s="54"/>
      <c r="Z114" s="62"/>
      <c r="AA114" s="54">
        <f t="shared" ref="AA114:AE114" si="219">ROUND(E114*0.5+K114*0.5-S114,2)</f>
        <v>0.4</v>
      </c>
      <c r="AB114" s="54">
        <f t="shared" si="219"/>
        <v>0</v>
      </c>
      <c r="AC114" s="54">
        <f t="shared" si="219"/>
        <v>0.17</v>
      </c>
      <c r="AD114" s="54">
        <f t="shared" si="219"/>
        <v>0.19</v>
      </c>
      <c r="AE114" s="54">
        <f t="shared" si="219"/>
        <v>0</v>
      </c>
      <c r="AF114" s="54">
        <f t="shared" ref="AF114:AG114" si="220">ROUND(P114-X114,2)</f>
        <v>1</v>
      </c>
      <c r="AG114" s="54">
        <f t="shared" si="220"/>
        <v>1</v>
      </c>
      <c r="AH114" s="62"/>
      <c r="AI114" s="47"/>
      <c r="AJ114" s="47"/>
      <c r="AK114" s="47"/>
      <c r="AL114" s="47"/>
      <c r="AM114" s="47"/>
      <c r="AN114" s="47"/>
      <c r="AO114" s="47"/>
      <c r="AP114" s="52"/>
      <c r="AQ114" s="62"/>
      <c r="AR114" s="62"/>
      <c r="AS114" s="62"/>
      <c r="AT114" s="54"/>
      <c r="AU114" s="54"/>
      <c r="AV114" s="54"/>
      <c r="AW114" s="54"/>
      <c r="AX114" s="54"/>
      <c r="AY114" s="54"/>
      <c r="AZ114" s="54"/>
      <c r="BA114" s="57"/>
      <c r="BB114" s="58"/>
      <c r="BC114" s="57"/>
      <c r="BD114" s="57"/>
      <c r="BE114" s="59"/>
      <c r="BF114" s="60"/>
      <c r="BG114" s="61"/>
      <c r="BH114" s="61"/>
      <c r="BI114" s="61"/>
      <c r="BJ114" s="61"/>
      <c r="BK114" s="62"/>
      <c r="BL114" s="54"/>
      <c r="BM114" s="54"/>
      <c r="BN114" s="54"/>
      <c r="BO114" s="54"/>
      <c r="BP114" s="54"/>
    </row>
    <row r="115">
      <c r="A115" s="47">
        <v>111.0</v>
      </c>
      <c r="B115" s="93" t="s">
        <v>154</v>
      </c>
      <c r="C115" s="100" t="s">
        <v>127</v>
      </c>
      <c r="D115" s="106">
        <v>3.0</v>
      </c>
      <c r="E115" s="106">
        <v>0.64</v>
      </c>
      <c r="F115" s="106">
        <v>0.0</v>
      </c>
      <c r="G115" s="106">
        <v>0.0</v>
      </c>
      <c r="H115" s="106">
        <v>0.36</v>
      </c>
      <c r="I115" s="106">
        <v>0.0</v>
      </c>
      <c r="J115" s="107"/>
      <c r="K115" s="107"/>
      <c r="L115" s="107"/>
      <c r="M115" s="107"/>
      <c r="N115" s="107"/>
      <c r="O115" s="107"/>
      <c r="P115" s="52">
        <v>1.0</v>
      </c>
      <c r="Q115" s="52">
        <v>1.0</v>
      </c>
      <c r="R115" s="62"/>
      <c r="S115" s="47"/>
      <c r="T115" s="54"/>
      <c r="U115" s="54"/>
      <c r="V115" s="54"/>
      <c r="W115" s="54"/>
      <c r="X115" s="54"/>
      <c r="Y115" s="54"/>
      <c r="Z115" s="62"/>
      <c r="AA115" s="54">
        <f t="shared" ref="AA115:AE115" si="221">ROUND(E115*0.5+K115*0.5-S115,2)</f>
        <v>0.32</v>
      </c>
      <c r="AB115" s="54">
        <f t="shared" si="221"/>
        <v>0</v>
      </c>
      <c r="AC115" s="54">
        <f t="shared" si="221"/>
        <v>0</v>
      </c>
      <c r="AD115" s="54">
        <f t="shared" si="221"/>
        <v>0.18</v>
      </c>
      <c r="AE115" s="54">
        <f t="shared" si="221"/>
        <v>0</v>
      </c>
      <c r="AF115" s="54">
        <f t="shared" ref="AF115:AG115" si="222">ROUND(P115-X115,2)</f>
        <v>1</v>
      </c>
      <c r="AG115" s="54">
        <f t="shared" si="222"/>
        <v>1</v>
      </c>
      <c r="AH115" s="62"/>
      <c r="AI115" s="47"/>
      <c r="AJ115" s="47"/>
      <c r="AK115" s="47"/>
      <c r="AL115" s="47"/>
      <c r="AM115" s="47"/>
      <c r="AN115" s="47"/>
      <c r="AO115" s="47"/>
      <c r="AP115" s="52"/>
      <c r="AQ115" s="62"/>
      <c r="AR115" s="62"/>
      <c r="AS115" s="62"/>
      <c r="AT115" s="54"/>
      <c r="AU115" s="54"/>
      <c r="AV115" s="54"/>
      <c r="AW115" s="54"/>
      <c r="AX115" s="54"/>
      <c r="AY115" s="54"/>
      <c r="AZ115" s="54"/>
      <c r="BA115" s="57"/>
      <c r="BB115" s="58"/>
      <c r="BC115" s="57"/>
      <c r="BD115" s="58"/>
      <c r="BE115" s="64"/>
      <c r="BF115" s="60"/>
      <c r="BG115" s="60"/>
      <c r="BH115" s="60"/>
      <c r="BI115" s="60"/>
      <c r="BJ115" s="60"/>
      <c r="BK115" s="62"/>
      <c r="BL115" s="54"/>
      <c r="BM115" s="54"/>
      <c r="BN115" s="54"/>
      <c r="BO115" s="54"/>
      <c r="BP115" s="54"/>
    </row>
    <row r="116">
      <c r="A116" s="47">
        <v>112.0</v>
      </c>
      <c r="B116" s="101" t="s">
        <v>155</v>
      </c>
      <c r="C116" s="100" t="s">
        <v>127</v>
      </c>
      <c r="D116" s="106">
        <v>3.66</v>
      </c>
      <c r="E116" s="106">
        <v>0.34</v>
      </c>
      <c r="F116" s="106">
        <v>0.0</v>
      </c>
      <c r="G116" s="106">
        <v>0.0</v>
      </c>
      <c r="H116" s="106">
        <v>0.0</v>
      </c>
      <c r="I116" s="106">
        <v>0.0</v>
      </c>
      <c r="J116" s="107"/>
      <c r="K116" s="107"/>
      <c r="L116" s="107"/>
      <c r="M116" s="107"/>
      <c r="N116" s="107"/>
      <c r="O116" s="107"/>
      <c r="P116" s="52">
        <v>1.0</v>
      </c>
      <c r="Q116" s="52">
        <v>1.0</v>
      </c>
      <c r="R116" s="62"/>
      <c r="S116" s="54"/>
      <c r="T116" s="47"/>
      <c r="U116" s="47"/>
      <c r="V116" s="54"/>
      <c r="W116" s="54"/>
      <c r="X116" s="54"/>
      <c r="Y116" s="54"/>
      <c r="Z116" s="62"/>
      <c r="AA116" s="54">
        <f t="shared" ref="AA116:AE116" si="223">ROUND(E116*0.5+K116*0.5-S116,2)</f>
        <v>0.17</v>
      </c>
      <c r="AB116" s="54">
        <f t="shared" si="223"/>
        <v>0</v>
      </c>
      <c r="AC116" s="54">
        <f t="shared" si="223"/>
        <v>0</v>
      </c>
      <c r="AD116" s="54">
        <f t="shared" si="223"/>
        <v>0</v>
      </c>
      <c r="AE116" s="54">
        <f t="shared" si="223"/>
        <v>0</v>
      </c>
      <c r="AF116" s="54">
        <f t="shared" ref="AF116:AG116" si="224">ROUND(P116-X116,2)</f>
        <v>1</v>
      </c>
      <c r="AG116" s="54">
        <f t="shared" si="224"/>
        <v>1</v>
      </c>
      <c r="AH116" s="62"/>
      <c r="AI116" s="109"/>
      <c r="AJ116" s="109"/>
      <c r="AK116" s="47"/>
      <c r="AL116" s="47"/>
      <c r="AM116" s="47"/>
      <c r="AN116" s="47"/>
      <c r="AO116" s="47"/>
      <c r="AP116" s="52"/>
      <c r="AQ116" s="62"/>
      <c r="AR116" s="62"/>
      <c r="AS116" s="62"/>
      <c r="AT116" s="110"/>
      <c r="AU116" s="54"/>
      <c r="AV116" s="54"/>
      <c r="AW116" s="54"/>
      <c r="AX116" s="54"/>
      <c r="AY116" s="111"/>
      <c r="AZ116" s="112"/>
      <c r="BA116" s="113"/>
      <c r="BB116" s="73"/>
      <c r="BC116" s="113"/>
      <c r="BD116" s="113"/>
      <c r="BE116" s="114"/>
      <c r="BF116" s="115"/>
      <c r="BG116" s="116"/>
      <c r="BH116" s="116"/>
      <c r="BI116" s="116"/>
      <c r="BJ116" s="116"/>
      <c r="BK116" s="62"/>
      <c r="BL116" s="54"/>
      <c r="BM116" s="54"/>
      <c r="BN116" s="54"/>
      <c r="BO116" s="54"/>
      <c r="BP116" s="54"/>
    </row>
    <row r="117">
      <c r="A117" s="47">
        <v>113.0</v>
      </c>
      <c r="B117" s="117" t="s">
        <v>156</v>
      </c>
      <c r="C117" s="100" t="s">
        <v>127</v>
      </c>
      <c r="D117" s="106">
        <v>4.0</v>
      </c>
      <c r="E117" s="106">
        <v>0.0</v>
      </c>
      <c r="F117" s="106">
        <v>0.0</v>
      </c>
      <c r="G117" s="106">
        <v>0.0</v>
      </c>
      <c r="H117" s="106">
        <v>0.0</v>
      </c>
      <c r="I117" s="106">
        <v>0.0</v>
      </c>
      <c r="J117" s="107"/>
      <c r="K117" s="107"/>
      <c r="L117" s="107"/>
      <c r="M117" s="107"/>
      <c r="N117" s="107"/>
      <c r="O117" s="107"/>
      <c r="P117" s="52">
        <v>1.0</v>
      </c>
      <c r="Q117" s="52">
        <v>1.0</v>
      </c>
      <c r="R117" s="62"/>
      <c r="S117" s="47"/>
      <c r="T117" s="54"/>
      <c r="U117" s="47"/>
      <c r="V117" s="54"/>
      <c r="W117" s="54"/>
      <c r="X117" s="54"/>
      <c r="Y117" s="54"/>
      <c r="Z117" s="62"/>
      <c r="AA117" s="54">
        <f t="shared" ref="AA117:AE117" si="225">ROUND(E117*0.5+K117*0.5-S117,2)</f>
        <v>0</v>
      </c>
      <c r="AB117" s="54">
        <f t="shared" si="225"/>
        <v>0</v>
      </c>
      <c r="AC117" s="54">
        <f t="shared" si="225"/>
        <v>0</v>
      </c>
      <c r="AD117" s="54">
        <f t="shared" si="225"/>
        <v>0</v>
      </c>
      <c r="AE117" s="54">
        <f t="shared" si="225"/>
        <v>0</v>
      </c>
      <c r="AF117" s="54">
        <f t="shared" ref="AF117:AG117" si="226">ROUND(P117-X117,2)</f>
        <v>1</v>
      </c>
      <c r="AG117" s="54">
        <f t="shared" si="226"/>
        <v>1</v>
      </c>
      <c r="AH117" s="62"/>
      <c r="AI117" s="47"/>
      <c r="AJ117" s="47"/>
      <c r="AK117" s="47"/>
      <c r="AL117" s="47"/>
      <c r="AM117" s="47"/>
      <c r="AN117" s="47"/>
      <c r="AO117" s="47"/>
      <c r="AP117" s="78"/>
      <c r="AQ117" s="62"/>
      <c r="AR117" s="62"/>
      <c r="AS117" s="62"/>
      <c r="AT117" s="54"/>
      <c r="AU117" s="54"/>
      <c r="AV117" s="54"/>
      <c r="AW117" s="54"/>
      <c r="AX117" s="54"/>
      <c r="AY117" s="54"/>
      <c r="AZ117" s="54"/>
      <c r="BA117" s="57"/>
      <c r="BB117" s="58"/>
      <c r="BC117" s="57"/>
      <c r="BD117" s="57"/>
      <c r="BE117" s="59"/>
      <c r="BF117" s="60"/>
      <c r="BG117" s="61"/>
      <c r="BH117" s="61"/>
      <c r="BI117" s="61"/>
      <c r="BJ117" s="61"/>
      <c r="BK117" s="62"/>
      <c r="BL117" s="54"/>
      <c r="BM117" s="54"/>
      <c r="BN117" s="54"/>
      <c r="BO117" s="54"/>
      <c r="BP117" s="54"/>
    </row>
    <row r="118">
      <c r="A118" s="47">
        <v>114.0</v>
      </c>
      <c r="B118" s="118" t="s">
        <v>157</v>
      </c>
      <c r="C118" s="100" t="s">
        <v>127</v>
      </c>
      <c r="D118" s="106">
        <v>4.0</v>
      </c>
      <c r="E118" s="106">
        <v>0.0</v>
      </c>
      <c r="F118" s="106">
        <v>0.0</v>
      </c>
      <c r="G118" s="106">
        <v>0.0</v>
      </c>
      <c r="H118" s="106">
        <v>0.0</v>
      </c>
      <c r="I118" s="106">
        <v>0.0</v>
      </c>
      <c r="J118" s="107"/>
      <c r="K118" s="107"/>
      <c r="L118" s="107"/>
      <c r="M118" s="107"/>
      <c r="N118" s="107"/>
      <c r="O118" s="107"/>
      <c r="P118" s="52">
        <v>1.0</v>
      </c>
      <c r="Q118" s="52">
        <v>1.0</v>
      </c>
      <c r="R118" s="62"/>
      <c r="S118" s="47"/>
      <c r="T118" s="54"/>
      <c r="U118" s="54"/>
      <c r="V118" s="47"/>
      <c r="W118" s="54"/>
      <c r="X118" s="54"/>
      <c r="Y118" s="47"/>
      <c r="Z118" s="62"/>
      <c r="AA118" s="54">
        <f t="shared" ref="AA118:AE118" si="227">ROUND(E118*0.5+K118*0.5-S118,2)</f>
        <v>0</v>
      </c>
      <c r="AB118" s="54">
        <f t="shared" si="227"/>
        <v>0</v>
      </c>
      <c r="AC118" s="54">
        <f t="shared" si="227"/>
        <v>0</v>
      </c>
      <c r="AD118" s="54">
        <f t="shared" si="227"/>
        <v>0</v>
      </c>
      <c r="AE118" s="54">
        <f t="shared" si="227"/>
        <v>0</v>
      </c>
      <c r="AF118" s="54">
        <f t="shared" ref="AF118:AG118" si="228">ROUND(P118-X118,2)</f>
        <v>1</v>
      </c>
      <c r="AG118" s="54">
        <f t="shared" si="228"/>
        <v>1</v>
      </c>
      <c r="AH118" s="62"/>
      <c r="AI118" s="47"/>
      <c r="AJ118" s="47"/>
      <c r="AK118" s="47"/>
      <c r="AL118" s="47"/>
      <c r="AM118" s="47"/>
      <c r="AN118" s="47"/>
      <c r="AO118" s="47"/>
      <c r="AP118" s="78"/>
      <c r="AQ118" s="62"/>
      <c r="AR118" s="62"/>
      <c r="AS118" s="62"/>
      <c r="AT118" s="54"/>
      <c r="AU118" s="54"/>
      <c r="AV118" s="54"/>
      <c r="AW118" s="54"/>
      <c r="AX118" s="54"/>
      <c r="AY118" s="54"/>
      <c r="AZ118" s="54"/>
      <c r="BA118" s="57"/>
      <c r="BB118" s="58"/>
      <c r="BC118" s="58"/>
      <c r="BD118" s="58"/>
      <c r="BE118" s="64"/>
      <c r="BF118" s="60"/>
      <c r="BG118" s="61"/>
      <c r="BH118" s="61"/>
      <c r="BI118" s="61"/>
      <c r="BJ118" s="61"/>
      <c r="BK118" s="62"/>
      <c r="BL118" s="54"/>
      <c r="BM118" s="54"/>
      <c r="BN118" s="54"/>
      <c r="BO118" s="54"/>
      <c r="BP118" s="54"/>
    </row>
    <row r="119">
      <c r="A119" s="47">
        <v>115.0</v>
      </c>
      <c r="B119" s="101" t="s">
        <v>158</v>
      </c>
      <c r="C119" s="100" t="s">
        <v>127</v>
      </c>
      <c r="D119" s="106">
        <v>4.0</v>
      </c>
      <c r="E119" s="106">
        <v>0.0</v>
      </c>
      <c r="F119" s="106">
        <v>0.0</v>
      </c>
      <c r="G119" s="106">
        <v>0.0</v>
      </c>
      <c r="H119" s="106">
        <v>0.0</v>
      </c>
      <c r="I119" s="106">
        <v>0.0</v>
      </c>
      <c r="J119" s="107"/>
      <c r="K119" s="107"/>
      <c r="L119" s="107"/>
      <c r="M119" s="107"/>
      <c r="N119" s="107"/>
      <c r="O119" s="107"/>
      <c r="P119" s="52">
        <v>1.0</v>
      </c>
      <c r="Q119" s="52">
        <v>1.0</v>
      </c>
      <c r="R119" s="62"/>
      <c r="S119" s="47"/>
      <c r="T119" s="54"/>
      <c r="U119" s="47"/>
      <c r="V119" s="54"/>
      <c r="W119" s="54"/>
      <c r="X119" s="54"/>
      <c r="Y119" s="54"/>
      <c r="Z119" s="62"/>
      <c r="AA119" s="54">
        <f t="shared" ref="AA119:AE119" si="229">ROUND(E119*0.5+K119*0.5-S119,2)</f>
        <v>0</v>
      </c>
      <c r="AB119" s="54">
        <f t="shared" si="229"/>
        <v>0</v>
      </c>
      <c r="AC119" s="54">
        <f t="shared" si="229"/>
        <v>0</v>
      </c>
      <c r="AD119" s="54">
        <f t="shared" si="229"/>
        <v>0</v>
      </c>
      <c r="AE119" s="54">
        <f t="shared" si="229"/>
        <v>0</v>
      </c>
      <c r="AF119" s="54">
        <f t="shared" ref="AF119:AG119" si="230">ROUND(P119-X119,2)</f>
        <v>1</v>
      </c>
      <c r="AG119" s="54">
        <f t="shared" si="230"/>
        <v>1</v>
      </c>
      <c r="AH119" s="62"/>
      <c r="AI119" s="47"/>
      <c r="AJ119" s="47"/>
      <c r="AK119" s="47"/>
      <c r="AL119" s="47"/>
      <c r="AM119" s="47"/>
      <c r="AN119" s="47"/>
      <c r="AO119" s="47"/>
      <c r="AP119" s="78"/>
      <c r="AQ119" s="62"/>
      <c r="AR119" s="62"/>
      <c r="AS119" s="62"/>
      <c r="AT119" s="47"/>
      <c r="AU119" s="54"/>
      <c r="AV119" s="54"/>
      <c r="AW119" s="54"/>
      <c r="AX119" s="54"/>
      <c r="AY119" s="54"/>
      <c r="AZ119" s="54"/>
      <c r="BA119" s="57"/>
      <c r="BB119" s="58"/>
      <c r="BC119" s="57"/>
      <c r="BD119" s="57"/>
      <c r="BE119" s="59"/>
      <c r="BF119" s="60"/>
      <c r="BG119" s="61"/>
      <c r="BH119" s="61"/>
      <c r="BI119" s="61"/>
      <c r="BJ119" s="61"/>
      <c r="BK119" s="62"/>
      <c r="BL119" s="54"/>
      <c r="BM119" s="54"/>
      <c r="BN119" s="54"/>
      <c r="BO119" s="54"/>
      <c r="BP119" s="54"/>
    </row>
    <row r="120">
      <c r="A120" s="47">
        <v>116.0</v>
      </c>
      <c r="B120" s="101" t="s">
        <v>159</v>
      </c>
      <c r="C120" s="100" t="s">
        <v>127</v>
      </c>
      <c r="D120" s="106">
        <v>4.0</v>
      </c>
      <c r="E120" s="106">
        <v>0.0</v>
      </c>
      <c r="F120" s="106">
        <v>0.0</v>
      </c>
      <c r="G120" s="106">
        <v>0.0</v>
      </c>
      <c r="H120" s="106">
        <v>0.0</v>
      </c>
      <c r="I120" s="106">
        <v>0.0</v>
      </c>
      <c r="J120" s="107"/>
      <c r="K120" s="107"/>
      <c r="L120" s="107"/>
      <c r="M120" s="107"/>
      <c r="N120" s="107"/>
      <c r="O120" s="107"/>
      <c r="P120" s="52">
        <v>1.0</v>
      </c>
      <c r="Q120" s="52">
        <v>1.0</v>
      </c>
      <c r="R120" s="62"/>
      <c r="S120" s="47"/>
      <c r="T120" s="54"/>
      <c r="U120" s="47"/>
      <c r="V120" s="54"/>
      <c r="W120" s="54"/>
      <c r="X120" s="54"/>
      <c r="Y120" s="54"/>
      <c r="Z120" s="62"/>
      <c r="AA120" s="54">
        <f t="shared" ref="AA120:AE120" si="231">ROUND(E120*0.5+K120*0.5-S120,2)</f>
        <v>0</v>
      </c>
      <c r="AB120" s="54">
        <f t="shared" si="231"/>
        <v>0</v>
      </c>
      <c r="AC120" s="54">
        <f t="shared" si="231"/>
        <v>0</v>
      </c>
      <c r="AD120" s="54">
        <f t="shared" si="231"/>
        <v>0</v>
      </c>
      <c r="AE120" s="54">
        <f t="shared" si="231"/>
        <v>0</v>
      </c>
      <c r="AF120" s="54">
        <f t="shared" ref="AF120:AG120" si="232">ROUND(P120-X120,2)</f>
        <v>1</v>
      </c>
      <c r="AG120" s="54">
        <f t="shared" si="232"/>
        <v>1</v>
      </c>
      <c r="AH120" s="62"/>
      <c r="AI120" s="47"/>
      <c r="AJ120" s="47"/>
      <c r="AK120" s="47"/>
      <c r="AL120" s="47"/>
      <c r="AM120" s="47"/>
      <c r="AN120" s="47"/>
      <c r="AO120" s="47"/>
      <c r="AP120" s="78"/>
      <c r="AQ120" s="62"/>
      <c r="AR120" s="62"/>
      <c r="AS120" s="62"/>
      <c r="AT120" s="54"/>
      <c r="AU120" s="54"/>
      <c r="AV120" s="54"/>
      <c r="AW120" s="54"/>
      <c r="AX120" s="54"/>
      <c r="AY120" s="54"/>
      <c r="AZ120" s="54"/>
      <c r="BA120" s="57"/>
      <c r="BB120" s="58"/>
      <c r="BC120" s="58"/>
      <c r="BD120" s="57"/>
      <c r="BE120" s="59"/>
      <c r="BF120" s="60"/>
      <c r="BG120" s="61"/>
      <c r="BH120" s="61"/>
      <c r="BI120" s="61"/>
      <c r="BJ120" s="61"/>
      <c r="BK120" s="62"/>
      <c r="BL120" s="54"/>
      <c r="BM120" s="54"/>
      <c r="BN120" s="54"/>
      <c r="BO120" s="54"/>
      <c r="BP120" s="54"/>
    </row>
    <row r="121">
      <c r="A121" s="47">
        <v>117.0</v>
      </c>
      <c r="B121" s="117" t="s">
        <v>160</v>
      </c>
      <c r="C121" s="49" t="s">
        <v>161</v>
      </c>
      <c r="D121" s="106">
        <v>0.0</v>
      </c>
      <c r="E121" s="106">
        <v>0.0</v>
      </c>
      <c r="F121" s="106">
        <v>0.0</v>
      </c>
      <c r="G121" s="106">
        <v>0.0</v>
      </c>
      <c r="H121" s="106">
        <v>0.0</v>
      </c>
      <c r="I121" s="106">
        <v>0.0</v>
      </c>
      <c r="J121" s="107"/>
      <c r="K121" s="107"/>
      <c r="L121" s="107"/>
      <c r="M121" s="107"/>
      <c r="N121" s="107"/>
      <c r="O121" s="107"/>
      <c r="P121" s="52">
        <v>1.0</v>
      </c>
      <c r="Q121" s="52">
        <v>1.0</v>
      </c>
      <c r="R121" s="62"/>
      <c r="S121" s="54"/>
      <c r="T121" s="54"/>
      <c r="U121" s="47"/>
      <c r="V121" s="54"/>
      <c r="W121" s="54"/>
      <c r="X121" s="54"/>
      <c r="Y121" s="54"/>
      <c r="Z121" s="62"/>
      <c r="AA121" s="54">
        <f t="shared" ref="AA121:AE121" si="233">ROUND(E121*0.5+K121*0.5-S121,2)</f>
        <v>0</v>
      </c>
      <c r="AB121" s="54">
        <f t="shared" si="233"/>
        <v>0</v>
      </c>
      <c r="AC121" s="54">
        <f t="shared" si="233"/>
        <v>0</v>
      </c>
      <c r="AD121" s="54">
        <f t="shared" si="233"/>
        <v>0</v>
      </c>
      <c r="AE121" s="54">
        <f t="shared" si="233"/>
        <v>0</v>
      </c>
      <c r="AF121" s="54">
        <f t="shared" ref="AF121:AG121" si="234">ROUND(P121-X121,2)</f>
        <v>1</v>
      </c>
      <c r="AG121" s="54">
        <f t="shared" si="234"/>
        <v>1</v>
      </c>
      <c r="AH121" s="62"/>
      <c r="AI121" s="47"/>
      <c r="AJ121" s="47"/>
      <c r="AK121" s="47"/>
      <c r="AL121" s="47"/>
      <c r="AM121" s="47"/>
      <c r="AN121" s="47"/>
      <c r="AO121" s="47"/>
      <c r="AP121" s="52"/>
      <c r="AQ121" s="62"/>
      <c r="AR121" s="62"/>
      <c r="AS121" s="62"/>
      <c r="AT121" s="54"/>
      <c r="AU121" s="54"/>
      <c r="AV121" s="54"/>
      <c r="AW121" s="54"/>
      <c r="AX121" s="54"/>
      <c r="AY121" s="54"/>
      <c r="AZ121" s="54"/>
      <c r="BA121" s="57"/>
      <c r="BB121" s="58"/>
      <c r="BC121" s="58"/>
      <c r="BD121" s="57"/>
      <c r="BE121" s="59"/>
      <c r="BF121" s="60"/>
      <c r="BG121" s="61"/>
      <c r="BH121" s="61"/>
      <c r="BI121" s="61"/>
      <c r="BJ121" s="61"/>
      <c r="BK121" s="62"/>
      <c r="BL121" s="54"/>
      <c r="BM121" s="54"/>
      <c r="BN121" s="54"/>
      <c r="BO121" s="54"/>
      <c r="BP121" s="54"/>
    </row>
    <row r="122">
      <c r="A122" s="47">
        <v>118.0</v>
      </c>
      <c r="B122" s="117" t="s">
        <v>162</v>
      </c>
      <c r="C122" s="49" t="s">
        <v>161</v>
      </c>
      <c r="D122" s="106">
        <v>2.0</v>
      </c>
      <c r="E122" s="106">
        <v>0.0</v>
      </c>
      <c r="F122" s="106">
        <v>0.0</v>
      </c>
      <c r="G122" s="106">
        <v>0.0</v>
      </c>
      <c r="H122" s="106">
        <v>0.7</v>
      </c>
      <c r="I122" s="106">
        <v>1.3</v>
      </c>
      <c r="J122" s="107"/>
      <c r="K122" s="107"/>
      <c r="L122" s="107"/>
      <c r="M122" s="107"/>
      <c r="N122" s="107"/>
      <c r="O122" s="107"/>
      <c r="P122" s="52">
        <v>1.0</v>
      </c>
      <c r="Q122" s="52">
        <v>1.0</v>
      </c>
      <c r="R122" s="62"/>
      <c r="S122" s="47"/>
      <c r="T122" s="54"/>
      <c r="U122" s="54"/>
      <c r="V122" s="47"/>
      <c r="W122" s="54"/>
      <c r="X122" s="54"/>
      <c r="Y122" s="54"/>
      <c r="Z122" s="62"/>
      <c r="AA122" s="54">
        <f t="shared" ref="AA122:AE122" si="235">ROUND(E122*0.5+K122*0.5-S122,2)</f>
        <v>0</v>
      </c>
      <c r="AB122" s="54">
        <f t="shared" si="235"/>
        <v>0</v>
      </c>
      <c r="AC122" s="54">
        <f t="shared" si="235"/>
        <v>0</v>
      </c>
      <c r="AD122" s="54">
        <f t="shared" si="235"/>
        <v>0.35</v>
      </c>
      <c r="AE122" s="54">
        <f t="shared" si="235"/>
        <v>0.65</v>
      </c>
      <c r="AF122" s="54">
        <f t="shared" ref="AF122:AG122" si="236">ROUND(P122-X122,2)</f>
        <v>1</v>
      </c>
      <c r="AG122" s="54">
        <f t="shared" si="236"/>
        <v>1</v>
      </c>
      <c r="AH122" s="62"/>
      <c r="AI122" s="47"/>
      <c r="AJ122" s="47"/>
      <c r="AK122" s="47"/>
      <c r="AL122" s="47"/>
      <c r="AM122" s="47"/>
      <c r="AN122" s="47"/>
      <c r="AO122" s="47"/>
      <c r="AP122" s="78"/>
      <c r="AQ122" s="62"/>
      <c r="AR122" s="62"/>
      <c r="AS122" s="62"/>
      <c r="AT122" s="71"/>
      <c r="AU122" s="54"/>
      <c r="AV122" s="54"/>
      <c r="AW122" s="54"/>
      <c r="AX122" s="54"/>
      <c r="AY122" s="71"/>
      <c r="AZ122" s="54"/>
      <c r="BA122" s="57"/>
      <c r="BB122" s="58"/>
      <c r="BC122" s="57"/>
      <c r="BD122" s="58"/>
      <c r="BE122" s="64"/>
      <c r="BF122" s="60"/>
      <c r="BG122" s="61"/>
      <c r="BH122" s="61"/>
      <c r="BI122" s="61"/>
      <c r="BJ122" s="61"/>
      <c r="BK122" s="62"/>
      <c r="BL122" s="54"/>
      <c r="BM122" s="54"/>
      <c r="BN122" s="54"/>
      <c r="BO122" s="54"/>
      <c r="BP122" s="54"/>
    </row>
    <row r="123">
      <c r="A123" s="47">
        <v>119.0</v>
      </c>
      <c r="B123" s="101" t="s">
        <v>163</v>
      </c>
      <c r="C123" s="49" t="s">
        <v>161</v>
      </c>
      <c r="D123" s="106">
        <v>3.0</v>
      </c>
      <c r="E123" s="106">
        <v>1.0</v>
      </c>
      <c r="F123" s="106">
        <v>0.0</v>
      </c>
      <c r="G123" s="106">
        <v>0.0</v>
      </c>
      <c r="H123" s="106">
        <v>0.0</v>
      </c>
      <c r="I123" s="106">
        <v>0.0</v>
      </c>
      <c r="J123" s="107"/>
      <c r="K123" s="107"/>
      <c r="L123" s="107"/>
      <c r="M123" s="107"/>
      <c r="N123" s="107"/>
      <c r="O123" s="107"/>
      <c r="P123" s="52">
        <v>1.0</v>
      </c>
      <c r="Q123" s="52">
        <v>1.0</v>
      </c>
      <c r="R123" s="62"/>
      <c r="S123" s="47"/>
      <c r="T123" s="54"/>
      <c r="U123" s="54"/>
      <c r="V123" s="54"/>
      <c r="W123" s="54"/>
      <c r="X123" s="54"/>
      <c r="Y123" s="54"/>
      <c r="Z123" s="62"/>
      <c r="AA123" s="54">
        <f t="shared" ref="AA123:AE123" si="237">ROUND(E123*0.5+K123*0.5-S123,2)</f>
        <v>0.5</v>
      </c>
      <c r="AB123" s="54">
        <f t="shared" si="237"/>
        <v>0</v>
      </c>
      <c r="AC123" s="54">
        <f t="shared" si="237"/>
        <v>0</v>
      </c>
      <c r="AD123" s="54">
        <f t="shared" si="237"/>
        <v>0</v>
      </c>
      <c r="AE123" s="54">
        <f t="shared" si="237"/>
        <v>0</v>
      </c>
      <c r="AF123" s="54">
        <f t="shared" ref="AF123:AG123" si="238">ROUND(P123-X123,2)</f>
        <v>1</v>
      </c>
      <c r="AG123" s="54">
        <f t="shared" si="238"/>
        <v>1</v>
      </c>
      <c r="AH123" s="62"/>
      <c r="AI123" s="47"/>
      <c r="AJ123" s="47"/>
      <c r="AK123" s="47"/>
      <c r="AL123" s="47"/>
      <c r="AM123" s="47"/>
      <c r="AN123" s="47"/>
      <c r="AO123" s="47"/>
      <c r="AP123" s="78"/>
      <c r="AQ123" s="62"/>
      <c r="AR123" s="62"/>
      <c r="AS123" s="62"/>
      <c r="AT123" s="54"/>
      <c r="AU123" s="54"/>
      <c r="AV123" s="54"/>
      <c r="AW123" s="54"/>
      <c r="AX123" s="54"/>
      <c r="AY123" s="71"/>
      <c r="AZ123" s="54"/>
      <c r="BA123" s="57"/>
      <c r="BB123" s="58"/>
      <c r="BC123" s="58"/>
      <c r="BD123" s="57"/>
      <c r="BE123" s="59"/>
      <c r="BF123" s="60"/>
      <c r="BG123" s="61"/>
      <c r="BH123" s="61"/>
      <c r="BI123" s="61"/>
      <c r="BJ123" s="61"/>
      <c r="BK123" s="62"/>
      <c r="BL123" s="54"/>
      <c r="BM123" s="54"/>
      <c r="BN123" s="54"/>
      <c r="BO123" s="54"/>
      <c r="BP123" s="54"/>
    </row>
    <row r="124">
      <c r="A124" s="47">
        <v>120.0</v>
      </c>
      <c r="B124" s="117" t="s">
        <v>164</v>
      </c>
      <c r="C124" s="49" t="s">
        <v>161</v>
      </c>
      <c r="D124" s="106">
        <v>3.5</v>
      </c>
      <c r="E124" s="106">
        <v>0.0</v>
      </c>
      <c r="F124" s="106">
        <v>0.0</v>
      </c>
      <c r="G124" s="106">
        <v>0.0</v>
      </c>
      <c r="H124" s="106">
        <v>0.8</v>
      </c>
      <c r="I124" s="106">
        <v>0.2</v>
      </c>
      <c r="J124" s="107"/>
      <c r="K124" s="107"/>
      <c r="L124" s="107"/>
      <c r="M124" s="107"/>
      <c r="N124" s="107"/>
      <c r="O124" s="107"/>
      <c r="P124" s="52">
        <v>1.0</v>
      </c>
      <c r="Q124" s="52">
        <v>1.0</v>
      </c>
      <c r="R124" s="62"/>
      <c r="S124" s="47">
        <v>0.42</v>
      </c>
      <c r="T124" s="54"/>
      <c r="U124" s="54"/>
      <c r="V124" s="47">
        <v>0.11</v>
      </c>
      <c r="W124" s="54"/>
      <c r="X124" s="54"/>
      <c r="Y124" s="54"/>
      <c r="Z124" s="62"/>
      <c r="AA124" s="54">
        <f t="shared" ref="AA124:AE124" si="239">ROUND(E124*0.5+K124*0.5-S124,2)</f>
        <v>-0.42</v>
      </c>
      <c r="AB124" s="54">
        <f t="shared" si="239"/>
        <v>0</v>
      </c>
      <c r="AC124" s="54">
        <f t="shared" si="239"/>
        <v>0</v>
      </c>
      <c r="AD124" s="54">
        <f t="shared" si="239"/>
        <v>0.29</v>
      </c>
      <c r="AE124" s="54">
        <f t="shared" si="239"/>
        <v>0.1</v>
      </c>
      <c r="AF124" s="54">
        <f t="shared" ref="AF124:AG124" si="240">ROUND(P124-X124,2)</f>
        <v>1</v>
      </c>
      <c r="AG124" s="54">
        <f t="shared" si="240"/>
        <v>1</v>
      </c>
      <c r="AH124" s="62"/>
      <c r="AI124" s="47"/>
      <c r="AJ124" s="47"/>
      <c r="AK124" s="47"/>
      <c r="AL124" s="47"/>
      <c r="AM124" s="47"/>
      <c r="AN124" s="47"/>
      <c r="AO124" s="47"/>
      <c r="AP124" s="119"/>
      <c r="AQ124" s="62"/>
      <c r="AR124" s="62"/>
      <c r="AS124" s="62"/>
      <c r="AT124" s="54"/>
      <c r="AU124" s="54"/>
      <c r="AV124" s="54"/>
      <c r="AW124" s="54"/>
      <c r="AX124" s="54"/>
      <c r="AY124" s="54"/>
      <c r="AZ124" s="54"/>
      <c r="BA124" s="57"/>
      <c r="BB124" s="58"/>
      <c r="BC124" s="57"/>
      <c r="BD124" s="58"/>
      <c r="BE124" s="64"/>
      <c r="BF124" s="60"/>
      <c r="BG124" s="61"/>
      <c r="BH124" s="61"/>
      <c r="BI124" s="61"/>
      <c r="BJ124" s="61"/>
      <c r="BK124" s="62"/>
      <c r="BL124" s="54"/>
      <c r="BM124" s="54"/>
      <c r="BN124" s="54"/>
      <c r="BO124" s="54"/>
      <c r="BP124" s="54"/>
    </row>
    <row r="125">
      <c r="A125" s="47">
        <v>121.0</v>
      </c>
      <c r="B125" s="117" t="s">
        <v>165</v>
      </c>
      <c r="C125" s="49" t="s">
        <v>161</v>
      </c>
      <c r="D125" s="106">
        <v>4.0</v>
      </c>
      <c r="E125" s="106">
        <v>0.0</v>
      </c>
      <c r="F125" s="106">
        <v>0.4</v>
      </c>
      <c r="G125" s="106">
        <v>0.6</v>
      </c>
      <c r="H125" s="106">
        <v>0.0</v>
      </c>
      <c r="I125" s="106">
        <v>0.0</v>
      </c>
      <c r="J125" s="107"/>
      <c r="K125" s="107"/>
      <c r="L125" s="107"/>
      <c r="M125" s="107"/>
      <c r="N125" s="107"/>
      <c r="O125" s="107"/>
      <c r="P125" s="52">
        <v>1.0</v>
      </c>
      <c r="Q125" s="52">
        <v>1.0</v>
      </c>
      <c r="R125" s="62"/>
      <c r="S125" s="54"/>
      <c r="T125" s="54"/>
      <c r="U125" s="54"/>
      <c r="V125" s="54"/>
      <c r="W125" s="54"/>
      <c r="X125" s="54"/>
      <c r="Y125" s="54"/>
      <c r="Z125" s="62"/>
      <c r="AA125" s="54">
        <f t="shared" ref="AA125:AE125" si="241">ROUND(E125*0.5+K125*0.5-S125,2)</f>
        <v>0</v>
      </c>
      <c r="AB125" s="54">
        <f t="shared" si="241"/>
        <v>0.2</v>
      </c>
      <c r="AC125" s="54">
        <f t="shared" si="241"/>
        <v>0.3</v>
      </c>
      <c r="AD125" s="54">
        <f t="shared" si="241"/>
        <v>0</v>
      </c>
      <c r="AE125" s="54">
        <f t="shared" si="241"/>
        <v>0</v>
      </c>
      <c r="AF125" s="54">
        <f t="shared" ref="AF125:AG125" si="242">ROUND(P125-X125,2)</f>
        <v>1</v>
      </c>
      <c r="AG125" s="54">
        <f t="shared" si="242"/>
        <v>1</v>
      </c>
      <c r="AH125" s="62"/>
      <c r="AI125" s="47"/>
      <c r="AJ125" s="47"/>
      <c r="AK125" s="47"/>
      <c r="AL125" s="47"/>
      <c r="AM125" s="47"/>
      <c r="AN125" s="47"/>
      <c r="AO125" s="47"/>
      <c r="AP125" s="78"/>
      <c r="AQ125" s="62"/>
      <c r="AR125" s="62"/>
      <c r="AS125" s="62"/>
      <c r="AT125" s="54"/>
      <c r="AU125" s="54"/>
      <c r="AV125" s="54"/>
      <c r="AW125" s="54"/>
      <c r="AX125" s="54"/>
      <c r="AY125" s="72"/>
      <c r="AZ125" s="72"/>
      <c r="BA125" s="57"/>
      <c r="BB125" s="58"/>
      <c r="BC125" s="58"/>
      <c r="BD125" s="57"/>
      <c r="BE125" s="59"/>
      <c r="BF125" s="60"/>
      <c r="BG125" s="61"/>
      <c r="BH125" s="61"/>
      <c r="BI125" s="61"/>
      <c r="BJ125" s="61"/>
      <c r="BK125" s="62"/>
      <c r="BL125" s="54"/>
      <c r="BM125" s="54"/>
      <c r="BN125" s="54"/>
      <c r="BO125" s="54"/>
      <c r="BP125" s="54"/>
    </row>
    <row r="126">
      <c r="A126" s="47">
        <v>122.0</v>
      </c>
      <c r="B126" s="118" t="s">
        <v>166</v>
      </c>
      <c r="C126" s="49" t="s">
        <v>161</v>
      </c>
      <c r="D126" s="106">
        <v>4.0</v>
      </c>
      <c r="E126" s="106">
        <v>0.0</v>
      </c>
      <c r="F126" s="106">
        <v>0.4</v>
      </c>
      <c r="G126" s="106">
        <v>0.6</v>
      </c>
      <c r="H126" s="106">
        <v>0.0</v>
      </c>
      <c r="I126" s="106">
        <v>0.0</v>
      </c>
      <c r="J126" s="107"/>
      <c r="K126" s="107"/>
      <c r="L126" s="107"/>
      <c r="M126" s="107"/>
      <c r="N126" s="107"/>
      <c r="O126" s="107"/>
      <c r="P126" s="52">
        <v>1.0</v>
      </c>
      <c r="Q126" s="52">
        <v>1.0</v>
      </c>
      <c r="R126" s="62"/>
      <c r="S126" s="47">
        <v>0.37</v>
      </c>
      <c r="T126" s="54"/>
      <c r="U126" s="54"/>
      <c r="V126" s="54"/>
      <c r="W126" s="54"/>
      <c r="X126" s="54"/>
      <c r="Y126" s="47">
        <v>0.33</v>
      </c>
      <c r="Z126" s="62"/>
      <c r="AA126" s="54">
        <f t="shared" ref="AA126:AE126" si="243">ROUND(E126*0.5+K126*0.5-S126,2)</f>
        <v>-0.37</v>
      </c>
      <c r="AB126" s="54">
        <f t="shared" si="243"/>
        <v>0.2</v>
      </c>
      <c r="AC126" s="54">
        <f t="shared" si="243"/>
        <v>0.3</v>
      </c>
      <c r="AD126" s="54">
        <f t="shared" si="243"/>
        <v>0</v>
      </c>
      <c r="AE126" s="54">
        <f t="shared" si="243"/>
        <v>0</v>
      </c>
      <c r="AF126" s="54">
        <f t="shared" ref="AF126:AG126" si="244">ROUND(P126-X126,2)</f>
        <v>1</v>
      </c>
      <c r="AG126" s="54">
        <f t="shared" si="244"/>
        <v>0.67</v>
      </c>
      <c r="AH126" s="62"/>
      <c r="AI126" s="47"/>
      <c r="AJ126" s="47"/>
      <c r="AK126" s="47"/>
      <c r="AL126" s="47"/>
      <c r="AM126" s="47"/>
      <c r="AN126" s="47"/>
      <c r="AO126" s="47"/>
      <c r="AP126" s="52"/>
      <c r="AQ126" s="62"/>
      <c r="AR126" s="62"/>
      <c r="AS126" s="62"/>
      <c r="AT126" s="71"/>
      <c r="AU126" s="72"/>
      <c r="AV126" s="54"/>
      <c r="AW126" s="54"/>
      <c r="AX126" s="54"/>
      <c r="AY126" s="71"/>
      <c r="AZ126" s="54"/>
      <c r="BA126" s="57"/>
      <c r="BB126" s="58"/>
      <c r="BC126" s="58"/>
      <c r="BD126" s="58"/>
      <c r="BE126" s="64"/>
      <c r="BF126" s="60"/>
      <c r="BG126" s="61"/>
      <c r="BH126" s="61"/>
      <c r="BI126" s="61"/>
      <c r="BJ126" s="61"/>
      <c r="BK126" s="62"/>
      <c r="BL126" s="54"/>
      <c r="BM126" s="54"/>
      <c r="BN126" s="54"/>
      <c r="BO126" s="54"/>
      <c r="BP126" s="54"/>
    </row>
    <row r="127">
      <c r="A127" s="47">
        <v>123.0</v>
      </c>
      <c r="B127" s="117" t="s">
        <v>167</v>
      </c>
      <c r="C127" s="49" t="s">
        <v>161</v>
      </c>
      <c r="D127" s="106">
        <v>3.0</v>
      </c>
      <c r="E127" s="106">
        <v>1.0</v>
      </c>
      <c r="F127" s="106">
        <v>0.4</v>
      </c>
      <c r="G127" s="106">
        <v>0.6</v>
      </c>
      <c r="H127" s="106">
        <v>0.0</v>
      </c>
      <c r="I127" s="106">
        <v>0.0</v>
      </c>
      <c r="J127" s="107"/>
      <c r="K127" s="107"/>
      <c r="L127" s="107"/>
      <c r="M127" s="107"/>
      <c r="N127" s="107"/>
      <c r="O127" s="107"/>
      <c r="P127" s="52">
        <v>1.0</v>
      </c>
      <c r="Q127" s="52">
        <v>1.0</v>
      </c>
      <c r="R127" s="62"/>
      <c r="S127" s="47"/>
      <c r="T127" s="54"/>
      <c r="U127" s="54"/>
      <c r="V127" s="54"/>
      <c r="W127" s="54"/>
      <c r="X127" s="54"/>
      <c r="Y127" s="54"/>
      <c r="Z127" s="62"/>
      <c r="AA127" s="54">
        <f t="shared" ref="AA127:AE127" si="245">ROUND(E127*0.5+K127*0.5-S127,2)</f>
        <v>0.5</v>
      </c>
      <c r="AB127" s="54">
        <f t="shared" si="245"/>
        <v>0.2</v>
      </c>
      <c r="AC127" s="54">
        <f t="shared" si="245"/>
        <v>0.3</v>
      </c>
      <c r="AD127" s="54">
        <f t="shared" si="245"/>
        <v>0</v>
      </c>
      <c r="AE127" s="54">
        <f t="shared" si="245"/>
        <v>0</v>
      </c>
      <c r="AF127" s="54">
        <f t="shared" ref="AF127:AG127" si="246">ROUND(P127-X127,2)</f>
        <v>1</v>
      </c>
      <c r="AG127" s="54">
        <f t="shared" si="246"/>
        <v>1</v>
      </c>
      <c r="AH127" s="62"/>
      <c r="AI127" s="47"/>
      <c r="AJ127" s="47"/>
      <c r="AK127" s="47"/>
      <c r="AL127" s="47"/>
      <c r="AM127" s="47"/>
      <c r="AN127" s="47"/>
      <c r="AO127" s="47"/>
      <c r="AP127" s="76"/>
      <c r="AQ127" s="62"/>
      <c r="AR127" s="62"/>
      <c r="AS127" s="62"/>
      <c r="AT127" s="72"/>
      <c r="AU127" s="72"/>
      <c r="AV127" s="54"/>
      <c r="AW127" s="54"/>
      <c r="AX127" s="54"/>
      <c r="AY127" s="72"/>
      <c r="AZ127" s="72"/>
      <c r="BA127" s="72"/>
      <c r="BB127" s="57"/>
      <c r="BC127" s="57"/>
      <c r="BD127" s="58"/>
      <c r="BE127" s="64"/>
      <c r="BF127" s="60"/>
      <c r="BG127" s="61"/>
      <c r="BH127" s="61"/>
      <c r="BI127" s="61"/>
      <c r="BJ127" s="61"/>
      <c r="BK127" s="62"/>
      <c r="BL127" s="54"/>
      <c r="BM127" s="54"/>
      <c r="BN127" s="54"/>
      <c r="BO127" s="54"/>
      <c r="BP127" s="54"/>
    </row>
    <row r="128">
      <c r="A128" s="47">
        <v>124.0</v>
      </c>
      <c r="B128" s="117" t="s">
        <v>168</v>
      </c>
      <c r="C128" s="49" t="s">
        <v>161</v>
      </c>
      <c r="D128" s="106">
        <v>4.0</v>
      </c>
      <c r="E128" s="106">
        <v>0.0</v>
      </c>
      <c r="F128" s="106">
        <v>0.4</v>
      </c>
      <c r="G128" s="106">
        <v>0.6</v>
      </c>
      <c r="H128" s="106">
        <v>0.0</v>
      </c>
      <c r="I128" s="106">
        <v>0.0</v>
      </c>
      <c r="J128" s="107"/>
      <c r="K128" s="107"/>
      <c r="L128" s="107"/>
      <c r="M128" s="107"/>
      <c r="N128" s="107"/>
      <c r="O128" s="107"/>
      <c r="P128" s="52">
        <v>1.0</v>
      </c>
      <c r="Q128" s="52">
        <v>1.0</v>
      </c>
      <c r="R128" s="62"/>
      <c r="S128" s="47">
        <v>0.09</v>
      </c>
      <c r="T128" s="54"/>
      <c r="U128" s="54"/>
      <c r="V128" s="54"/>
      <c r="W128" s="54"/>
      <c r="X128" s="54"/>
      <c r="Y128" s="47">
        <v>0.5</v>
      </c>
      <c r="Z128" s="62"/>
      <c r="AA128" s="54">
        <f t="shared" ref="AA128:AE128" si="247">ROUND(E128*0.5+K128*0.5-S128,2)</f>
        <v>-0.09</v>
      </c>
      <c r="AB128" s="54">
        <f t="shared" si="247"/>
        <v>0.2</v>
      </c>
      <c r="AC128" s="54">
        <f t="shared" si="247"/>
        <v>0.3</v>
      </c>
      <c r="AD128" s="54">
        <f t="shared" si="247"/>
        <v>0</v>
      </c>
      <c r="AE128" s="54">
        <f t="shared" si="247"/>
        <v>0</v>
      </c>
      <c r="AF128" s="54">
        <f t="shared" ref="AF128:AG128" si="248">ROUND(P128-X128,2)</f>
        <v>1</v>
      </c>
      <c r="AG128" s="54">
        <f t="shared" si="248"/>
        <v>0.5</v>
      </c>
      <c r="AH128" s="62"/>
      <c r="AI128" s="47"/>
      <c r="AJ128" s="47"/>
      <c r="AK128" s="47"/>
      <c r="AL128" s="47"/>
      <c r="AM128" s="47"/>
      <c r="AN128" s="47"/>
      <c r="AO128" s="47"/>
      <c r="AP128" s="120"/>
      <c r="AQ128" s="62"/>
      <c r="AR128" s="62"/>
      <c r="AS128" s="62"/>
      <c r="AT128" s="72"/>
      <c r="AU128" s="72"/>
      <c r="AV128" s="54"/>
      <c r="AW128" s="54"/>
      <c r="AX128" s="54"/>
      <c r="AY128" s="72"/>
      <c r="AZ128" s="72"/>
      <c r="BA128" s="72"/>
      <c r="BB128" s="58"/>
      <c r="BC128" s="58"/>
      <c r="BD128" s="57"/>
      <c r="BE128" s="59"/>
      <c r="BF128" s="60"/>
      <c r="BG128" s="61"/>
      <c r="BH128" s="61"/>
      <c r="BI128" s="61"/>
      <c r="BJ128" s="61"/>
      <c r="BK128" s="62"/>
      <c r="BL128" s="54"/>
      <c r="BM128" s="54"/>
      <c r="BN128" s="54"/>
      <c r="BO128" s="54"/>
      <c r="BP128" s="54"/>
    </row>
    <row r="129">
      <c r="A129" s="47">
        <v>125.0</v>
      </c>
      <c r="B129" s="117" t="s">
        <v>169</v>
      </c>
      <c r="C129" s="49" t="s">
        <v>161</v>
      </c>
      <c r="D129" s="106">
        <v>4.0</v>
      </c>
      <c r="E129" s="106">
        <v>0.0</v>
      </c>
      <c r="F129" s="106">
        <v>0.4</v>
      </c>
      <c r="G129" s="106">
        <v>0.6</v>
      </c>
      <c r="H129" s="106">
        <v>0.0</v>
      </c>
      <c r="I129" s="106">
        <v>0.0</v>
      </c>
      <c r="J129" s="107"/>
      <c r="K129" s="107"/>
      <c r="L129" s="107"/>
      <c r="M129" s="107"/>
      <c r="N129" s="107"/>
      <c r="O129" s="107"/>
      <c r="P129" s="52">
        <v>1.0</v>
      </c>
      <c r="Q129" s="52">
        <v>1.0</v>
      </c>
      <c r="R129" s="62"/>
      <c r="S129" s="47">
        <v>0.02</v>
      </c>
      <c r="T129" s="54"/>
      <c r="U129" s="54"/>
      <c r="V129" s="54"/>
      <c r="W129" s="54"/>
      <c r="X129" s="47">
        <v>0.83</v>
      </c>
      <c r="Y129" s="47">
        <v>0.83</v>
      </c>
      <c r="Z129" s="62"/>
      <c r="AA129" s="54">
        <f t="shared" ref="AA129:AE129" si="249">ROUND(E129*0.5+K129*0.5-S129,2)</f>
        <v>-0.02</v>
      </c>
      <c r="AB129" s="54">
        <f t="shared" si="249"/>
        <v>0.2</v>
      </c>
      <c r="AC129" s="54">
        <f t="shared" si="249"/>
        <v>0.3</v>
      </c>
      <c r="AD129" s="54">
        <f t="shared" si="249"/>
        <v>0</v>
      </c>
      <c r="AE129" s="54">
        <f t="shared" si="249"/>
        <v>0</v>
      </c>
      <c r="AF129" s="54">
        <f t="shared" ref="AF129:AG129" si="250">ROUND(P129-X129,2)</f>
        <v>0.17</v>
      </c>
      <c r="AG129" s="54">
        <f t="shared" si="250"/>
        <v>0.17</v>
      </c>
      <c r="AH129" s="62"/>
      <c r="AI129" s="47"/>
      <c r="AJ129" s="47"/>
      <c r="AK129" s="47"/>
      <c r="AL129" s="47"/>
      <c r="AM129" s="47"/>
      <c r="AN129" s="47"/>
      <c r="AO129" s="47"/>
      <c r="AP129" s="52"/>
      <c r="AQ129" s="62"/>
      <c r="AR129" s="62"/>
      <c r="AS129" s="62"/>
      <c r="AT129" s="54"/>
      <c r="AU129" s="54"/>
      <c r="AV129" s="54"/>
      <c r="AW129" s="54"/>
      <c r="AX129" s="54"/>
      <c r="AY129" s="54"/>
      <c r="AZ129" s="54"/>
      <c r="BA129" s="57"/>
      <c r="BB129" s="58"/>
      <c r="BC129" s="58"/>
      <c r="BD129" s="57"/>
      <c r="BE129" s="59"/>
      <c r="BF129" s="68"/>
      <c r="BG129" s="69"/>
      <c r="BH129" s="69"/>
      <c r="BI129" s="69"/>
      <c r="BJ129" s="69"/>
      <c r="BK129" s="62"/>
      <c r="BL129" s="54"/>
      <c r="BM129" s="54"/>
      <c r="BN129" s="54"/>
      <c r="BO129" s="54"/>
      <c r="BP129" s="54"/>
    </row>
    <row r="130">
      <c r="A130" s="47">
        <v>126.0</v>
      </c>
      <c r="B130" s="118" t="s">
        <v>170</v>
      </c>
      <c r="C130" s="49" t="s">
        <v>161</v>
      </c>
      <c r="D130" s="106">
        <v>4.19</v>
      </c>
      <c r="E130" s="106">
        <v>0.81</v>
      </c>
      <c r="F130" s="106">
        <v>0.0</v>
      </c>
      <c r="G130" s="106">
        <v>0.0</v>
      </c>
      <c r="H130" s="106">
        <v>0.0</v>
      </c>
      <c r="I130" s="106">
        <v>0.0</v>
      </c>
      <c r="J130" s="107"/>
      <c r="K130" s="107"/>
      <c r="L130" s="107"/>
      <c r="M130" s="107"/>
      <c r="N130" s="107"/>
      <c r="O130" s="107"/>
      <c r="P130" s="52">
        <v>1.0</v>
      </c>
      <c r="Q130" s="52">
        <v>1.0</v>
      </c>
      <c r="R130" s="62"/>
      <c r="S130" s="54"/>
      <c r="T130" s="54"/>
      <c r="U130" s="54"/>
      <c r="V130" s="54"/>
      <c r="W130" s="54"/>
      <c r="X130" s="54"/>
      <c r="Y130" s="54"/>
      <c r="Z130" s="62"/>
      <c r="AA130" s="54">
        <f t="shared" ref="AA130:AE130" si="251">ROUND(E130*0.5+K130*0.5-S130,2)</f>
        <v>0.41</v>
      </c>
      <c r="AB130" s="54">
        <f t="shared" si="251"/>
        <v>0</v>
      </c>
      <c r="AC130" s="54">
        <f t="shared" si="251"/>
        <v>0</v>
      </c>
      <c r="AD130" s="54">
        <f t="shared" si="251"/>
        <v>0</v>
      </c>
      <c r="AE130" s="54">
        <f t="shared" si="251"/>
        <v>0</v>
      </c>
      <c r="AF130" s="54">
        <f t="shared" ref="AF130:AG130" si="252">ROUND(P130-X130,2)</f>
        <v>1</v>
      </c>
      <c r="AG130" s="54">
        <f t="shared" si="252"/>
        <v>1</v>
      </c>
      <c r="AH130" s="62"/>
      <c r="AI130" s="47"/>
      <c r="AJ130" s="47"/>
      <c r="AK130" s="47"/>
      <c r="AL130" s="47"/>
      <c r="AM130" s="47"/>
      <c r="AN130" s="47"/>
      <c r="AO130" s="47"/>
      <c r="AP130" s="76"/>
      <c r="AQ130" s="62"/>
      <c r="AR130" s="62"/>
      <c r="AS130" s="62"/>
      <c r="AT130" s="54"/>
      <c r="AU130" s="54"/>
      <c r="AV130" s="54"/>
      <c r="AW130" s="54"/>
      <c r="AX130" s="54"/>
      <c r="AY130" s="54"/>
      <c r="AZ130" s="54"/>
      <c r="BA130" s="57"/>
      <c r="BB130" s="58"/>
      <c r="BC130" s="57"/>
      <c r="BD130" s="57"/>
      <c r="BE130" s="59"/>
      <c r="BF130" s="60"/>
      <c r="BG130" s="61"/>
      <c r="BH130" s="61"/>
      <c r="BI130" s="61"/>
      <c r="BJ130" s="61"/>
      <c r="BK130" s="62"/>
      <c r="BL130" s="54"/>
      <c r="BM130" s="54"/>
      <c r="BN130" s="54"/>
      <c r="BO130" s="54"/>
      <c r="BP130" s="54"/>
    </row>
    <row r="131">
      <c r="A131" s="47">
        <v>127.0</v>
      </c>
      <c r="B131" s="118" t="s">
        <v>171</v>
      </c>
      <c r="C131" s="49" t="s">
        <v>161</v>
      </c>
      <c r="D131" s="106">
        <v>4.0</v>
      </c>
      <c r="E131" s="106">
        <v>1.0</v>
      </c>
      <c r="F131" s="106">
        <v>0.0</v>
      </c>
      <c r="G131" s="106">
        <v>0.0</v>
      </c>
      <c r="H131" s="106">
        <v>0.0</v>
      </c>
      <c r="I131" s="106">
        <v>0.0</v>
      </c>
      <c r="J131" s="107"/>
      <c r="K131" s="107"/>
      <c r="L131" s="107"/>
      <c r="M131" s="107"/>
      <c r="N131" s="107"/>
      <c r="O131" s="107"/>
      <c r="P131" s="52">
        <v>1.0</v>
      </c>
      <c r="Q131" s="52">
        <v>1.0</v>
      </c>
      <c r="R131" s="62"/>
      <c r="S131" s="54"/>
      <c r="T131" s="54"/>
      <c r="U131" s="54"/>
      <c r="V131" s="54"/>
      <c r="W131" s="54"/>
      <c r="X131" s="54"/>
      <c r="Y131" s="54"/>
      <c r="Z131" s="62"/>
      <c r="AA131" s="54">
        <f t="shared" ref="AA131:AE131" si="253">ROUND(E131*0.5+K131*0.5-S131,2)</f>
        <v>0.5</v>
      </c>
      <c r="AB131" s="54">
        <f t="shared" si="253"/>
        <v>0</v>
      </c>
      <c r="AC131" s="54">
        <f t="shared" si="253"/>
        <v>0</v>
      </c>
      <c r="AD131" s="54">
        <f t="shared" si="253"/>
        <v>0</v>
      </c>
      <c r="AE131" s="54">
        <f t="shared" si="253"/>
        <v>0</v>
      </c>
      <c r="AF131" s="54">
        <f t="shared" ref="AF131:AG131" si="254">ROUND(P131-X131,2)</f>
        <v>1</v>
      </c>
      <c r="AG131" s="54">
        <f t="shared" si="254"/>
        <v>1</v>
      </c>
      <c r="AH131" s="62"/>
      <c r="AI131" s="47"/>
      <c r="AJ131" s="47"/>
      <c r="AK131" s="47"/>
      <c r="AL131" s="47"/>
      <c r="AM131" s="47"/>
      <c r="AN131" s="47"/>
      <c r="AO131" s="47"/>
      <c r="AP131" s="74"/>
      <c r="AQ131" s="62"/>
      <c r="AR131" s="62"/>
      <c r="AS131" s="62"/>
      <c r="AT131" s="54"/>
      <c r="AU131" s="54"/>
      <c r="AV131" s="54"/>
      <c r="AW131" s="54"/>
      <c r="AX131" s="54"/>
      <c r="AY131" s="54"/>
      <c r="AZ131" s="54"/>
      <c r="BA131" s="57"/>
      <c r="BB131" s="58"/>
      <c r="BC131" s="57"/>
      <c r="BD131" s="57"/>
      <c r="BE131" s="59"/>
      <c r="BF131" s="60"/>
      <c r="BG131" s="61"/>
      <c r="BH131" s="61"/>
      <c r="BI131" s="61"/>
      <c r="BJ131" s="61"/>
      <c r="BK131" s="62"/>
      <c r="BL131" s="54"/>
      <c r="BM131" s="54"/>
      <c r="BN131" s="54"/>
      <c r="BO131" s="54"/>
      <c r="BP131" s="54"/>
    </row>
    <row r="132">
      <c r="A132" s="47">
        <v>128.0</v>
      </c>
      <c r="B132" s="118" t="s">
        <v>172</v>
      </c>
      <c r="C132" s="49" t="s">
        <v>161</v>
      </c>
      <c r="D132" s="106">
        <v>4.0</v>
      </c>
      <c r="E132" s="106">
        <v>0.0</v>
      </c>
      <c r="F132" s="106">
        <v>0.0</v>
      </c>
      <c r="G132" s="106">
        <v>0.0</v>
      </c>
      <c r="H132" s="106">
        <v>0.0</v>
      </c>
      <c r="I132" s="106">
        <v>0.0</v>
      </c>
      <c r="J132" s="107"/>
      <c r="K132" s="107"/>
      <c r="L132" s="107"/>
      <c r="M132" s="107"/>
      <c r="N132" s="107"/>
      <c r="O132" s="107"/>
      <c r="P132" s="52">
        <v>1.0</v>
      </c>
      <c r="Q132" s="52">
        <v>1.0</v>
      </c>
      <c r="R132" s="62"/>
      <c r="S132" s="54"/>
      <c r="T132" s="54"/>
      <c r="U132" s="54"/>
      <c r="V132" s="54"/>
      <c r="W132" s="54"/>
      <c r="X132" s="54"/>
      <c r="Y132" s="54"/>
      <c r="Z132" s="62"/>
      <c r="AA132" s="54">
        <f t="shared" ref="AA132:AE132" si="255">ROUND(E132*0.5+K132*0.5-S132,2)</f>
        <v>0</v>
      </c>
      <c r="AB132" s="54">
        <f t="shared" si="255"/>
        <v>0</v>
      </c>
      <c r="AC132" s="54">
        <f t="shared" si="255"/>
        <v>0</v>
      </c>
      <c r="AD132" s="54">
        <f t="shared" si="255"/>
        <v>0</v>
      </c>
      <c r="AE132" s="54">
        <f t="shared" si="255"/>
        <v>0</v>
      </c>
      <c r="AF132" s="54">
        <f t="shared" ref="AF132:AG132" si="256">ROUND(P132-X132,2)</f>
        <v>1</v>
      </c>
      <c r="AG132" s="54">
        <f t="shared" si="256"/>
        <v>1</v>
      </c>
      <c r="AH132" s="62"/>
      <c r="AI132" s="47"/>
      <c r="AJ132" s="47"/>
      <c r="AK132" s="47"/>
      <c r="AL132" s="47"/>
      <c r="AM132" s="47"/>
      <c r="AN132" s="47"/>
      <c r="AO132" s="47"/>
      <c r="AP132" s="74"/>
      <c r="AQ132" s="62"/>
      <c r="AR132" s="62"/>
      <c r="AS132" s="62"/>
      <c r="AT132" s="54"/>
      <c r="AU132" s="54"/>
      <c r="AV132" s="54"/>
      <c r="AW132" s="54"/>
      <c r="AX132" s="54"/>
      <c r="AY132" s="54"/>
      <c r="AZ132" s="54"/>
      <c r="BA132" s="57"/>
      <c r="BB132" s="58"/>
      <c r="BC132" s="57"/>
      <c r="BD132" s="57"/>
      <c r="BE132" s="59"/>
      <c r="BF132" s="60"/>
      <c r="BG132" s="61"/>
      <c r="BH132" s="61"/>
      <c r="BI132" s="61"/>
      <c r="BJ132" s="61"/>
      <c r="BK132" s="62"/>
      <c r="BL132" s="54"/>
      <c r="BM132" s="54"/>
      <c r="BN132" s="54"/>
      <c r="BO132" s="54"/>
      <c r="BP132" s="54"/>
    </row>
    <row r="133">
      <c r="A133" s="47">
        <v>129.0</v>
      </c>
      <c r="B133" s="118" t="s">
        <v>173</v>
      </c>
      <c r="C133" s="49" t="s">
        <v>161</v>
      </c>
      <c r="D133" s="106">
        <v>4.0</v>
      </c>
      <c r="E133" s="106">
        <v>1.0</v>
      </c>
      <c r="F133" s="106">
        <v>0.0</v>
      </c>
      <c r="G133" s="106">
        <v>0.0</v>
      </c>
      <c r="H133" s="106">
        <v>0.0</v>
      </c>
      <c r="I133" s="106">
        <v>0.0</v>
      </c>
      <c r="J133" s="107"/>
      <c r="K133" s="107"/>
      <c r="L133" s="107"/>
      <c r="M133" s="107"/>
      <c r="N133" s="107"/>
      <c r="O133" s="107"/>
      <c r="P133" s="52">
        <v>1.0</v>
      </c>
      <c r="Q133" s="52">
        <v>1.0</v>
      </c>
      <c r="R133" s="62"/>
      <c r="S133" s="54"/>
      <c r="T133" s="54"/>
      <c r="U133" s="54"/>
      <c r="V133" s="54"/>
      <c r="W133" s="54"/>
      <c r="X133" s="54"/>
      <c r="Y133" s="54"/>
      <c r="Z133" s="62"/>
      <c r="AA133" s="54">
        <f t="shared" ref="AA133:AE133" si="257">ROUND(E133*0.5+K133*0.5-S133,2)</f>
        <v>0.5</v>
      </c>
      <c r="AB133" s="54">
        <f t="shared" si="257"/>
        <v>0</v>
      </c>
      <c r="AC133" s="54">
        <f t="shared" si="257"/>
        <v>0</v>
      </c>
      <c r="AD133" s="54">
        <f t="shared" si="257"/>
        <v>0</v>
      </c>
      <c r="AE133" s="54">
        <f t="shared" si="257"/>
        <v>0</v>
      </c>
      <c r="AF133" s="54">
        <f t="shared" ref="AF133:AG133" si="258">ROUND(P133-X133,2)</f>
        <v>1</v>
      </c>
      <c r="AG133" s="54">
        <f t="shared" si="258"/>
        <v>1</v>
      </c>
      <c r="AH133" s="62"/>
      <c r="AI133" s="47"/>
      <c r="AJ133" s="47"/>
      <c r="AK133" s="47"/>
      <c r="AL133" s="47"/>
      <c r="AM133" s="47"/>
      <c r="AN133" s="47"/>
      <c r="AO133" s="47"/>
      <c r="AP133" s="74"/>
      <c r="AQ133" s="62"/>
      <c r="AR133" s="62"/>
      <c r="AS133" s="62"/>
      <c r="AT133" s="54"/>
      <c r="AU133" s="54"/>
      <c r="AV133" s="54"/>
      <c r="AW133" s="54"/>
      <c r="AX133" s="54"/>
      <c r="AY133" s="54"/>
      <c r="AZ133" s="54"/>
      <c r="BA133" s="57"/>
      <c r="BB133" s="58"/>
      <c r="BC133" s="57"/>
      <c r="BD133" s="57"/>
      <c r="BE133" s="59"/>
      <c r="BF133" s="60"/>
      <c r="BG133" s="61"/>
      <c r="BH133" s="61"/>
      <c r="BI133" s="61"/>
      <c r="BJ133" s="61"/>
      <c r="BK133" s="62"/>
      <c r="BL133" s="54"/>
      <c r="BM133" s="54"/>
      <c r="BN133" s="54"/>
      <c r="BO133" s="54"/>
      <c r="BP133" s="54"/>
    </row>
    <row r="134">
      <c r="A134" s="47">
        <v>130.0</v>
      </c>
      <c r="B134" s="118" t="s">
        <v>174</v>
      </c>
      <c r="C134" s="49" t="s">
        <v>161</v>
      </c>
      <c r="D134" s="106">
        <v>4.5</v>
      </c>
      <c r="E134" s="106">
        <v>0.2</v>
      </c>
      <c r="F134" s="106">
        <v>0.0</v>
      </c>
      <c r="G134" s="106">
        <v>0.0</v>
      </c>
      <c r="H134" s="106">
        <v>0.0</v>
      </c>
      <c r="I134" s="106">
        <v>0.0</v>
      </c>
      <c r="J134" s="107"/>
      <c r="K134" s="107"/>
      <c r="L134" s="107"/>
      <c r="M134" s="107"/>
      <c r="N134" s="107"/>
      <c r="O134" s="107"/>
      <c r="P134" s="52">
        <v>1.0</v>
      </c>
      <c r="Q134" s="52">
        <v>1.0</v>
      </c>
      <c r="R134" s="62"/>
      <c r="S134" s="47"/>
      <c r="T134" s="54"/>
      <c r="U134" s="47"/>
      <c r="V134" s="54"/>
      <c r="W134" s="54"/>
      <c r="X134" s="47"/>
      <c r="Y134" s="47"/>
      <c r="Z134" s="62"/>
      <c r="AA134" s="54">
        <f t="shared" ref="AA134:AE134" si="259">ROUND(E134*0.5+K134*0.5-S134,2)</f>
        <v>0.1</v>
      </c>
      <c r="AB134" s="54">
        <f t="shared" si="259"/>
        <v>0</v>
      </c>
      <c r="AC134" s="54">
        <f t="shared" si="259"/>
        <v>0</v>
      </c>
      <c r="AD134" s="54">
        <f t="shared" si="259"/>
        <v>0</v>
      </c>
      <c r="AE134" s="54">
        <f t="shared" si="259"/>
        <v>0</v>
      </c>
      <c r="AF134" s="54">
        <f t="shared" ref="AF134:AG134" si="260">ROUND(P134-X134,2)</f>
        <v>1</v>
      </c>
      <c r="AG134" s="54">
        <f t="shared" si="260"/>
        <v>1</v>
      </c>
      <c r="AH134" s="62"/>
      <c r="AI134" s="47"/>
      <c r="AJ134" s="47"/>
      <c r="AK134" s="47"/>
      <c r="AL134" s="47"/>
      <c r="AM134" s="47"/>
      <c r="AN134" s="47"/>
      <c r="AO134" s="47"/>
      <c r="AP134" s="78"/>
      <c r="AQ134" s="62"/>
      <c r="AR134" s="62"/>
      <c r="AS134" s="62"/>
      <c r="AT134" s="54"/>
      <c r="AU134" s="54"/>
      <c r="AV134" s="54"/>
      <c r="AW134" s="54"/>
      <c r="AX134" s="54"/>
      <c r="AY134" s="54"/>
      <c r="AZ134" s="54"/>
      <c r="BA134" s="57"/>
      <c r="BB134" s="58"/>
      <c r="BC134" s="57"/>
      <c r="BD134" s="58"/>
      <c r="BE134" s="64"/>
      <c r="BF134" s="60"/>
      <c r="BG134" s="61"/>
      <c r="BH134" s="61"/>
      <c r="BI134" s="61"/>
      <c r="BJ134" s="61"/>
      <c r="BK134" s="62"/>
      <c r="BL134" s="54"/>
      <c r="BM134" s="54"/>
      <c r="BN134" s="54"/>
      <c r="BO134" s="54"/>
      <c r="BP134" s="54"/>
    </row>
    <row r="135">
      <c r="A135" s="47">
        <v>131.0</v>
      </c>
      <c r="B135" s="118" t="s">
        <v>175</v>
      </c>
      <c r="C135" s="49" t="s">
        <v>161</v>
      </c>
      <c r="D135" s="106">
        <v>3.69</v>
      </c>
      <c r="E135" s="106">
        <v>1.0</v>
      </c>
      <c r="F135" s="106">
        <v>0.0</v>
      </c>
      <c r="G135" s="106">
        <v>0.0</v>
      </c>
      <c r="H135" s="106">
        <v>0.0</v>
      </c>
      <c r="I135" s="106">
        <v>0.0</v>
      </c>
      <c r="J135" s="107"/>
      <c r="K135" s="107"/>
      <c r="L135" s="107"/>
      <c r="M135" s="107"/>
      <c r="N135" s="107"/>
      <c r="O135" s="107"/>
      <c r="P135" s="52">
        <v>1.0</v>
      </c>
      <c r="Q135" s="52">
        <v>1.0</v>
      </c>
      <c r="R135" s="62"/>
      <c r="S135" s="54"/>
      <c r="T135" s="54"/>
      <c r="U135" s="54"/>
      <c r="V135" s="54"/>
      <c r="W135" s="54"/>
      <c r="X135" s="54"/>
      <c r="Y135" s="54"/>
      <c r="Z135" s="62"/>
      <c r="AA135" s="54">
        <f t="shared" ref="AA135:AE135" si="261">ROUND(E135*0.5+K135*0.5-S135,2)</f>
        <v>0.5</v>
      </c>
      <c r="AB135" s="54">
        <f t="shared" si="261"/>
        <v>0</v>
      </c>
      <c r="AC135" s="54">
        <f t="shared" si="261"/>
        <v>0</v>
      </c>
      <c r="AD135" s="54">
        <f t="shared" si="261"/>
        <v>0</v>
      </c>
      <c r="AE135" s="54">
        <f t="shared" si="261"/>
        <v>0</v>
      </c>
      <c r="AF135" s="54">
        <f t="shared" ref="AF135:AG135" si="262">ROUND(P135-X135,2)</f>
        <v>1</v>
      </c>
      <c r="AG135" s="54">
        <f t="shared" si="262"/>
        <v>1</v>
      </c>
      <c r="AH135" s="62"/>
      <c r="AI135" s="47"/>
      <c r="AJ135" s="47"/>
      <c r="AK135" s="47"/>
      <c r="AL135" s="47"/>
      <c r="AM135" s="47"/>
      <c r="AN135" s="47"/>
      <c r="AO135" s="47"/>
      <c r="AP135" s="121"/>
      <c r="AQ135" s="62"/>
      <c r="AR135" s="62"/>
      <c r="AS135" s="62"/>
      <c r="AT135" s="54"/>
      <c r="AU135" s="54"/>
      <c r="AV135" s="54"/>
      <c r="AW135" s="54"/>
      <c r="AX135" s="54"/>
      <c r="AY135" s="54"/>
      <c r="AZ135" s="54"/>
      <c r="BA135" s="57"/>
      <c r="BB135" s="58"/>
      <c r="BC135" s="57"/>
      <c r="BD135" s="57"/>
      <c r="BE135" s="59"/>
      <c r="BF135" s="60"/>
      <c r="BG135" s="61"/>
      <c r="BH135" s="61"/>
      <c r="BI135" s="61"/>
      <c r="BJ135" s="61"/>
      <c r="BK135" s="62"/>
      <c r="BL135" s="54"/>
      <c r="BM135" s="54"/>
      <c r="BN135" s="54"/>
      <c r="BO135" s="54"/>
      <c r="BP135" s="54"/>
    </row>
    <row r="136">
      <c r="A136" s="47">
        <v>132.0</v>
      </c>
      <c r="B136" s="118" t="s">
        <v>176</v>
      </c>
      <c r="C136" s="49" t="s">
        <v>161</v>
      </c>
      <c r="D136" s="106">
        <v>4.0</v>
      </c>
      <c r="E136" s="106">
        <v>1.0</v>
      </c>
      <c r="F136" s="106">
        <v>0.0</v>
      </c>
      <c r="G136" s="106">
        <v>0.0</v>
      </c>
      <c r="H136" s="106">
        <v>0.0</v>
      </c>
      <c r="I136" s="106">
        <v>0.0</v>
      </c>
      <c r="J136" s="107"/>
      <c r="K136" s="107"/>
      <c r="L136" s="107"/>
      <c r="M136" s="107"/>
      <c r="N136" s="107"/>
      <c r="O136" s="107"/>
      <c r="P136" s="52">
        <v>1.0</v>
      </c>
      <c r="Q136" s="52">
        <v>1.0</v>
      </c>
      <c r="R136" s="62"/>
      <c r="S136" s="54"/>
      <c r="T136" s="54"/>
      <c r="U136" s="54"/>
      <c r="V136" s="54"/>
      <c r="W136" s="54"/>
      <c r="X136" s="54"/>
      <c r="Y136" s="54"/>
      <c r="Z136" s="62"/>
      <c r="AA136" s="54">
        <f t="shared" ref="AA136:AE136" si="263">ROUND(E136*0.5+K136*0.5-S136,2)</f>
        <v>0.5</v>
      </c>
      <c r="AB136" s="54">
        <f t="shared" si="263"/>
        <v>0</v>
      </c>
      <c r="AC136" s="54">
        <f t="shared" si="263"/>
        <v>0</v>
      </c>
      <c r="AD136" s="54">
        <f t="shared" si="263"/>
        <v>0</v>
      </c>
      <c r="AE136" s="54">
        <f t="shared" si="263"/>
        <v>0</v>
      </c>
      <c r="AF136" s="54">
        <f t="shared" ref="AF136:AG136" si="264">ROUND(P136-X136,2)</f>
        <v>1</v>
      </c>
      <c r="AG136" s="54">
        <f t="shared" si="264"/>
        <v>1</v>
      </c>
      <c r="AH136" s="62"/>
      <c r="AI136" s="47"/>
      <c r="AJ136" s="47"/>
      <c r="AK136" s="47"/>
      <c r="AL136" s="47"/>
      <c r="AM136" s="47"/>
      <c r="AN136" s="47"/>
      <c r="AO136" s="47"/>
      <c r="AP136" s="70"/>
      <c r="AQ136" s="62"/>
      <c r="AR136" s="62"/>
      <c r="AS136" s="62"/>
      <c r="AT136" s="54"/>
      <c r="AU136" s="54"/>
      <c r="AV136" s="54"/>
      <c r="AW136" s="54"/>
      <c r="AX136" s="54"/>
      <c r="AY136" s="54"/>
      <c r="AZ136" s="54"/>
      <c r="BA136" s="57"/>
      <c r="BB136" s="58"/>
      <c r="BC136" s="57"/>
      <c r="BD136" s="57"/>
      <c r="BE136" s="59"/>
      <c r="BF136" s="68"/>
      <c r="BG136" s="69"/>
      <c r="BH136" s="69"/>
      <c r="BI136" s="69"/>
      <c r="BJ136" s="69"/>
      <c r="BK136" s="62"/>
      <c r="BL136" s="54"/>
      <c r="BM136" s="54"/>
      <c r="BN136" s="54"/>
      <c r="BO136" s="54"/>
      <c r="BP136" s="54"/>
    </row>
    <row r="137">
      <c r="A137" s="47">
        <v>133.0</v>
      </c>
      <c r="B137" s="117" t="s">
        <v>177</v>
      </c>
      <c r="C137" s="49" t="s">
        <v>161</v>
      </c>
      <c r="D137" s="106">
        <v>4.0</v>
      </c>
      <c r="E137" s="106">
        <v>1.0</v>
      </c>
      <c r="F137" s="106">
        <v>0.0</v>
      </c>
      <c r="G137" s="106">
        <v>0.0</v>
      </c>
      <c r="H137" s="106">
        <v>0.0</v>
      </c>
      <c r="I137" s="106">
        <v>0.0</v>
      </c>
      <c r="J137" s="107"/>
      <c r="K137" s="107"/>
      <c r="L137" s="107"/>
      <c r="M137" s="107"/>
      <c r="N137" s="107"/>
      <c r="O137" s="107"/>
      <c r="P137" s="52">
        <v>1.0</v>
      </c>
      <c r="Q137" s="52">
        <v>1.0</v>
      </c>
      <c r="R137" s="62"/>
      <c r="S137" s="54"/>
      <c r="T137" s="54"/>
      <c r="U137" s="54"/>
      <c r="V137" s="54"/>
      <c r="W137" s="54"/>
      <c r="X137" s="54"/>
      <c r="Y137" s="54"/>
      <c r="Z137" s="62"/>
      <c r="AA137" s="54">
        <f t="shared" ref="AA137:AE137" si="265">ROUND(E137*0.5+K137*0.5-S137,2)</f>
        <v>0.5</v>
      </c>
      <c r="AB137" s="54">
        <f t="shared" si="265"/>
        <v>0</v>
      </c>
      <c r="AC137" s="54">
        <f t="shared" si="265"/>
        <v>0</v>
      </c>
      <c r="AD137" s="54">
        <f t="shared" si="265"/>
        <v>0</v>
      </c>
      <c r="AE137" s="54">
        <f t="shared" si="265"/>
        <v>0</v>
      </c>
      <c r="AF137" s="54">
        <f t="shared" ref="AF137:AG137" si="266">ROUND(P137-X137,2)</f>
        <v>1</v>
      </c>
      <c r="AG137" s="54">
        <f t="shared" si="266"/>
        <v>1</v>
      </c>
      <c r="AH137" s="62"/>
      <c r="AI137" s="47"/>
      <c r="AJ137" s="47"/>
      <c r="AK137" s="47"/>
      <c r="AL137" s="47"/>
      <c r="AM137" s="47"/>
      <c r="AN137" s="47"/>
      <c r="AO137" s="47"/>
      <c r="AP137" s="70"/>
      <c r="AQ137" s="62"/>
      <c r="AR137" s="62"/>
      <c r="AS137" s="62"/>
      <c r="AT137" s="54"/>
      <c r="AU137" s="54"/>
      <c r="AV137" s="54"/>
      <c r="AW137" s="54"/>
      <c r="AX137" s="54"/>
      <c r="AY137" s="54"/>
      <c r="AZ137" s="54"/>
      <c r="BA137" s="57"/>
      <c r="BB137" s="58"/>
      <c r="BC137" s="57"/>
      <c r="BD137" s="57"/>
      <c r="BE137" s="59"/>
      <c r="BF137" s="47"/>
      <c r="BG137" s="47"/>
      <c r="BH137" s="47"/>
      <c r="BI137" s="47"/>
      <c r="BJ137" s="47"/>
      <c r="BK137" s="62"/>
      <c r="BL137" s="54"/>
      <c r="BM137" s="54"/>
      <c r="BN137" s="54"/>
      <c r="BO137" s="54"/>
      <c r="BP137" s="54"/>
    </row>
    <row r="138">
      <c r="A138" s="47">
        <v>134.0</v>
      </c>
      <c r="B138" s="118" t="s">
        <v>178</v>
      </c>
      <c r="C138" s="49" t="s">
        <v>161</v>
      </c>
      <c r="D138" s="106">
        <v>4.0</v>
      </c>
      <c r="E138" s="106">
        <v>1.0</v>
      </c>
      <c r="F138" s="106">
        <v>0.0</v>
      </c>
      <c r="G138" s="106">
        <v>0.0</v>
      </c>
      <c r="H138" s="106">
        <v>0.0</v>
      </c>
      <c r="I138" s="106">
        <v>0.0</v>
      </c>
      <c r="J138" s="107"/>
      <c r="K138" s="107"/>
      <c r="L138" s="107"/>
      <c r="M138" s="107"/>
      <c r="N138" s="107"/>
      <c r="O138" s="107"/>
      <c r="P138" s="52">
        <v>1.0</v>
      </c>
      <c r="Q138" s="52">
        <v>1.0</v>
      </c>
      <c r="R138" s="62"/>
      <c r="S138" s="54"/>
      <c r="T138" s="54"/>
      <c r="U138" s="54"/>
      <c r="V138" s="54"/>
      <c r="W138" s="54"/>
      <c r="X138" s="54"/>
      <c r="Y138" s="54"/>
      <c r="Z138" s="62"/>
      <c r="AA138" s="54">
        <f t="shared" ref="AA138:AE138" si="267">ROUND(E138*0.5+K138*0.5-S138,2)</f>
        <v>0.5</v>
      </c>
      <c r="AB138" s="54">
        <f t="shared" si="267"/>
        <v>0</v>
      </c>
      <c r="AC138" s="54">
        <f t="shared" si="267"/>
        <v>0</v>
      </c>
      <c r="AD138" s="54">
        <f t="shared" si="267"/>
        <v>0</v>
      </c>
      <c r="AE138" s="54">
        <f t="shared" si="267"/>
        <v>0</v>
      </c>
      <c r="AF138" s="54">
        <f t="shared" ref="AF138:AG138" si="268">ROUND(P138-X138,2)</f>
        <v>1</v>
      </c>
      <c r="AG138" s="54">
        <f t="shared" si="268"/>
        <v>1</v>
      </c>
      <c r="AH138" s="62"/>
      <c r="AI138" s="47"/>
      <c r="AJ138" s="47"/>
      <c r="AK138" s="47"/>
      <c r="AL138" s="47"/>
      <c r="AM138" s="47"/>
      <c r="AN138" s="47"/>
      <c r="AO138" s="47"/>
      <c r="AP138" s="76"/>
      <c r="AQ138" s="62"/>
      <c r="AR138" s="62"/>
      <c r="AS138" s="62"/>
      <c r="AT138" s="54"/>
      <c r="AU138" s="54"/>
      <c r="AV138" s="54"/>
      <c r="AW138" s="54"/>
      <c r="AX138" s="54"/>
      <c r="AY138" s="54"/>
      <c r="AZ138" s="54"/>
      <c r="BA138" s="57"/>
      <c r="BB138" s="57"/>
      <c r="BC138" s="57"/>
      <c r="BD138" s="57"/>
      <c r="BE138" s="59"/>
      <c r="BF138" s="47"/>
      <c r="BG138" s="47"/>
      <c r="BH138" s="47"/>
      <c r="BI138" s="47"/>
      <c r="BJ138" s="47"/>
      <c r="BK138" s="62"/>
      <c r="BL138" s="54"/>
      <c r="BM138" s="54"/>
      <c r="BN138" s="54"/>
      <c r="BO138" s="54"/>
      <c r="BP138" s="54"/>
    </row>
    <row r="139">
      <c r="A139" s="47">
        <v>135.0</v>
      </c>
      <c r="B139" s="118" t="s">
        <v>179</v>
      </c>
      <c r="C139" s="49" t="s">
        <v>161</v>
      </c>
      <c r="D139" s="106">
        <v>4.0</v>
      </c>
      <c r="E139" s="106">
        <v>1.0</v>
      </c>
      <c r="F139" s="106">
        <v>0.0</v>
      </c>
      <c r="G139" s="106">
        <v>0.0</v>
      </c>
      <c r="H139" s="106">
        <v>0.0</v>
      </c>
      <c r="I139" s="106">
        <v>0.0</v>
      </c>
      <c r="J139" s="107"/>
      <c r="K139" s="107"/>
      <c r="L139" s="107"/>
      <c r="M139" s="107"/>
      <c r="N139" s="107"/>
      <c r="O139" s="107"/>
      <c r="P139" s="52">
        <v>1.0</v>
      </c>
      <c r="Q139" s="52">
        <v>1.0</v>
      </c>
      <c r="R139" s="62"/>
      <c r="S139" s="47"/>
      <c r="T139" s="54"/>
      <c r="U139" s="54"/>
      <c r="V139" s="54"/>
      <c r="W139" s="54"/>
      <c r="X139" s="54"/>
      <c r="Y139" s="54"/>
      <c r="Z139" s="62"/>
      <c r="AA139" s="54">
        <f t="shared" ref="AA139:AE139" si="269">ROUND(E139*0.5+K139*0.5-S139,2)</f>
        <v>0.5</v>
      </c>
      <c r="AB139" s="54">
        <f t="shared" si="269"/>
        <v>0</v>
      </c>
      <c r="AC139" s="54">
        <f t="shared" si="269"/>
        <v>0</v>
      </c>
      <c r="AD139" s="54">
        <f t="shared" si="269"/>
        <v>0</v>
      </c>
      <c r="AE139" s="54">
        <f t="shared" si="269"/>
        <v>0</v>
      </c>
      <c r="AF139" s="54">
        <f t="shared" ref="AF139:AG139" si="270">ROUND(P139-X139,2)</f>
        <v>1</v>
      </c>
      <c r="AG139" s="54">
        <f t="shared" si="270"/>
        <v>1</v>
      </c>
      <c r="AH139" s="62"/>
      <c r="AI139" s="47"/>
      <c r="AJ139" s="47"/>
      <c r="AK139" s="47"/>
      <c r="AL139" s="47"/>
      <c r="AM139" s="47"/>
      <c r="AN139" s="47"/>
      <c r="AO139" s="47"/>
      <c r="AP139" s="74"/>
      <c r="AQ139" s="62"/>
      <c r="AR139" s="62"/>
      <c r="AS139" s="62"/>
      <c r="AT139" s="54"/>
      <c r="AU139" s="54"/>
      <c r="AV139" s="54"/>
      <c r="AW139" s="54"/>
      <c r="AX139" s="54"/>
      <c r="AY139" s="54"/>
      <c r="AZ139" s="54"/>
      <c r="BA139" s="57"/>
      <c r="BB139" s="58"/>
      <c r="BC139" s="57"/>
      <c r="BD139" s="57"/>
      <c r="BE139" s="59"/>
      <c r="BF139" s="60"/>
      <c r="BG139" s="61"/>
      <c r="BH139" s="61"/>
      <c r="BI139" s="61"/>
      <c r="BJ139" s="61"/>
      <c r="BK139" s="62"/>
      <c r="BL139" s="54"/>
      <c r="BM139" s="54"/>
      <c r="BN139" s="54"/>
      <c r="BO139" s="54"/>
      <c r="BP139" s="54"/>
    </row>
    <row r="140">
      <c r="A140" s="47">
        <v>136.0</v>
      </c>
      <c r="B140" s="118" t="s">
        <v>180</v>
      </c>
      <c r="C140" s="49" t="s">
        <v>161</v>
      </c>
      <c r="D140" s="106">
        <v>4.0</v>
      </c>
      <c r="E140" s="106">
        <v>1.0</v>
      </c>
      <c r="F140" s="106">
        <v>0.0</v>
      </c>
      <c r="G140" s="106">
        <v>0.0</v>
      </c>
      <c r="H140" s="106">
        <v>0.0</v>
      </c>
      <c r="I140" s="106">
        <v>0.0</v>
      </c>
      <c r="J140" s="107"/>
      <c r="K140" s="107"/>
      <c r="L140" s="107"/>
      <c r="M140" s="107"/>
      <c r="N140" s="107"/>
      <c r="O140" s="107"/>
      <c r="P140" s="52">
        <v>1.0</v>
      </c>
      <c r="Q140" s="52">
        <v>1.0</v>
      </c>
      <c r="R140" s="62"/>
      <c r="S140" s="47"/>
      <c r="T140" s="54"/>
      <c r="U140" s="54"/>
      <c r="V140" s="54"/>
      <c r="W140" s="54"/>
      <c r="X140" s="54"/>
      <c r="Y140" s="54"/>
      <c r="Z140" s="62"/>
      <c r="AA140" s="54">
        <f t="shared" ref="AA140:AE140" si="271">ROUND(E140*0.5+K140*0.5-S140,2)</f>
        <v>0.5</v>
      </c>
      <c r="AB140" s="54">
        <f t="shared" si="271"/>
        <v>0</v>
      </c>
      <c r="AC140" s="54">
        <f t="shared" si="271"/>
        <v>0</v>
      </c>
      <c r="AD140" s="54">
        <f t="shared" si="271"/>
        <v>0</v>
      </c>
      <c r="AE140" s="54">
        <f t="shared" si="271"/>
        <v>0</v>
      </c>
      <c r="AF140" s="54">
        <f t="shared" ref="AF140:AG140" si="272">ROUND(P140-X140,2)</f>
        <v>1</v>
      </c>
      <c r="AG140" s="54">
        <f t="shared" si="272"/>
        <v>1</v>
      </c>
      <c r="AH140" s="62"/>
      <c r="AI140" s="47"/>
      <c r="AJ140" s="47"/>
      <c r="AK140" s="47"/>
      <c r="AL140" s="47"/>
      <c r="AM140" s="47"/>
      <c r="AN140" s="47"/>
      <c r="AO140" s="47"/>
      <c r="AP140" s="74"/>
      <c r="AQ140" s="62"/>
      <c r="AR140" s="62"/>
      <c r="AS140" s="62"/>
      <c r="AT140" s="54"/>
      <c r="AU140" s="54"/>
      <c r="AV140" s="54"/>
      <c r="AW140" s="54"/>
      <c r="AX140" s="54"/>
      <c r="AY140" s="54"/>
      <c r="AZ140" s="54"/>
      <c r="BA140" s="57"/>
      <c r="BB140" s="58"/>
      <c r="BC140" s="57"/>
      <c r="BD140" s="57"/>
      <c r="BE140" s="59"/>
      <c r="BF140" s="60"/>
      <c r="BG140" s="61"/>
      <c r="BH140" s="61"/>
      <c r="BI140" s="61"/>
      <c r="BJ140" s="61"/>
      <c r="BK140" s="62"/>
      <c r="BL140" s="54"/>
      <c r="BM140" s="54"/>
      <c r="BN140" s="54"/>
      <c r="BO140" s="54"/>
      <c r="BP140" s="54"/>
    </row>
    <row r="141">
      <c r="A141" s="47">
        <v>137.0</v>
      </c>
      <c r="B141" s="118" t="s">
        <v>181</v>
      </c>
      <c r="C141" s="49" t="s">
        <v>161</v>
      </c>
      <c r="D141" s="106">
        <v>3.0</v>
      </c>
      <c r="E141" s="106">
        <v>0.0</v>
      </c>
      <c r="F141" s="106">
        <v>1.0</v>
      </c>
      <c r="G141" s="106">
        <v>0.0</v>
      </c>
      <c r="H141" s="106">
        <v>0.0</v>
      </c>
      <c r="I141" s="106">
        <v>0.0</v>
      </c>
      <c r="J141" s="107"/>
      <c r="K141" s="107"/>
      <c r="L141" s="107"/>
      <c r="M141" s="107"/>
      <c r="N141" s="107"/>
      <c r="O141" s="107"/>
      <c r="P141" s="52">
        <v>1.0</v>
      </c>
      <c r="Q141" s="52">
        <v>1.0</v>
      </c>
      <c r="R141" s="62"/>
      <c r="S141" s="47"/>
      <c r="T141" s="54"/>
      <c r="U141" s="54"/>
      <c r="V141" s="54"/>
      <c r="W141" s="54"/>
      <c r="X141" s="54"/>
      <c r="Y141" s="54"/>
      <c r="Z141" s="62"/>
      <c r="AA141" s="54">
        <f t="shared" ref="AA141:AE141" si="273">ROUND(E141*0.5+K141*0.5-S141,2)</f>
        <v>0</v>
      </c>
      <c r="AB141" s="54">
        <f t="shared" si="273"/>
        <v>0.5</v>
      </c>
      <c r="AC141" s="54">
        <f t="shared" si="273"/>
        <v>0</v>
      </c>
      <c r="AD141" s="54">
        <f t="shared" si="273"/>
        <v>0</v>
      </c>
      <c r="AE141" s="54">
        <f t="shared" si="273"/>
        <v>0</v>
      </c>
      <c r="AF141" s="54">
        <f t="shared" ref="AF141:AG141" si="274">ROUND(P141-X141,2)</f>
        <v>1</v>
      </c>
      <c r="AG141" s="54">
        <f t="shared" si="274"/>
        <v>1</v>
      </c>
      <c r="AH141" s="62"/>
      <c r="AI141" s="47"/>
      <c r="AJ141" s="47"/>
      <c r="AK141" s="47"/>
      <c r="AL141" s="47"/>
      <c r="AM141" s="47"/>
      <c r="AN141" s="47"/>
      <c r="AO141" s="47"/>
      <c r="AP141" s="74"/>
      <c r="AQ141" s="62"/>
      <c r="AR141" s="62"/>
      <c r="AS141" s="62"/>
      <c r="AT141" s="54"/>
      <c r="AU141" s="54"/>
      <c r="AV141" s="54"/>
      <c r="AW141" s="54"/>
      <c r="AX141" s="54"/>
      <c r="AY141" s="54"/>
      <c r="AZ141" s="54"/>
      <c r="BA141" s="57"/>
      <c r="BB141" s="58"/>
      <c r="BC141" s="57"/>
      <c r="BD141" s="57"/>
      <c r="BE141" s="59"/>
      <c r="BF141" s="60"/>
      <c r="BG141" s="61"/>
      <c r="BH141" s="61"/>
      <c r="BI141" s="61"/>
      <c r="BJ141" s="61"/>
      <c r="BK141" s="62"/>
      <c r="BL141" s="54"/>
      <c r="BM141" s="54"/>
      <c r="BN141" s="54"/>
      <c r="BO141" s="54"/>
      <c r="BP141" s="54"/>
    </row>
    <row r="142">
      <c r="A142" s="47">
        <v>138.0</v>
      </c>
      <c r="B142" s="122" t="s">
        <v>182</v>
      </c>
      <c r="C142" s="49" t="s">
        <v>161</v>
      </c>
      <c r="D142" s="106">
        <v>4.0</v>
      </c>
      <c r="E142" s="106">
        <v>1.0</v>
      </c>
      <c r="F142" s="106">
        <v>0.0</v>
      </c>
      <c r="G142" s="106">
        <v>0.0</v>
      </c>
      <c r="H142" s="106">
        <v>0.0</v>
      </c>
      <c r="I142" s="106">
        <v>0.0</v>
      </c>
      <c r="J142" s="107"/>
      <c r="K142" s="107"/>
      <c r="L142" s="107"/>
      <c r="M142" s="107"/>
      <c r="N142" s="107"/>
      <c r="O142" s="107"/>
      <c r="P142" s="52">
        <v>1.0</v>
      </c>
      <c r="Q142" s="52">
        <v>1.0</v>
      </c>
      <c r="R142" s="62"/>
      <c r="S142" s="47"/>
      <c r="T142" s="54"/>
      <c r="U142" s="54"/>
      <c r="V142" s="54"/>
      <c r="W142" s="54"/>
      <c r="X142" s="54"/>
      <c r="Y142" s="54"/>
      <c r="Z142" s="62"/>
      <c r="AA142" s="54">
        <f t="shared" ref="AA142:AE142" si="275">ROUND(E142*0.5+K142*0.5-S142,2)</f>
        <v>0.5</v>
      </c>
      <c r="AB142" s="54">
        <f t="shared" si="275"/>
        <v>0</v>
      </c>
      <c r="AC142" s="54">
        <f t="shared" si="275"/>
        <v>0</v>
      </c>
      <c r="AD142" s="54">
        <f t="shared" si="275"/>
        <v>0</v>
      </c>
      <c r="AE142" s="54">
        <f t="shared" si="275"/>
        <v>0</v>
      </c>
      <c r="AF142" s="54">
        <f t="shared" ref="AF142:AG142" si="276">ROUND(P142-X142,2)</f>
        <v>1</v>
      </c>
      <c r="AG142" s="54">
        <f t="shared" si="276"/>
        <v>1</v>
      </c>
      <c r="AH142" s="62"/>
      <c r="AI142" s="47"/>
      <c r="AJ142" s="47"/>
      <c r="AK142" s="47"/>
      <c r="AL142" s="47"/>
      <c r="AM142" s="47"/>
      <c r="AN142" s="47"/>
      <c r="AO142" s="47"/>
      <c r="AP142" s="52"/>
      <c r="AQ142" s="62"/>
      <c r="AR142" s="62"/>
      <c r="AS142" s="62"/>
      <c r="AT142" s="54"/>
      <c r="AU142" s="54"/>
      <c r="AV142" s="54"/>
      <c r="AW142" s="54"/>
      <c r="AX142" s="54"/>
      <c r="AY142" s="54"/>
      <c r="AZ142" s="54"/>
      <c r="BA142" s="57"/>
      <c r="BB142" s="58"/>
      <c r="BC142" s="57"/>
      <c r="BD142" s="57"/>
      <c r="BE142" s="59"/>
      <c r="BF142" s="60"/>
      <c r="BG142" s="61"/>
      <c r="BH142" s="61"/>
      <c r="BI142" s="61"/>
      <c r="BJ142" s="61"/>
      <c r="BK142" s="62"/>
      <c r="BL142" s="54"/>
      <c r="BM142" s="54"/>
      <c r="BN142" s="54"/>
      <c r="BO142" s="54"/>
      <c r="BP142" s="54"/>
    </row>
    <row r="143">
      <c r="A143" s="47">
        <v>139.0</v>
      </c>
      <c r="B143" s="101" t="s">
        <v>183</v>
      </c>
      <c r="C143" s="49" t="s">
        <v>161</v>
      </c>
      <c r="D143" s="106">
        <v>4.0</v>
      </c>
      <c r="E143" s="106">
        <v>0.0</v>
      </c>
      <c r="F143" s="106">
        <v>0.0</v>
      </c>
      <c r="G143" s="106">
        <v>0.0</v>
      </c>
      <c r="H143" s="106">
        <v>0.0</v>
      </c>
      <c r="I143" s="106">
        <v>0.0</v>
      </c>
      <c r="J143" s="107"/>
      <c r="K143" s="107"/>
      <c r="L143" s="107"/>
      <c r="M143" s="107"/>
      <c r="N143" s="107"/>
      <c r="O143" s="107"/>
      <c r="P143" s="52">
        <v>1.0</v>
      </c>
      <c r="Q143" s="52">
        <v>1.0</v>
      </c>
      <c r="R143" s="62"/>
      <c r="S143" s="47"/>
      <c r="T143" s="54"/>
      <c r="U143" s="54"/>
      <c r="V143" s="54"/>
      <c r="W143" s="54"/>
      <c r="X143" s="54"/>
      <c r="Y143" s="54"/>
      <c r="Z143" s="62"/>
      <c r="AA143" s="54">
        <f t="shared" ref="AA143:AE143" si="277">ROUND(E143*0.5+K143*0.5-S143,2)</f>
        <v>0</v>
      </c>
      <c r="AB143" s="54">
        <f t="shared" si="277"/>
        <v>0</v>
      </c>
      <c r="AC143" s="54">
        <f t="shared" si="277"/>
        <v>0</v>
      </c>
      <c r="AD143" s="54">
        <f t="shared" si="277"/>
        <v>0</v>
      </c>
      <c r="AE143" s="54">
        <f t="shared" si="277"/>
        <v>0</v>
      </c>
      <c r="AF143" s="54">
        <f t="shared" ref="AF143:AG143" si="278">ROUND(P143-X143,2)</f>
        <v>1</v>
      </c>
      <c r="AG143" s="54">
        <f t="shared" si="278"/>
        <v>1</v>
      </c>
      <c r="AH143" s="62"/>
      <c r="AI143" s="47"/>
      <c r="AJ143" s="47"/>
      <c r="AK143" s="47"/>
      <c r="AL143" s="47"/>
      <c r="AM143" s="47"/>
      <c r="AN143" s="47"/>
      <c r="AO143" s="47"/>
      <c r="AP143" s="74"/>
      <c r="AQ143" s="62"/>
      <c r="AR143" s="62"/>
      <c r="AS143" s="62"/>
      <c r="AT143" s="54"/>
      <c r="AU143" s="54"/>
      <c r="AV143" s="54"/>
      <c r="AW143" s="54"/>
      <c r="AX143" s="54"/>
      <c r="AY143" s="54"/>
      <c r="AZ143" s="54"/>
      <c r="BA143" s="57"/>
      <c r="BB143" s="58"/>
      <c r="BC143" s="57"/>
      <c r="BD143" s="57"/>
      <c r="BE143" s="59"/>
      <c r="BF143" s="60"/>
      <c r="BG143" s="61"/>
      <c r="BH143" s="61"/>
      <c r="BI143" s="61"/>
      <c r="BJ143" s="61"/>
      <c r="BK143" s="62"/>
      <c r="BL143" s="54"/>
      <c r="BM143" s="54"/>
      <c r="BN143" s="54"/>
      <c r="BO143" s="54"/>
      <c r="BP143" s="54"/>
    </row>
    <row r="144">
      <c r="A144" s="47">
        <v>140.0</v>
      </c>
      <c r="B144" s="123" t="s">
        <v>184</v>
      </c>
      <c r="C144" s="49" t="s">
        <v>161</v>
      </c>
      <c r="D144" s="106">
        <v>4.0</v>
      </c>
      <c r="E144" s="106">
        <v>0.0</v>
      </c>
      <c r="F144" s="106">
        <v>0.0</v>
      </c>
      <c r="G144" s="106">
        <v>0.0</v>
      </c>
      <c r="H144" s="106">
        <v>0.0</v>
      </c>
      <c r="I144" s="106">
        <v>0.0</v>
      </c>
      <c r="J144" s="107"/>
      <c r="K144" s="107"/>
      <c r="L144" s="107"/>
      <c r="M144" s="107"/>
      <c r="N144" s="107"/>
      <c r="O144" s="107"/>
      <c r="P144" s="52">
        <v>1.0</v>
      </c>
      <c r="Q144" s="52">
        <v>1.0</v>
      </c>
      <c r="R144" s="62"/>
      <c r="S144" s="54"/>
      <c r="T144" s="54"/>
      <c r="U144" s="54"/>
      <c r="V144" s="47"/>
      <c r="W144" s="54"/>
      <c r="X144" s="54"/>
      <c r="Y144" s="54"/>
      <c r="Z144" s="62"/>
      <c r="AA144" s="54">
        <f t="shared" ref="AA144:AE144" si="279">ROUND(E144*0.5+K144*0.5-S144,2)</f>
        <v>0</v>
      </c>
      <c r="AB144" s="54">
        <f t="shared" si="279"/>
        <v>0</v>
      </c>
      <c r="AC144" s="54">
        <f t="shared" si="279"/>
        <v>0</v>
      </c>
      <c r="AD144" s="54">
        <f t="shared" si="279"/>
        <v>0</v>
      </c>
      <c r="AE144" s="54">
        <f t="shared" si="279"/>
        <v>0</v>
      </c>
      <c r="AF144" s="54">
        <f t="shared" ref="AF144:AG144" si="280">ROUND(P144-X144,2)</f>
        <v>1</v>
      </c>
      <c r="AG144" s="54">
        <f t="shared" si="280"/>
        <v>1</v>
      </c>
      <c r="AH144" s="62"/>
      <c r="AI144" s="47"/>
      <c r="AJ144" s="47"/>
      <c r="AK144" s="47"/>
      <c r="AL144" s="47"/>
      <c r="AM144" s="47"/>
      <c r="AN144" s="47"/>
      <c r="AO144" s="47"/>
      <c r="AP144" s="52"/>
      <c r="AQ144" s="62"/>
      <c r="AR144" s="62"/>
      <c r="AS144" s="62"/>
      <c r="AT144" s="54"/>
      <c r="AU144" s="54"/>
      <c r="AV144" s="54"/>
      <c r="AW144" s="54"/>
      <c r="AX144" s="54"/>
      <c r="AY144" s="54"/>
      <c r="AZ144" s="54"/>
      <c r="BA144" s="57"/>
      <c r="BB144" s="58"/>
      <c r="BC144" s="57"/>
      <c r="BD144" s="57"/>
      <c r="BE144" s="59"/>
      <c r="BF144" s="60"/>
      <c r="BG144" s="61"/>
      <c r="BH144" s="61"/>
      <c r="BI144" s="61"/>
      <c r="BJ144" s="61"/>
      <c r="BK144" s="62"/>
      <c r="BL144" s="54"/>
      <c r="BM144" s="54"/>
      <c r="BN144" s="54"/>
      <c r="BO144" s="54"/>
      <c r="BP144" s="54"/>
    </row>
    <row r="145">
      <c r="A145" s="47">
        <v>141.0</v>
      </c>
      <c r="B145" s="117" t="s">
        <v>185</v>
      </c>
      <c r="C145" s="49" t="s">
        <v>161</v>
      </c>
      <c r="D145" s="106">
        <v>4.0</v>
      </c>
      <c r="E145" s="106">
        <v>0.0</v>
      </c>
      <c r="F145" s="106">
        <v>0.0</v>
      </c>
      <c r="G145" s="106">
        <v>0.0</v>
      </c>
      <c r="H145" s="106">
        <v>0.0</v>
      </c>
      <c r="I145" s="106">
        <v>0.0</v>
      </c>
      <c r="J145" s="107"/>
      <c r="K145" s="107"/>
      <c r="L145" s="107"/>
      <c r="M145" s="107"/>
      <c r="N145" s="107"/>
      <c r="O145" s="107"/>
      <c r="P145" s="52">
        <v>1.0</v>
      </c>
      <c r="Q145" s="52">
        <v>1.0</v>
      </c>
      <c r="R145" s="62"/>
      <c r="S145" s="54"/>
      <c r="T145" s="54"/>
      <c r="U145" s="54"/>
      <c r="V145" s="54"/>
      <c r="W145" s="54"/>
      <c r="X145" s="54"/>
      <c r="Y145" s="54"/>
      <c r="Z145" s="62"/>
      <c r="AA145" s="54">
        <f t="shared" ref="AA145:AE145" si="281">ROUND(E145*0.5+K145*0.5-S145,2)</f>
        <v>0</v>
      </c>
      <c r="AB145" s="54">
        <f t="shared" si="281"/>
        <v>0</v>
      </c>
      <c r="AC145" s="54">
        <f t="shared" si="281"/>
        <v>0</v>
      </c>
      <c r="AD145" s="54">
        <f t="shared" si="281"/>
        <v>0</v>
      </c>
      <c r="AE145" s="54">
        <f t="shared" si="281"/>
        <v>0</v>
      </c>
      <c r="AF145" s="54">
        <f t="shared" ref="AF145:AG145" si="282">ROUND(P145-X145,2)</f>
        <v>1</v>
      </c>
      <c r="AG145" s="54">
        <f t="shared" si="282"/>
        <v>1</v>
      </c>
      <c r="AH145" s="62"/>
      <c r="AI145" s="47"/>
      <c r="AJ145" s="47"/>
      <c r="AK145" s="47"/>
      <c r="AL145" s="47"/>
      <c r="AM145" s="47"/>
      <c r="AN145" s="47"/>
      <c r="AO145" s="47"/>
      <c r="AP145" s="52"/>
      <c r="AQ145" s="62"/>
      <c r="AR145" s="62"/>
      <c r="AS145" s="62"/>
      <c r="AT145" s="71"/>
      <c r="AU145" s="54"/>
      <c r="AV145" s="54"/>
      <c r="AW145" s="54"/>
      <c r="AX145" s="54"/>
      <c r="AY145" s="124"/>
      <c r="AZ145" s="54"/>
      <c r="BA145" s="57"/>
      <c r="BB145" s="58"/>
      <c r="BC145" s="57"/>
      <c r="BD145" s="57"/>
      <c r="BE145" s="59"/>
      <c r="BF145" s="68"/>
      <c r="BG145" s="69"/>
      <c r="BH145" s="69"/>
      <c r="BI145" s="69"/>
      <c r="BJ145" s="69"/>
      <c r="BK145" s="62"/>
      <c r="BL145" s="54"/>
      <c r="BM145" s="54"/>
      <c r="BN145" s="54"/>
      <c r="BO145" s="54"/>
      <c r="BP145" s="54"/>
    </row>
    <row r="146">
      <c r="A146" s="47">
        <v>142.0</v>
      </c>
      <c r="B146" s="117" t="s">
        <v>186</v>
      </c>
      <c r="C146" s="49" t="s">
        <v>161</v>
      </c>
      <c r="D146" s="106">
        <v>4.0</v>
      </c>
      <c r="E146" s="106">
        <v>0.0</v>
      </c>
      <c r="F146" s="106">
        <v>0.0</v>
      </c>
      <c r="G146" s="106">
        <v>0.0</v>
      </c>
      <c r="H146" s="106">
        <v>0.0</v>
      </c>
      <c r="I146" s="106">
        <v>0.0</v>
      </c>
      <c r="J146" s="107"/>
      <c r="K146" s="107"/>
      <c r="L146" s="107"/>
      <c r="M146" s="107"/>
      <c r="N146" s="107"/>
      <c r="O146" s="107"/>
      <c r="P146" s="52">
        <v>1.0</v>
      </c>
      <c r="Q146" s="52">
        <v>1.0</v>
      </c>
      <c r="R146" s="62"/>
      <c r="S146" s="54"/>
      <c r="T146" s="54"/>
      <c r="U146" s="54"/>
      <c r="V146" s="54"/>
      <c r="W146" s="54"/>
      <c r="X146" s="54"/>
      <c r="Y146" s="54"/>
      <c r="Z146" s="62"/>
      <c r="AA146" s="54">
        <f t="shared" ref="AA146:AE146" si="283">ROUND(E146*0.5+K146*0.5-S146,2)</f>
        <v>0</v>
      </c>
      <c r="AB146" s="54">
        <f t="shared" si="283"/>
        <v>0</v>
      </c>
      <c r="AC146" s="54">
        <f t="shared" si="283"/>
        <v>0</v>
      </c>
      <c r="AD146" s="54">
        <f t="shared" si="283"/>
        <v>0</v>
      </c>
      <c r="AE146" s="54">
        <f t="shared" si="283"/>
        <v>0</v>
      </c>
      <c r="AF146" s="54">
        <f t="shared" ref="AF146:AG146" si="284">ROUND(P146-X146,2)</f>
        <v>1</v>
      </c>
      <c r="AG146" s="54">
        <f t="shared" si="284"/>
        <v>1</v>
      </c>
      <c r="AH146" s="62"/>
      <c r="AI146" s="47"/>
      <c r="AJ146" s="47"/>
      <c r="AK146" s="47"/>
      <c r="AL146" s="47"/>
      <c r="AM146" s="47"/>
      <c r="AN146" s="47"/>
      <c r="AO146" s="47"/>
      <c r="AP146" s="76"/>
      <c r="AQ146" s="62"/>
      <c r="AR146" s="62"/>
      <c r="AS146" s="62"/>
      <c r="AT146" s="71"/>
      <c r="AU146" s="54"/>
      <c r="AV146" s="54"/>
      <c r="AW146" s="54"/>
      <c r="AX146" s="54"/>
      <c r="AY146" s="54"/>
      <c r="AZ146" s="71"/>
      <c r="BA146" s="57"/>
      <c r="BB146" s="58"/>
      <c r="BC146" s="57"/>
      <c r="BD146" s="57"/>
      <c r="BE146" s="59"/>
      <c r="BF146" s="60"/>
      <c r="BG146" s="61"/>
      <c r="BH146" s="61"/>
      <c r="BI146" s="61"/>
      <c r="BJ146" s="61"/>
      <c r="BK146" s="62"/>
      <c r="BL146" s="54"/>
      <c r="BM146" s="54"/>
      <c r="BN146" s="54"/>
      <c r="BO146" s="54"/>
      <c r="BP146" s="54"/>
    </row>
    <row r="147">
      <c r="A147" s="47">
        <v>143.0</v>
      </c>
      <c r="B147" s="117" t="s">
        <v>187</v>
      </c>
      <c r="C147" s="49" t="s">
        <v>161</v>
      </c>
      <c r="D147" s="106">
        <v>4.0</v>
      </c>
      <c r="E147" s="106">
        <v>0.0</v>
      </c>
      <c r="F147" s="106">
        <v>0.0</v>
      </c>
      <c r="G147" s="106">
        <v>0.0</v>
      </c>
      <c r="H147" s="106">
        <v>0.0</v>
      </c>
      <c r="I147" s="106">
        <v>0.0</v>
      </c>
      <c r="J147" s="107"/>
      <c r="K147" s="107"/>
      <c r="L147" s="107"/>
      <c r="M147" s="107"/>
      <c r="N147" s="107"/>
      <c r="O147" s="107"/>
      <c r="P147" s="52">
        <v>1.0</v>
      </c>
      <c r="Q147" s="52">
        <v>1.0</v>
      </c>
      <c r="R147" s="62"/>
      <c r="S147" s="47"/>
      <c r="T147" s="54"/>
      <c r="U147" s="54"/>
      <c r="V147" s="54"/>
      <c r="W147" s="54"/>
      <c r="X147" s="54"/>
      <c r="Y147" s="47"/>
      <c r="Z147" s="62"/>
      <c r="AA147" s="54">
        <f t="shared" ref="AA147:AE147" si="285">ROUND(E147*0.5+K147*0.5-S147,2)</f>
        <v>0</v>
      </c>
      <c r="AB147" s="54">
        <f t="shared" si="285"/>
        <v>0</v>
      </c>
      <c r="AC147" s="54">
        <f t="shared" si="285"/>
        <v>0</v>
      </c>
      <c r="AD147" s="54">
        <f t="shared" si="285"/>
        <v>0</v>
      </c>
      <c r="AE147" s="54">
        <f t="shared" si="285"/>
        <v>0</v>
      </c>
      <c r="AF147" s="54">
        <f t="shared" ref="AF147:AG147" si="286">ROUND(P147-X147,2)</f>
        <v>1</v>
      </c>
      <c r="AG147" s="54">
        <f t="shared" si="286"/>
        <v>1</v>
      </c>
      <c r="AH147" s="62"/>
      <c r="AI147" s="47"/>
      <c r="AJ147" s="47"/>
      <c r="AK147" s="47"/>
      <c r="AL147" s="47"/>
      <c r="AM147" s="47"/>
      <c r="AN147" s="47"/>
      <c r="AO147" s="47"/>
      <c r="AP147" s="74"/>
      <c r="AQ147" s="62"/>
      <c r="AR147" s="62"/>
      <c r="AS147" s="62"/>
      <c r="AT147" s="54"/>
      <c r="AU147" s="54"/>
      <c r="AV147" s="54"/>
      <c r="AW147" s="54"/>
      <c r="AX147" s="54"/>
      <c r="AY147" s="54"/>
      <c r="AZ147" s="54"/>
      <c r="BA147" s="57"/>
      <c r="BB147" s="58"/>
      <c r="BC147" s="58"/>
      <c r="BD147" s="57"/>
      <c r="BE147" s="59"/>
      <c r="BF147" s="68"/>
      <c r="BG147" s="69"/>
      <c r="BH147" s="69"/>
      <c r="BI147" s="69"/>
      <c r="BJ147" s="69"/>
      <c r="BK147" s="62"/>
      <c r="BL147" s="54"/>
      <c r="BM147" s="54"/>
      <c r="BN147" s="54"/>
      <c r="BO147" s="54"/>
      <c r="BP147" s="54"/>
    </row>
    <row r="148">
      <c r="A148" s="47">
        <v>144.0</v>
      </c>
      <c r="B148" s="117" t="s">
        <v>188</v>
      </c>
      <c r="C148" s="49" t="s">
        <v>161</v>
      </c>
      <c r="D148" s="106">
        <v>4.0</v>
      </c>
      <c r="E148" s="106">
        <v>0.0</v>
      </c>
      <c r="F148" s="106">
        <v>0.0</v>
      </c>
      <c r="G148" s="106">
        <v>0.0</v>
      </c>
      <c r="H148" s="106">
        <v>0.0</v>
      </c>
      <c r="I148" s="106">
        <v>0.0</v>
      </c>
      <c r="J148" s="107"/>
      <c r="K148" s="107"/>
      <c r="L148" s="107"/>
      <c r="M148" s="107"/>
      <c r="N148" s="107"/>
      <c r="O148" s="107"/>
      <c r="P148" s="52">
        <v>1.0</v>
      </c>
      <c r="Q148" s="52">
        <v>1.0</v>
      </c>
      <c r="R148" s="62"/>
      <c r="S148" s="54"/>
      <c r="T148" s="54"/>
      <c r="U148" s="54"/>
      <c r="V148" s="54"/>
      <c r="W148" s="54"/>
      <c r="X148" s="54"/>
      <c r="Y148" s="54"/>
      <c r="Z148" s="62"/>
      <c r="AA148" s="54">
        <f t="shared" ref="AA148:AE148" si="287">ROUND(E148*0.5+K148*0.5-S148,2)</f>
        <v>0</v>
      </c>
      <c r="AB148" s="54">
        <f t="shared" si="287"/>
        <v>0</v>
      </c>
      <c r="AC148" s="54">
        <f t="shared" si="287"/>
        <v>0</v>
      </c>
      <c r="AD148" s="54">
        <f t="shared" si="287"/>
        <v>0</v>
      </c>
      <c r="AE148" s="54">
        <f t="shared" si="287"/>
        <v>0</v>
      </c>
      <c r="AF148" s="54">
        <f t="shared" ref="AF148:AG148" si="288">ROUND(P148-X148,2)</f>
        <v>1</v>
      </c>
      <c r="AG148" s="54">
        <f t="shared" si="288"/>
        <v>1</v>
      </c>
      <c r="AH148" s="62"/>
      <c r="AI148" s="47"/>
      <c r="AJ148" s="47"/>
      <c r="AK148" s="47"/>
      <c r="AL148" s="47"/>
      <c r="AM148" s="47"/>
      <c r="AN148" s="47"/>
      <c r="AO148" s="47"/>
      <c r="AP148" s="74"/>
      <c r="AQ148" s="62"/>
      <c r="AR148" s="62"/>
      <c r="AS148" s="62"/>
      <c r="AT148" s="71"/>
      <c r="AU148" s="72"/>
      <c r="AV148" s="54"/>
      <c r="AW148" s="54"/>
      <c r="AX148" s="54"/>
      <c r="AY148" s="54"/>
      <c r="AZ148" s="72"/>
      <c r="BA148" s="72"/>
      <c r="BB148" s="58"/>
      <c r="BC148" s="58"/>
      <c r="BD148" s="57"/>
      <c r="BE148" s="59"/>
      <c r="BF148" s="68"/>
      <c r="BG148" s="68"/>
      <c r="BH148" s="68"/>
      <c r="BI148" s="68"/>
      <c r="BJ148" s="68"/>
      <c r="BK148" s="62"/>
      <c r="BL148" s="54"/>
      <c r="BM148" s="54"/>
      <c r="BN148" s="54"/>
      <c r="BO148" s="54"/>
      <c r="BP148" s="54"/>
    </row>
    <row r="149">
      <c r="A149" s="47">
        <v>145.0</v>
      </c>
      <c r="B149" s="117" t="s">
        <v>189</v>
      </c>
      <c r="C149" s="125" t="s">
        <v>190</v>
      </c>
      <c r="D149" s="106">
        <v>0.0</v>
      </c>
      <c r="E149" s="106">
        <v>0.2</v>
      </c>
      <c r="F149" s="106">
        <v>0.0</v>
      </c>
      <c r="G149" s="106">
        <v>0.2</v>
      </c>
      <c r="H149" s="106">
        <v>0.0</v>
      </c>
      <c r="I149" s="106">
        <v>0.6</v>
      </c>
      <c r="J149" s="75"/>
      <c r="K149" s="107"/>
      <c r="L149" s="107"/>
      <c r="M149" s="107"/>
      <c r="N149" s="107"/>
      <c r="O149" s="107"/>
      <c r="P149" s="52">
        <v>1.0</v>
      </c>
      <c r="Q149" s="52">
        <v>1.0</v>
      </c>
      <c r="R149" s="62"/>
      <c r="S149" s="47"/>
      <c r="T149" s="47"/>
      <c r="U149" s="47"/>
      <c r="V149" s="54"/>
      <c r="W149" s="54"/>
      <c r="X149" s="54"/>
      <c r="Y149" s="54"/>
      <c r="Z149" s="62"/>
      <c r="AA149" s="54">
        <f t="shared" ref="AA149:AE149" si="289">ROUND(E149*0.5+K149*0.5-S149,2)</f>
        <v>0.1</v>
      </c>
      <c r="AB149" s="54">
        <f t="shared" si="289"/>
        <v>0</v>
      </c>
      <c r="AC149" s="54">
        <f t="shared" si="289"/>
        <v>0.1</v>
      </c>
      <c r="AD149" s="54">
        <f t="shared" si="289"/>
        <v>0</v>
      </c>
      <c r="AE149" s="54">
        <f t="shared" si="289"/>
        <v>0.3</v>
      </c>
      <c r="AF149" s="54">
        <f t="shared" ref="AF149:AG149" si="290">ROUND(P149-X149,2)</f>
        <v>1</v>
      </c>
      <c r="AG149" s="54">
        <f t="shared" si="290"/>
        <v>1</v>
      </c>
      <c r="AH149" s="62"/>
      <c r="AI149" s="47"/>
      <c r="AJ149" s="47"/>
      <c r="AK149" s="47"/>
      <c r="AL149" s="47"/>
      <c r="AM149" s="47"/>
      <c r="AN149" s="47"/>
      <c r="AO149" s="47"/>
      <c r="AP149" s="52"/>
      <c r="AQ149" s="62"/>
      <c r="AR149" s="62"/>
      <c r="AS149" s="62"/>
      <c r="AT149" s="54"/>
      <c r="AU149" s="54"/>
      <c r="AV149" s="54"/>
      <c r="AW149" s="54"/>
      <c r="AX149" s="54"/>
      <c r="AY149" s="54"/>
      <c r="AZ149" s="54"/>
      <c r="BA149" s="57"/>
      <c r="BB149" s="57"/>
      <c r="BC149" s="57"/>
      <c r="BD149" s="57"/>
      <c r="BE149" s="59"/>
      <c r="BF149" s="60"/>
      <c r="BG149" s="61"/>
      <c r="BH149" s="61"/>
      <c r="BI149" s="61"/>
      <c r="BJ149" s="61"/>
      <c r="BK149" s="62"/>
      <c r="BL149" s="54"/>
      <c r="BM149" s="54"/>
      <c r="BN149" s="54"/>
      <c r="BO149" s="54"/>
      <c r="BP149" s="54"/>
    </row>
    <row r="150">
      <c r="A150" s="47">
        <v>146.0</v>
      </c>
      <c r="B150" s="117" t="s">
        <v>191</v>
      </c>
      <c r="C150" s="125" t="s">
        <v>190</v>
      </c>
      <c r="D150" s="106">
        <v>3.5</v>
      </c>
      <c r="E150" s="106">
        <v>0.0</v>
      </c>
      <c r="F150" s="106">
        <v>0.0</v>
      </c>
      <c r="G150" s="106">
        <v>0.0</v>
      </c>
      <c r="H150" s="106">
        <v>0.8</v>
      </c>
      <c r="I150" s="106">
        <v>0.2</v>
      </c>
      <c r="J150" s="75"/>
      <c r="K150" s="107"/>
      <c r="L150" s="107"/>
      <c r="M150" s="107"/>
      <c r="N150" s="107"/>
      <c r="O150" s="107"/>
      <c r="P150" s="52">
        <v>1.0</v>
      </c>
      <c r="Q150" s="52">
        <v>1.0</v>
      </c>
      <c r="R150" s="62"/>
      <c r="S150" s="47"/>
      <c r="T150" s="47"/>
      <c r="U150" s="47"/>
      <c r="V150" s="47">
        <v>0.08</v>
      </c>
      <c r="W150" s="54"/>
      <c r="X150" s="54"/>
      <c r="Y150" s="47">
        <v>1.0</v>
      </c>
      <c r="Z150" s="62"/>
      <c r="AA150" s="54">
        <f t="shared" ref="AA150:AE150" si="291">ROUND(E150*0.5+K150*0.5-S150,2)</f>
        <v>0</v>
      </c>
      <c r="AB150" s="54">
        <f t="shared" si="291"/>
        <v>0</v>
      </c>
      <c r="AC150" s="54">
        <f t="shared" si="291"/>
        <v>0</v>
      </c>
      <c r="AD150" s="54">
        <f t="shared" si="291"/>
        <v>0.32</v>
      </c>
      <c r="AE150" s="54">
        <f t="shared" si="291"/>
        <v>0.1</v>
      </c>
      <c r="AF150" s="54">
        <f t="shared" ref="AF150:AG150" si="292">ROUND(P150-X150,2)</f>
        <v>1</v>
      </c>
      <c r="AG150" s="54">
        <f t="shared" si="292"/>
        <v>0</v>
      </c>
      <c r="AH150" s="62"/>
      <c r="AI150" s="47"/>
      <c r="AJ150" s="47"/>
      <c r="AK150" s="47"/>
      <c r="AL150" s="47"/>
      <c r="AM150" s="47"/>
      <c r="AN150" s="47"/>
      <c r="AO150" s="47"/>
      <c r="AP150" s="76"/>
      <c r="AQ150" s="62"/>
      <c r="AR150" s="62"/>
      <c r="AS150" s="62"/>
      <c r="AT150" s="72"/>
      <c r="AU150" s="72"/>
      <c r="AV150" s="77"/>
      <c r="AW150" s="77"/>
      <c r="AX150" s="77"/>
      <c r="AY150" s="72"/>
      <c r="AZ150" s="72"/>
      <c r="BA150" s="58"/>
      <c r="BB150" s="58"/>
      <c r="BC150" s="57"/>
      <c r="BD150" s="57"/>
      <c r="BE150" s="59"/>
      <c r="BF150" s="60"/>
      <c r="BG150" s="61"/>
      <c r="BH150" s="61"/>
      <c r="BI150" s="61"/>
      <c r="BJ150" s="61"/>
      <c r="BK150" s="62"/>
      <c r="BL150" s="54"/>
      <c r="BM150" s="54"/>
      <c r="BN150" s="54"/>
      <c r="BO150" s="54"/>
      <c r="BP150" s="54"/>
    </row>
    <row r="151">
      <c r="A151" s="47">
        <v>147.0</v>
      </c>
      <c r="B151" s="123" t="s">
        <v>192</v>
      </c>
      <c r="C151" s="125" t="s">
        <v>190</v>
      </c>
      <c r="D151" s="106">
        <v>3.0</v>
      </c>
      <c r="E151" s="106">
        <v>0.6</v>
      </c>
      <c r="F151" s="106">
        <v>0.2</v>
      </c>
      <c r="G151" s="106">
        <v>0.0</v>
      </c>
      <c r="H151" s="106">
        <v>0.2</v>
      </c>
      <c r="I151" s="106">
        <v>0.0</v>
      </c>
      <c r="J151" s="75"/>
      <c r="K151" s="107"/>
      <c r="L151" s="107"/>
      <c r="M151" s="107"/>
      <c r="N151" s="107"/>
      <c r="O151" s="107"/>
      <c r="P151" s="52">
        <v>1.0</v>
      </c>
      <c r="Q151" s="52">
        <v>1.0</v>
      </c>
      <c r="R151" s="62"/>
      <c r="S151" s="47">
        <v>0.5</v>
      </c>
      <c r="T151" s="47"/>
      <c r="U151" s="47"/>
      <c r="V151" s="54"/>
      <c r="W151" s="54"/>
      <c r="X151" s="54"/>
      <c r="Y151" s="54"/>
      <c r="Z151" s="62"/>
      <c r="AA151" s="54">
        <f t="shared" ref="AA151:AE151" si="293">ROUND(E151*0.5+K151*0.5-S151,2)</f>
        <v>-0.2</v>
      </c>
      <c r="AB151" s="54">
        <f t="shared" si="293"/>
        <v>0.1</v>
      </c>
      <c r="AC151" s="54">
        <f t="shared" si="293"/>
        <v>0</v>
      </c>
      <c r="AD151" s="54">
        <f t="shared" si="293"/>
        <v>0.1</v>
      </c>
      <c r="AE151" s="54">
        <f t="shared" si="293"/>
        <v>0</v>
      </c>
      <c r="AF151" s="54">
        <f t="shared" ref="AF151:AG151" si="294">ROUND(P151-X151,2)</f>
        <v>1</v>
      </c>
      <c r="AG151" s="54">
        <f t="shared" si="294"/>
        <v>1</v>
      </c>
      <c r="AH151" s="62"/>
      <c r="AI151" s="47"/>
      <c r="AJ151" s="47"/>
      <c r="AK151" s="47"/>
      <c r="AL151" s="47"/>
      <c r="AM151" s="47"/>
      <c r="AN151" s="47"/>
      <c r="AO151" s="47"/>
      <c r="AP151" s="76"/>
      <c r="AQ151" s="62"/>
      <c r="AR151" s="62"/>
      <c r="AS151" s="62"/>
      <c r="AT151" s="54"/>
      <c r="AU151" s="54"/>
      <c r="AV151" s="54"/>
      <c r="AW151" s="54"/>
      <c r="AX151" s="54"/>
      <c r="AY151" s="54"/>
      <c r="AZ151" s="54"/>
      <c r="BA151" s="57"/>
      <c r="BB151" s="58"/>
      <c r="BC151" s="57"/>
      <c r="BD151" s="57"/>
      <c r="BE151" s="59"/>
      <c r="BF151" s="60"/>
      <c r="BG151" s="61"/>
      <c r="BH151" s="61"/>
      <c r="BI151" s="61"/>
      <c r="BJ151" s="61"/>
      <c r="BK151" s="62"/>
      <c r="BL151" s="54"/>
      <c r="BM151" s="54"/>
      <c r="BN151" s="54"/>
      <c r="BO151" s="54"/>
      <c r="BP151" s="54"/>
    </row>
    <row r="152">
      <c r="A152" s="47">
        <v>148.0</v>
      </c>
      <c r="B152" s="117" t="s">
        <v>193</v>
      </c>
      <c r="C152" s="125" t="s">
        <v>190</v>
      </c>
      <c r="D152" s="106">
        <v>3.0</v>
      </c>
      <c r="E152" s="106">
        <v>0.6</v>
      </c>
      <c r="F152" s="106">
        <v>0.2</v>
      </c>
      <c r="G152" s="106">
        <v>0.2</v>
      </c>
      <c r="H152" s="106">
        <v>0.0</v>
      </c>
      <c r="I152" s="106">
        <v>0.0</v>
      </c>
      <c r="J152" s="75"/>
      <c r="K152" s="107"/>
      <c r="L152" s="107"/>
      <c r="M152" s="107"/>
      <c r="N152" s="107"/>
      <c r="O152" s="107"/>
      <c r="P152" s="52">
        <v>1.0</v>
      </c>
      <c r="Q152" s="52">
        <v>1.0</v>
      </c>
      <c r="R152" s="62"/>
      <c r="S152" s="47"/>
      <c r="T152" s="47">
        <v>0.03</v>
      </c>
      <c r="U152" s="47"/>
      <c r="V152" s="54"/>
      <c r="W152" s="54"/>
      <c r="X152" s="54"/>
      <c r="Y152" s="54"/>
      <c r="Z152" s="62"/>
      <c r="AA152" s="54">
        <f t="shared" ref="AA152:AE152" si="295">ROUND(E152*0.5+K152*0.5-S152,2)</f>
        <v>0.3</v>
      </c>
      <c r="AB152" s="54">
        <f t="shared" si="295"/>
        <v>0.07</v>
      </c>
      <c r="AC152" s="54">
        <f t="shared" si="295"/>
        <v>0.1</v>
      </c>
      <c r="AD152" s="54">
        <f t="shared" si="295"/>
        <v>0</v>
      </c>
      <c r="AE152" s="54">
        <f t="shared" si="295"/>
        <v>0</v>
      </c>
      <c r="AF152" s="54">
        <f t="shared" ref="AF152:AG152" si="296">ROUND(P152-X152,2)</f>
        <v>1</v>
      </c>
      <c r="AG152" s="54">
        <f t="shared" si="296"/>
        <v>1</v>
      </c>
      <c r="AH152" s="62"/>
      <c r="AI152" s="47"/>
      <c r="AJ152" s="47"/>
      <c r="AK152" s="47"/>
      <c r="AL152" s="47"/>
      <c r="AM152" s="47"/>
      <c r="AN152" s="47"/>
      <c r="AO152" s="47"/>
      <c r="AP152" s="76"/>
      <c r="AQ152" s="62"/>
      <c r="AR152" s="62"/>
      <c r="AS152" s="62"/>
      <c r="AT152" s="72"/>
      <c r="AU152" s="72"/>
      <c r="AV152" s="54"/>
      <c r="AW152" s="54"/>
      <c r="AX152" s="54"/>
      <c r="AY152" s="54"/>
      <c r="AZ152" s="54"/>
      <c r="BA152" s="57"/>
      <c r="BB152" s="57"/>
      <c r="BC152" s="57"/>
      <c r="BD152" s="57"/>
      <c r="BE152" s="59"/>
      <c r="BF152" s="60"/>
      <c r="BG152" s="61"/>
      <c r="BH152" s="61"/>
      <c r="BI152" s="61"/>
      <c r="BJ152" s="61"/>
      <c r="BK152" s="62"/>
      <c r="BL152" s="54"/>
      <c r="BM152" s="54"/>
      <c r="BN152" s="54"/>
      <c r="BO152" s="54"/>
      <c r="BP152" s="54"/>
    </row>
    <row r="153">
      <c r="A153" s="47">
        <v>149.0</v>
      </c>
      <c r="B153" s="117" t="s">
        <v>194</v>
      </c>
      <c r="C153" s="125" t="s">
        <v>190</v>
      </c>
      <c r="D153" s="106">
        <v>3.0</v>
      </c>
      <c r="E153" s="106">
        <v>0.0</v>
      </c>
      <c r="F153" s="106">
        <v>0.2</v>
      </c>
      <c r="G153" s="106">
        <v>0.8</v>
      </c>
      <c r="H153" s="106">
        <v>0.0</v>
      </c>
      <c r="I153" s="106">
        <v>0.0</v>
      </c>
      <c r="J153" s="75"/>
      <c r="K153" s="107"/>
      <c r="L153" s="107"/>
      <c r="M153" s="107"/>
      <c r="N153" s="107"/>
      <c r="O153" s="107"/>
      <c r="P153" s="52">
        <v>1.0</v>
      </c>
      <c r="Q153" s="52">
        <v>1.0</v>
      </c>
      <c r="R153" s="62"/>
      <c r="S153" s="47"/>
      <c r="T153" s="47"/>
      <c r="U153" s="47"/>
      <c r="V153" s="54"/>
      <c r="W153" s="54"/>
      <c r="X153" s="54"/>
      <c r="Y153" s="54"/>
      <c r="Z153" s="62"/>
      <c r="AA153" s="54">
        <f t="shared" ref="AA153:AE153" si="297">ROUND(E153*0.5+K153*0.5-S153,2)</f>
        <v>0</v>
      </c>
      <c r="AB153" s="54">
        <f t="shared" si="297"/>
        <v>0.1</v>
      </c>
      <c r="AC153" s="54">
        <f t="shared" si="297"/>
        <v>0.4</v>
      </c>
      <c r="AD153" s="54">
        <f t="shared" si="297"/>
        <v>0</v>
      </c>
      <c r="AE153" s="54">
        <f t="shared" si="297"/>
        <v>0</v>
      </c>
      <c r="AF153" s="54">
        <f t="shared" ref="AF153:AG153" si="298">ROUND(P153-X153,2)</f>
        <v>1</v>
      </c>
      <c r="AG153" s="54">
        <f t="shared" si="298"/>
        <v>1</v>
      </c>
      <c r="AH153" s="62"/>
      <c r="AI153" s="47"/>
      <c r="AJ153" s="47"/>
      <c r="AK153" s="47"/>
      <c r="AL153" s="47"/>
      <c r="AM153" s="47"/>
      <c r="AN153" s="47"/>
      <c r="AO153" s="47"/>
      <c r="AP153" s="76"/>
      <c r="AQ153" s="62"/>
      <c r="AR153" s="62"/>
      <c r="AS153" s="62"/>
      <c r="AT153" s="54"/>
      <c r="AU153" s="54"/>
      <c r="AV153" s="54"/>
      <c r="AW153" s="54"/>
      <c r="AX153" s="54"/>
      <c r="AY153" s="54"/>
      <c r="AZ153" s="54"/>
      <c r="BA153" s="57"/>
      <c r="BB153" s="58"/>
      <c r="BC153" s="57"/>
      <c r="BD153" s="57"/>
      <c r="BE153" s="59"/>
      <c r="BF153" s="47"/>
      <c r="BG153" s="47"/>
      <c r="BH153" s="47"/>
      <c r="BI153" s="47"/>
      <c r="BJ153" s="47"/>
      <c r="BK153" s="62"/>
      <c r="BL153" s="54"/>
      <c r="BM153" s="54"/>
      <c r="BN153" s="54"/>
      <c r="BO153" s="54"/>
      <c r="BP153" s="54"/>
    </row>
    <row r="154">
      <c r="A154" s="47">
        <v>150.0</v>
      </c>
      <c r="B154" s="117" t="s">
        <v>195</v>
      </c>
      <c r="C154" s="125" t="s">
        <v>190</v>
      </c>
      <c r="D154" s="106">
        <v>3.0</v>
      </c>
      <c r="E154" s="106">
        <v>0.6</v>
      </c>
      <c r="F154" s="106">
        <v>0.0</v>
      </c>
      <c r="G154" s="106">
        <v>0.0</v>
      </c>
      <c r="H154" s="106">
        <v>0.2</v>
      </c>
      <c r="I154" s="106">
        <v>0.2</v>
      </c>
      <c r="J154" s="75"/>
      <c r="K154" s="107"/>
      <c r="L154" s="107"/>
      <c r="M154" s="107"/>
      <c r="N154" s="107"/>
      <c r="O154" s="107"/>
      <c r="P154" s="52">
        <v>1.0</v>
      </c>
      <c r="Q154" s="52">
        <v>1.0</v>
      </c>
      <c r="R154" s="62"/>
      <c r="S154" s="47"/>
      <c r="T154" s="47"/>
      <c r="U154" s="47"/>
      <c r="V154" s="54"/>
      <c r="W154" s="54"/>
      <c r="X154" s="54"/>
      <c r="Y154" s="54"/>
      <c r="Z154" s="62"/>
      <c r="AA154" s="54">
        <f t="shared" ref="AA154:AE154" si="299">ROUND(E154*0.5+K154*0.5-S154,2)</f>
        <v>0.3</v>
      </c>
      <c r="AB154" s="54">
        <f t="shared" si="299"/>
        <v>0</v>
      </c>
      <c r="AC154" s="54">
        <f t="shared" si="299"/>
        <v>0</v>
      </c>
      <c r="AD154" s="54">
        <f t="shared" si="299"/>
        <v>0.1</v>
      </c>
      <c r="AE154" s="54">
        <f t="shared" si="299"/>
        <v>0.1</v>
      </c>
      <c r="AF154" s="54">
        <f t="shared" ref="AF154:AG154" si="300">ROUND(P154-X154,2)</f>
        <v>1</v>
      </c>
      <c r="AG154" s="54">
        <f t="shared" si="300"/>
        <v>1</v>
      </c>
      <c r="AH154" s="62"/>
      <c r="AI154" s="47"/>
      <c r="AJ154" s="47"/>
      <c r="AK154" s="47"/>
      <c r="AL154" s="47"/>
      <c r="AM154" s="47"/>
      <c r="AN154" s="47"/>
      <c r="AO154" s="47"/>
      <c r="AP154" s="76"/>
      <c r="AQ154" s="62"/>
      <c r="AR154" s="62"/>
      <c r="AS154" s="62"/>
      <c r="AT154" s="54"/>
      <c r="AU154" s="54"/>
      <c r="AV154" s="54"/>
      <c r="AW154" s="54"/>
      <c r="AX154" s="54"/>
      <c r="AY154" s="54"/>
      <c r="AZ154" s="54"/>
      <c r="BA154" s="57"/>
      <c r="BB154" s="57"/>
      <c r="BC154" s="57"/>
      <c r="BD154" s="57"/>
      <c r="BE154" s="59"/>
      <c r="BF154" s="47"/>
      <c r="BG154" s="47"/>
      <c r="BH154" s="47"/>
      <c r="BI154" s="47"/>
      <c r="BJ154" s="47"/>
      <c r="BK154" s="62"/>
      <c r="BL154" s="54"/>
      <c r="BM154" s="54"/>
      <c r="BN154" s="54"/>
      <c r="BO154" s="54"/>
      <c r="BP154" s="54"/>
    </row>
    <row r="155">
      <c r="A155" s="47">
        <v>151.0</v>
      </c>
      <c r="B155" s="117" t="s">
        <v>196</v>
      </c>
      <c r="C155" s="125" t="s">
        <v>190</v>
      </c>
      <c r="D155" s="106">
        <v>3.0</v>
      </c>
      <c r="E155" s="106">
        <v>0.6</v>
      </c>
      <c r="F155" s="106">
        <v>0.2</v>
      </c>
      <c r="G155" s="106">
        <v>0.2</v>
      </c>
      <c r="H155" s="106">
        <v>0.0</v>
      </c>
      <c r="I155" s="106">
        <v>0.0</v>
      </c>
      <c r="J155" s="75"/>
      <c r="K155" s="107"/>
      <c r="L155" s="107"/>
      <c r="M155" s="107"/>
      <c r="N155" s="107"/>
      <c r="O155" s="107"/>
      <c r="P155" s="52">
        <v>1.0</v>
      </c>
      <c r="Q155" s="52">
        <v>1.0</v>
      </c>
      <c r="R155" s="62"/>
      <c r="S155" s="47"/>
      <c r="T155" s="47"/>
      <c r="U155" s="47"/>
      <c r="V155" s="54"/>
      <c r="W155" s="54"/>
      <c r="X155" s="54"/>
      <c r="Y155" s="54"/>
      <c r="Z155" s="62"/>
      <c r="AA155" s="54">
        <f t="shared" ref="AA155:AE155" si="301">ROUND(E155*0.5+K155*0.5-S155,2)</f>
        <v>0.3</v>
      </c>
      <c r="AB155" s="54">
        <f t="shared" si="301"/>
        <v>0.1</v>
      </c>
      <c r="AC155" s="54">
        <f t="shared" si="301"/>
        <v>0.1</v>
      </c>
      <c r="AD155" s="54">
        <f t="shared" si="301"/>
        <v>0</v>
      </c>
      <c r="AE155" s="54">
        <f t="shared" si="301"/>
        <v>0</v>
      </c>
      <c r="AF155" s="54">
        <f t="shared" ref="AF155:AG155" si="302">ROUND(P155-X155,2)</f>
        <v>1</v>
      </c>
      <c r="AG155" s="54">
        <f t="shared" si="302"/>
        <v>1</v>
      </c>
      <c r="AH155" s="62"/>
      <c r="AI155" s="47"/>
      <c r="AJ155" s="47"/>
      <c r="AK155" s="47"/>
      <c r="AL155" s="47"/>
      <c r="AM155" s="47"/>
      <c r="AN155" s="47"/>
      <c r="AO155" s="47"/>
      <c r="AP155" s="76"/>
      <c r="AQ155" s="62"/>
      <c r="AR155" s="62"/>
      <c r="AS155" s="62"/>
      <c r="AT155" s="54"/>
      <c r="AU155" s="54"/>
      <c r="AV155" s="54"/>
      <c r="AW155" s="54"/>
      <c r="AX155" s="54"/>
      <c r="AY155" s="54"/>
      <c r="AZ155" s="54"/>
      <c r="BA155" s="57"/>
      <c r="BB155" s="58"/>
      <c r="BC155" s="57"/>
      <c r="BD155" s="57"/>
      <c r="BE155" s="59"/>
      <c r="BF155" s="47"/>
      <c r="BG155" s="47"/>
      <c r="BH155" s="47"/>
      <c r="BI155" s="47"/>
      <c r="BJ155" s="47"/>
      <c r="BK155" s="62"/>
      <c r="BL155" s="54"/>
      <c r="BM155" s="54"/>
      <c r="BN155" s="54"/>
      <c r="BO155" s="54"/>
      <c r="BP155" s="54"/>
    </row>
    <row r="156">
      <c r="A156" s="47">
        <v>152.0</v>
      </c>
      <c r="B156" s="117" t="s">
        <v>197</v>
      </c>
      <c r="C156" s="125" t="s">
        <v>190</v>
      </c>
      <c r="D156" s="106">
        <v>3.0</v>
      </c>
      <c r="E156" s="106">
        <v>0.3</v>
      </c>
      <c r="F156" s="106">
        <v>0.2</v>
      </c>
      <c r="G156" s="106">
        <v>0.2</v>
      </c>
      <c r="H156" s="106">
        <v>0.3</v>
      </c>
      <c r="I156" s="106">
        <v>0.0</v>
      </c>
      <c r="J156" s="75"/>
      <c r="K156" s="107"/>
      <c r="L156" s="107"/>
      <c r="M156" s="107"/>
      <c r="N156" s="107"/>
      <c r="O156" s="107"/>
      <c r="P156" s="52">
        <v>1.0</v>
      </c>
      <c r="Q156" s="52">
        <v>1.0</v>
      </c>
      <c r="R156" s="62"/>
      <c r="S156" s="47">
        <v>0.25</v>
      </c>
      <c r="T156" s="47"/>
      <c r="U156" s="47"/>
      <c r="V156" s="54"/>
      <c r="W156" s="54"/>
      <c r="X156" s="54"/>
      <c r="Y156" s="47">
        <v>0.58</v>
      </c>
      <c r="Z156" s="62"/>
      <c r="AA156" s="54">
        <f t="shared" ref="AA156:AE156" si="303">ROUND(E156*0.5+K156*0.5-S156,2)</f>
        <v>-0.1</v>
      </c>
      <c r="AB156" s="54">
        <f t="shared" si="303"/>
        <v>0.1</v>
      </c>
      <c r="AC156" s="54">
        <f t="shared" si="303"/>
        <v>0.1</v>
      </c>
      <c r="AD156" s="54">
        <f t="shared" si="303"/>
        <v>0.15</v>
      </c>
      <c r="AE156" s="54">
        <f t="shared" si="303"/>
        <v>0</v>
      </c>
      <c r="AF156" s="54">
        <f t="shared" ref="AF156:AG156" si="304">ROUND(P156-X156,2)</f>
        <v>1</v>
      </c>
      <c r="AG156" s="54">
        <f t="shared" si="304"/>
        <v>0.42</v>
      </c>
      <c r="AH156" s="62"/>
      <c r="AI156" s="47"/>
      <c r="AJ156" s="47"/>
      <c r="AK156" s="47"/>
      <c r="AL156" s="47"/>
      <c r="AM156" s="47"/>
      <c r="AN156" s="47"/>
      <c r="AO156" s="47"/>
      <c r="AP156" s="78"/>
      <c r="AQ156" s="62"/>
      <c r="AR156" s="62"/>
      <c r="AS156" s="62"/>
      <c r="AT156" s="54"/>
      <c r="AU156" s="54"/>
      <c r="AV156" s="54"/>
      <c r="AW156" s="54"/>
      <c r="AX156" s="54"/>
      <c r="AY156" s="54"/>
      <c r="AZ156" s="54"/>
      <c r="BA156" s="57"/>
      <c r="BB156" s="58"/>
      <c r="BC156" s="57"/>
      <c r="BD156" s="57"/>
      <c r="BE156" s="59"/>
      <c r="BF156" s="47"/>
      <c r="BG156" s="47"/>
      <c r="BH156" s="47"/>
      <c r="BI156" s="47"/>
      <c r="BJ156" s="47"/>
      <c r="BK156" s="62"/>
      <c r="BL156" s="54"/>
      <c r="BM156" s="54"/>
      <c r="BN156" s="54"/>
      <c r="BO156" s="54"/>
      <c r="BP156" s="54"/>
    </row>
    <row r="157">
      <c r="A157" s="47">
        <v>153.0</v>
      </c>
      <c r="B157" s="117" t="s">
        <v>198</v>
      </c>
      <c r="C157" s="125" t="s">
        <v>190</v>
      </c>
      <c r="D157" s="106">
        <v>3.0</v>
      </c>
      <c r="E157" s="106">
        <v>0.6</v>
      </c>
      <c r="F157" s="106">
        <v>0.2</v>
      </c>
      <c r="G157" s="106">
        <v>0.2</v>
      </c>
      <c r="H157" s="106">
        <v>0.0</v>
      </c>
      <c r="I157" s="106">
        <v>0.0</v>
      </c>
      <c r="J157" s="75"/>
      <c r="K157" s="107"/>
      <c r="L157" s="107"/>
      <c r="M157" s="107"/>
      <c r="N157" s="107"/>
      <c r="O157" s="107"/>
      <c r="P157" s="52">
        <v>1.0</v>
      </c>
      <c r="Q157" s="52">
        <v>1.0</v>
      </c>
      <c r="R157" s="62"/>
      <c r="S157" s="47"/>
      <c r="T157" s="47"/>
      <c r="U157" s="47"/>
      <c r="V157" s="54"/>
      <c r="W157" s="54"/>
      <c r="X157" s="54"/>
      <c r="Y157" s="54"/>
      <c r="Z157" s="62"/>
      <c r="AA157" s="54">
        <f t="shared" ref="AA157:AE157" si="305">ROUND(E157*0.5+K157*0.5-S157,2)</f>
        <v>0.3</v>
      </c>
      <c r="AB157" s="54">
        <f t="shared" si="305"/>
        <v>0.1</v>
      </c>
      <c r="AC157" s="54">
        <f t="shared" si="305"/>
        <v>0.1</v>
      </c>
      <c r="AD157" s="54">
        <f t="shared" si="305"/>
        <v>0</v>
      </c>
      <c r="AE157" s="54">
        <f t="shared" si="305"/>
        <v>0</v>
      </c>
      <c r="AF157" s="54">
        <f t="shared" ref="AF157:AG157" si="306">ROUND(P157-X157,2)</f>
        <v>1</v>
      </c>
      <c r="AG157" s="54">
        <f t="shared" si="306"/>
        <v>1</v>
      </c>
      <c r="AH157" s="62"/>
      <c r="AI157" s="47"/>
      <c r="AJ157" s="47"/>
      <c r="AK157" s="47"/>
      <c r="AL157" s="47"/>
      <c r="AM157" s="47"/>
      <c r="AN157" s="47"/>
      <c r="AO157" s="47"/>
      <c r="AP157" s="126"/>
      <c r="AQ157" s="62"/>
      <c r="AR157" s="62"/>
      <c r="AS157" s="62"/>
      <c r="AT157" s="54"/>
      <c r="AU157" s="54"/>
      <c r="AV157" s="54"/>
      <c r="AW157" s="54"/>
      <c r="AX157" s="54"/>
      <c r="AY157" s="54"/>
      <c r="AZ157" s="54"/>
      <c r="BA157" s="57"/>
      <c r="BB157" s="58"/>
      <c r="BC157" s="57"/>
      <c r="BD157" s="57"/>
      <c r="BE157" s="59"/>
      <c r="BF157" s="47"/>
      <c r="BG157" s="47"/>
      <c r="BH157" s="47"/>
      <c r="BI157" s="47"/>
      <c r="BJ157" s="47"/>
      <c r="BK157" s="62"/>
      <c r="BL157" s="54"/>
      <c r="BM157" s="54"/>
      <c r="BN157" s="54"/>
      <c r="BO157" s="54"/>
      <c r="BP157" s="54"/>
    </row>
    <row r="158">
      <c r="A158" s="47">
        <v>154.0</v>
      </c>
      <c r="B158" s="117" t="s">
        <v>199</v>
      </c>
      <c r="C158" s="125" t="s">
        <v>190</v>
      </c>
      <c r="D158" s="106">
        <v>3.0</v>
      </c>
      <c r="E158" s="106">
        <v>0.8</v>
      </c>
      <c r="F158" s="106">
        <v>0.0</v>
      </c>
      <c r="G158" s="106">
        <v>0.0</v>
      </c>
      <c r="H158" s="106">
        <v>0.0</v>
      </c>
      <c r="I158" s="106">
        <v>0.2</v>
      </c>
      <c r="J158" s="75"/>
      <c r="K158" s="107"/>
      <c r="L158" s="107"/>
      <c r="M158" s="107"/>
      <c r="N158" s="107"/>
      <c r="O158" s="107"/>
      <c r="P158" s="52">
        <v>1.0</v>
      </c>
      <c r="Q158" s="52">
        <v>1.0</v>
      </c>
      <c r="R158" s="62"/>
      <c r="S158" s="47"/>
      <c r="T158" s="47"/>
      <c r="U158" s="47"/>
      <c r="V158" s="54"/>
      <c r="W158" s="54"/>
      <c r="X158" s="54"/>
      <c r="Y158" s="54"/>
      <c r="Z158" s="62"/>
      <c r="AA158" s="54">
        <f t="shared" ref="AA158:AE158" si="307">ROUND(E158*0.5+K158*0.5-S158,2)</f>
        <v>0.4</v>
      </c>
      <c r="AB158" s="54">
        <f t="shared" si="307"/>
        <v>0</v>
      </c>
      <c r="AC158" s="54">
        <f t="shared" si="307"/>
        <v>0</v>
      </c>
      <c r="AD158" s="54">
        <f t="shared" si="307"/>
        <v>0</v>
      </c>
      <c r="AE158" s="54">
        <f t="shared" si="307"/>
        <v>0.1</v>
      </c>
      <c r="AF158" s="54">
        <f t="shared" ref="AF158:AG158" si="308">ROUND(P158-X158,2)</f>
        <v>1</v>
      </c>
      <c r="AG158" s="54">
        <f t="shared" si="308"/>
        <v>1</v>
      </c>
      <c r="AH158" s="62"/>
      <c r="AI158" s="47"/>
      <c r="AJ158" s="47"/>
      <c r="AK158" s="47"/>
      <c r="AL158" s="47"/>
      <c r="AM158" s="47"/>
      <c r="AN158" s="47"/>
      <c r="AO158" s="47"/>
      <c r="AP158" s="74"/>
      <c r="AQ158" s="62"/>
      <c r="AR158" s="62"/>
      <c r="AS158" s="62"/>
      <c r="AT158" s="54"/>
      <c r="AU158" s="54"/>
      <c r="AV158" s="54"/>
      <c r="AW158" s="54"/>
      <c r="AX158" s="54"/>
      <c r="AY158" s="54"/>
      <c r="AZ158" s="54"/>
      <c r="BA158" s="57"/>
      <c r="BB158" s="58"/>
      <c r="BC158" s="57"/>
      <c r="BD158" s="57"/>
      <c r="BE158" s="59"/>
      <c r="BF158" s="47"/>
      <c r="BG158" s="47"/>
      <c r="BH158" s="47"/>
      <c r="BI158" s="47"/>
      <c r="BJ158" s="47"/>
      <c r="BK158" s="62"/>
      <c r="BL158" s="54"/>
      <c r="BM158" s="54"/>
      <c r="BN158" s="54"/>
      <c r="BO158" s="54"/>
      <c r="BP158" s="54"/>
    </row>
    <row r="159">
      <c r="A159" s="47">
        <v>155.0</v>
      </c>
      <c r="B159" s="117" t="s">
        <v>200</v>
      </c>
      <c r="C159" s="125" t="s">
        <v>190</v>
      </c>
      <c r="D159" s="106">
        <v>3.0</v>
      </c>
      <c r="E159" s="106">
        <v>0.6</v>
      </c>
      <c r="F159" s="106">
        <v>0.0</v>
      </c>
      <c r="G159" s="106">
        <v>0.2</v>
      </c>
      <c r="H159" s="106">
        <v>0.2</v>
      </c>
      <c r="I159" s="106">
        <v>0.0</v>
      </c>
      <c r="J159" s="75"/>
      <c r="K159" s="107"/>
      <c r="L159" s="107"/>
      <c r="M159" s="107"/>
      <c r="N159" s="107"/>
      <c r="O159" s="107"/>
      <c r="P159" s="52">
        <v>1.0</v>
      </c>
      <c r="Q159" s="52">
        <v>1.0</v>
      </c>
      <c r="R159" s="62"/>
      <c r="S159" s="47">
        <v>0.04</v>
      </c>
      <c r="T159" s="54"/>
      <c r="U159" s="54"/>
      <c r="V159" s="54"/>
      <c r="W159" s="54"/>
      <c r="X159" s="54"/>
      <c r="Y159" s="54"/>
      <c r="Z159" s="62"/>
      <c r="AA159" s="54">
        <f t="shared" ref="AA159:AE159" si="309">ROUND(E159*0.5+K159*0.5-S159,2)</f>
        <v>0.26</v>
      </c>
      <c r="AB159" s="54">
        <f t="shared" si="309"/>
        <v>0</v>
      </c>
      <c r="AC159" s="54">
        <f t="shared" si="309"/>
        <v>0.1</v>
      </c>
      <c r="AD159" s="54">
        <f t="shared" si="309"/>
        <v>0.1</v>
      </c>
      <c r="AE159" s="54">
        <f t="shared" si="309"/>
        <v>0</v>
      </c>
      <c r="AF159" s="54">
        <f t="shared" ref="AF159:AG159" si="310">ROUND(P159-X159,2)</f>
        <v>1</v>
      </c>
      <c r="AG159" s="54">
        <f t="shared" si="310"/>
        <v>1</v>
      </c>
      <c r="AH159" s="62"/>
      <c r="AI159" s="47"/>
      <c r="AJ159" s="47"/>
      <c r="AK159" s="47"/>
      <c r="AL159" s="47"/>
      <c r="AM159" s="47"/>
      <c r="AN159" s="47"/>
      <c r="AO159" s="47"/>
      <c r="AP159" s="52"/>
      <c r="AQ159" s="62"/>
      <c r="AR159" s="62"/>
      <c r="AS159" s="62"/>
      <c r="AT159" s="54"/>
      <c r="AU159" s="54"/>
      <c r="AV159" s="54"/>
      <c r="AW159" s="54"/>
      <c r="AX159" s="54"/>
      <c r="AY159" s="54"/>
      <c r="AZ159" s="54"/>
      <c r="BA159" s="57"/>
      <c r="BB159" s="58"/>
      <c r="BC159" s="57"/>
      <c r="BD159" s="57"/>
      <c r="BE159" s="59"/>
      <c r="BF159" s="47"/>
      <c r="BG159" s="47"/>
      <c r="BH159" s="47"/>
      <c r="BI159" s="47"/>
      <c r="BJ159" s="47"/>
      <c r="BK159" s="62"/>
      <c r="BL159" s="54"/>
      <c r="BM159" s="54"/>
      <c r="BN159" s="54"/>
      <c r="BO159" s="54"/>
      <c r="BP159" s="54"/>
    </row>
    <row r="160">
      <c r="A160" s="47">
        <v>156.0</v>
      </c>
      <c r="B160" s="117" t="s">
        <v>201</v>
      </c>
      <c r="C160" s="125" t="s">
        <v>190</v>
      </c>
      <c r="D160" s="106">
        <v>3.0</v>
      </c>
      <c r="E160" s="106">
        <v>0.6</v>
      </c>
      <c r="F160" s="106">
        <v>0.0</v>
      </c>
      <c r="G160" s="106">
        <v>0.2</v>
      </c>
      <c r="H160" s="106">
        <v>0.0</v>
      </c>
      <c r="I160" s="106">
        <v>0.2</v>
      </c>
      <c r="J160" s="75"/>
      <c r="K160" s="107"/>
      <c r="L160" s="107"/>
      <c r="M160" s="107"/>
      <c r="N160" s="107"/>
      <c r="O160" s="107"/>
      <c r="P160" s="52">
        <v>1.0</v>
      </c>
      <c r="Q160" s="52">
        <v>1.0</v>
      </c>
      <c r="R160" s="62"/>
      <c r="S160" s="47">
        <v>0.54</v>
      </c>
      <c r="T160" s="54"/>
      <c r="U160" s="54"/>
      <c r="V160" s="54"/>
      <c r="W160" s="54"/>
      <c r="X160" s="47">
        <v>0.17</v>
      </c>
      <c r="Y160" s="54"/>
      <c r="Z160" s="62"/>
      <c r="AA160" s="54">
        <f t="shared" ref="AA160:AE160" si="311">ROUND(E160*0.5+K160*0.5-S160,2)</f>
        <v>-0.24</v>
      </c>
      <c r="AB160" s="54">
        <f t="shared" si="311"/>
        <v>0</v>
      </c>
      <c r="AC160" s="54">
        <f t="shared" si="311"/>
        <v>0.1</v>
      </c>
      <c r="AD160" s="54">
        <f t="shared" si="311"/>
        <v>0</v>
      </c>
      <c r="AE160" s="54">
        <f t="shared" si="311"/>
        <v>0.1</v>
      </c>
      <c r="AF160" s="54">
        <f t="shared" ref="AF160:AG160" si="312">ROUND(P160-X160,2)</f>
        <v>0.83</v>
      </c>
      <c r="AG160" s="54">
        <f t="shared" si="312"/>
        <v>1</v>
      </c>
      <c r="AH160" s="62"/>
      <c r="AI160" s="47"/>
      <c r="AJ160" s="47"/>
      <c r="AK160" s="47"/>
      <c r="AL160" s="47"/>
      <c r="AM160" s="47"/>
      <c r="AN160" s="47"/>
      <c r="AO160" s="47"/>
      <c r="AP160" s="76"/>
      <c r="AQ160" s="62"/>
      <c r="AR160" s="62"/>
      <c r="AS160" s="62"/>
      <c r="AT160" s="54"/>
      <c r="AU160" s="54"/>
      <c r="AV160" s="54"/>
      <c r="AW160" s="54"/>
      <c r="AX160" s="54"/>
      <c r="AY160" s="54"/>
      <c r="AZ160" s="54"/>
      <c r="BA160" s="57"/>
      <c r="BB160" s="58"/>
      <c r="BC160" s="57"/>
      <c r="BD160" s="57"/>
      <c r="BE160" s="59"/>
      <c r="BF160" s="47"/>
      <c r="BG160" s="47"/>
      <c r="BH160" s="47"/>
      <c r="BI160" s="47"/>
      <c r="BJ160" s="47"/>
      <c r="BK160" s="62"/>
      <c r="BL160" s="54"/>
      <c r="BM160" s="54"/>
      <c r="BN160" s="54"/>
      <c r="BO160" s="54"/>
      <c r="BP160" s="54"/>
    </row>
    <row r="161">
      <c r="A161" s="47">
        <v>157.0</v>
      </c>
      <c r="B161" s="117" t="s">
        <v>202</v>
      </c>
      <c r="C161" s="125" t="s">
        <v>190</v>
      </c>
      <c r="D161" s="106">
        <v>3.0</v>
      </c>
      <c r="E161" s="106">
        <v>0.8</v>
      </c>
      <c r="F161" s="106">
        <v>0.2</v>
      </c>
      <c r="G161" s="106">
        <v>0.0</v>
      </c>
      <c r="H161" s="106">
        <v>0.0</v>
      </c>
      <c r="I161" s="106">
        <v>0.0</v>
      </c>
      <c r="J161" s="75"/>
      <c r="K161" s="107"/>
      <c r="L161" s="107"/>
      <c r="M161" s="107"/>
      <c r="N161" s="107"/>
      <c r="O161" s="107"/>
      <c r="P161" s="52">
        <v>1.0</v>
      </c>
      <c r="Q161" s="52">
        <v>1.0</v>
      </c>
      <c r="R161" s="62"/>
      <c r="S161" s="47"/>
      <c r="T161" s="54"/>
      <c r="U161" s="54"/>
      <c r="V161" s="54"/>
      <c r="W161" s="54"/>
      <c r="X161" s="54"/>
      <c r="Y161" s="54"/>
      <c r="Z161" s="62"/>
      <c r="AA161" s="54">
        <f t="shared" ref="AA161:AE161" si="313">ROUND(E161*0.5+K161*0.5-S161,2)</f>
        <v>0.4</v>
      </c>
      <c r="AB161" s="54">
        <f t="shared" si="313"/>
        <v>0.1</v>
      </c>
      <c r="AC161" s="54">
        <f t="shared" si="313"/>
        <v>0</v>
      </c>
      <c r="AD161" s="54">
        <f t="shared" si="313"/>
        <v>0</v>
      </c>
      <c r="AE161" s="54">
        <f t="shared" si="313"/>
        <v>0</v>
      </c>
      <c r="AF161" s="54">
        <f t="shared" ref="AF161:AG161" si="314">ROUND(P161-X161,2)</f>
        <v>1</v>
      </c>
      <c r="AG161" s="54">
        <f t="shared" si="314"/>
        <v>1</v>
      </c>
      <c r="AH161" s="62"/>
      <c r="AI161" s="47"/>
      <c r="AJ161" s="47"/>
      <c r="AK161" s="47"/>
      <c r="AL161" s="47"/>
      <c r="AM161" s="47"/>
      <c r="AN161" s="47"/>
      <c r="AO161" s="47"/>
      <c r="AP161" s="74"/>
      <c r="AQ161" s="62"/>
      <c r="AR161" s="62"/>
      <c r="AS161" s="62"/>
      <c r="AT161" s="54"/>
      <c r="AU161" s="54"/>
      <c r="AV161" s="54"/>
      <c r="AW161" s="54"/>
      <c r="AX161" s="54"/>
      <c r="AY161" s="54"/>
      <c r="AZ161" s="54"/>
      <c r="BA161" s="57"/>
      <c r="BB161" s="58"/>
      <c r="BC161" s="57"/>
      <c r="BD161" s="57"/>
      <c r="BE161" s="59"/>
      <c r="BF161" s="47"/>
      <c r="BG161" s="47"/>
      <c r="BH161" s="47"/>
      <c r="BI161" s="47"/>
      <c r="BJ161" s="47"/>
      <c r="BK161" s="62"/>
      <c r="BL161" s="54"/>
      <c r="BM161" s="54"/>
      <c r="BN161" s="54"/>
      <c r="BO161" s="54"/>
      <c r="BP161" s="54"/>
    </row>
    <row r="162">
      <c r="A162" s="47">
        <v>158.0</v>
      </c>
      <c r="B162" s="117" t="s">
        <v>203</v>
      </c>
      <c r="C162" s="125" t="s">
        <v>190</v>
      </c>
      <c r="D162" s="106">
        <v>3.0</v>
      </c>
      <c r="E162" s="106">
        <v>0.8</v>
      </c>
      <c r="F162" s="106">
        <v>0.0</v>
      </c>
      <c r="G162" s="106">
        <v>0.2</v>
      </c>
      <c r="H162" s="106">
        <v>0.0</v>
      </c>
      <c r="I162" s="106">
        <v>0.0</v>
      </c>
      <c r="J162" s="107"/>
      <c r="K162" s="107"/>
      <c r="L162" s="107"/>
      <c r="M162" s="107"/>
      <c r="N162" s="107"/>
      <c r="O162" s="107"/>
      <c r="P162" s="52">
        <v>1.0</v>
      </c>
      <c r="Q162" s="52">
        <v>1.0</v>
      </c>
      <c r="R162" s="62"/>
      <c r="S162" s="47"/>
      <c r="T162" s="54"/>
      <c r="U162" s="54"/>
      <c r="V162" s="54"/>
      <c r="W162" s="54"/>
      <c r="X162" s="47"/>
      <c r="Y162" s="57"/>
      <c r="Z162" s="62"/>
      <c r="AA162" s="54">
        <f t="shared" ref="AA162:AE162" si="315">ROUND(E162*0.5+K162*0.5-S162,2)</f>
        <v>0.4</v>
      </c>
      <c r="AB162" s="54">
        <f t="shared" si="315"/>
        <v>0</v>
      </c>
      <c r="AC162" s="54">
        <f t="shared" si="315"/>
        <v>0.1</v>
      </c>
      <c r="AD162" s="54">
        <f t="shared" si="315"/>
        <v>0</v>
      </c>
      <c r="AE162" s="54">
        <f t="shared" si="315"/>
        <v>0</v>
      </c>
      <c r="AF162" s="54">
        <f t="shared" ref="AF162:AG162" si="316">ROUND(P162-X162,2)</f>
        <v>1</v>
      </c>
      <c r="AG162" s="54">
        <f t="shared" si="316"/>
        <v>1</v>
      </c>
      <c r="AH162" s="62"/>
      <c r="AI162" s="47"/>
      <c r="AJ162" s="47"/>
      <c r="AK162" s="47"/>
      <c r="AL162" s="47"/>
      <c r="AM162" s="47"/>
      <c r="AN162" s="47"/>
      <c r="AO162" s="47"/>
      <c r="AP162" s="74"/>
      <c r="AQ162" s="62"/>
      <c r="AR162" s="62"/>
      <c r="AS162" s="62"/>
      <c r="AT162" s="54"/>
      <c r="AU162" s="54"/>
      <c r="AV162" s="54"/>
      <c r="AW162" s="54"/>
      <c r="AX162" s="54"/>
      <c r="AY162" s="54"/>
      <c r="AZ162" s="54"/>
      <c r="BA162" s="57"/>
      <c r="BB162" s="58"/>
      <c r="BC162" s="57"/>
      <c r="BD162" s="57"/>
      <c r="BE162" s="59"/>
      <c r="BF162" s="47"/>
      <c r="BG162" s="47"/>
      <c r="BH162" s="47"/>
      <c r="BI162" s="47"/>
      <c r="BJ162" s="47"/>
      <c r="BK162" s="62"/>
      <c r="BL162" s="54"/>
      <c r="BM162" s="54"/>
      <c r="BN162" s="54"/>
      <c r="BO162" s="54"/>
      <c r="BP162" s="54"/>
    </row>
    <row r="163">
      <c r="A163" s="47">
        <v>159.0</v>
      </c>
      <c r="B163" s="117" t="s">
        <v>204</v>
      </c>
      <c r="C163" s="125" t="s">
        <v>190</v>
      </c>
      <c r="D163" s="47">
        <v>3.0</v>
      </c>
      <c r="E163" s="47">
        <v>0.8</v>
      </c>
      <c r="F163" s="47">
        <v>0.0</v>
      </c>
      <c r="G163" s="47">
        <v>0.0</v>
      </c>
      <c r="H163" s="47">
        <v>0.0</v>
      </c>
      <c r="I163" s="106">
        <v>0.2</v>
      </c>
      <c r="J163" s="107"/>
      <c r="K163" s="107"/>
      <c r="L163" s="107"/>
      <c r="M163" s="107"/>
      <c r="N163" s="107"/>
      <c r="O163" s="107"/>
      <c r="P163" s="52">
        <v>1.0</v>
      </c>
      <c r="Q163" s="52">
        <v>1.0</v>
      </c>
      <c r="R163" s="62"/>
      <c r="S163" s="57"/>
      <c r="T163" s="54"/>
      <c r="U163" s="54"/>
      <c r="V163" s="54"/>
      <c r="W163" s="54"/>
      <c r="X163" s="47"/>
      <c r="Y163" s="54"/>
      <c r="Z163" s="62"/>
      <c r="AA163" s="54">
        <f t="shared" ref="AA163:AE163" si="317">ROUND(E163*0.5+K163*0.5-S163,2)</f>
        <v>0.4</v>
      </c>
      <c r="AB163" s="54">
        <f t="shared" si="317"/>
        <v>0</v>
      </c>
      <c r="AC163" s="54">
        <f t="shared" si="317"/>
        <v>0</v>
      </c>
      <c r="AD163" s="54">
        <f t="shared" si="317"/>
        <v>0</v>
      </c>
      <c r="AE163" s="54">
        <f t="shared" si="317"/>
        <v>0.1</v>
      </c>
      <c r="AF163" s="54">
        <f t="shared" ref="AF163:AG163" si="318">ROUND(P163-X163,2)</f>
        <v>1</v>
      </c>
      <c r="AG163" s="54">
        <f t="shared" si="318"/>
        <v>1</v>
      </c>
      <c r="AH163" s="62"/>
      <c r="AI163" s="47"/>
      <c r="AJ163" s="47"/>
      <c r="AK163" s="47"/>
      <c r="AL163" s="47"/>
      <c r="AM163" s="47"/>
      <c r="AN163" s="47"/>
      <c r="AO163" s="47"/>
      <c r="AP163" s="74"/>
      <c r="AQ163" s="62"/>
      <c r="AR163" s="62"/>
      <c r="AS163" s="62"/>
      <c r="AT163" s="54"/>
      <c r="AU163" s="54"/>
      <c r="AV163" s="54"/>
      <c r="AW163" s="54"/>
      <c r="AX163" s="54"/>
      <c r="AY163" s="54"/>
      <c r="AZ163" s="54"/>
      <c r="BA163" s="57"/>
      <c r="BB163" s="58"/>
      <c r="BC163" s="57"/>
      <c r="BD163" s="57"/>
      <c r="BE163" s="59"/>
      <c r="BF163" s="47"/>
      <c r="BG163" s="47"/>
      <c r="BH163" s="47"/>
      <c r="BI163" s="47"/>
      <c r="BJ163" s="47"/>
      <c r="BK163" s="62"/>
      <c r="BL163" s="54"/>
      <c r="BM163" s="54"/>
      <c r="BN163" s="54"/>
      <c r="BO163" s="54"/>
      <c r="BP163" s="54"/>
    </row>
    <row r="164">
      <c r="A164" s="47">
        <v>160.0</v>
      </c>
      <c r="B164" s="117" t="s">
        <v>205</v>
      </c>
      <c r="C164" s="125" t="s">
        <v>190</v>
      </c>
      <c r="D164" s="47">
        <v>3.0</v>
      </c>
      <c r="E164" s="47">
        <v>0.6</v>
      </c>
      <c r="F164" s="47">
        <v>0.2</v>
      </c>
      <c r="G164" s="47">
        <v>0.2</v>
      </c>
      <c r="H164" s="47">
        <v>0.0</v>
      </c>
      <c r="I164" s="106">
        <v>0.0</v>
      </c>
      <c r="J164" s="107"/>
      <c r="K164" s="107"/>
      <c r="L164" s="107"/>
      <c r="M164" s="107"/>
      <c r="N164" s="107"/>
      <c r="O164" s="107"/>
      <c r="P164" s="52">
        <v>1.0</v>
      </c>
      <c r="Q164" s="52">
        <v>1.0</v>
      </c>
      <c r="R164" s="62"/>
      <c r="S164" s="57"/>
      <c r="T164" s="54"/>
      <c r="U164" s="54"/>
      <c r="V164" s="54"/>
      <c r="W164" s="54"/>
      <c r="X164" s="47"/>
      <c r="Y164" s="54"/>
      <c r="Z164" s="62"/>
      <c r="AA164" s="54">
        <f t="shared" ref="AA164:AE164" si="319">ROUND(E164*0.5+K164*0.5-S164,2)</f>
        <v>0.3</v>
      </c>
      <c r="AB164" s="54">
        <f t="shared" si="319"/>
        <v>0.1</v>
      </c>
      <c r="AC164" s="54">
        <f t="shared" si="319"/>
        <v>0.1</v>
      </c>
      <c r="AD164" s="54">
        <f t="shared" si="319"/>
        <v>0</v>
      </c>
      <c r="AE164" s="54">
        <f t="shared" si="319"/>
        <v>0</v>
      </c>
      <c r="AF164" s="54">
        <f t="shared" ref="AF164:AG164" si="320">ROUND(P164-X164,2)</f>
        <v>1</v>
      </c>
      <c r="AG164" s="54">
        <f t="shared" si="320"/>
        <v>1</v>
      </c>
      <c r="AH164" s="62"/>
      <c r="AI164" s="47"/>
      <c r="AJ164" s="47"/>
      <c r="AK164" s="47"/>
      <c r="AL164" s="47"/>
      <c r="AM164" s="47"/>
      <c r="AN164" s="47"/>
      <c r="AO164" s="47"/>
      <c r="AP164" s="74"/>
      <c r="AQ164" s="62"/>
      <c r="AR164" s="62"/>
      <c r="AS164" s="62"/>
      <c r="AT164" s="54"/>
      <c r="AU164" s="54"/>
      <c r="AV164" s="54"/>
      <c r="AW164" s="54"/>
      <c r="AX164" s="54"/>
      <c r="AY164" s="54"/>
      <c r="AZ164" s="54"/>
      <c r="BA164" s="57"/>
      <c r="BB164" s="58"/>
      <c r="BC164" s="57"/>
      <c r="BD164" s="57"/>
      <c r="BE164" s="59"/>
      <c r="BF164" s="47"/>
      <c r="BG164" s="47"/>
      <c r="BH164" s="47"/>
      <c r="BI164" s="47"/>
      <c r="BJ164" s="47"/>
      <c r="BK164" s="62"/>
      <c r="BL164" s="54"/>
      <c r="BM164" s="54"/>
      <c r="BN164" s="54"/>
      <c r="BO164" s="54"/>
      <c r="BP164" s="54"/>
    </row>
    <row r="165">
      <c r="A165" s="47">
        <v>161.0</v>
      </c>
      <c r="B165" s="118" t="s">
        <v>206</v>
      </c>
      <c r="C165" s="125" t="s">
        <v>190</v>
      </c>
      <c r="D165" s="47">
        <v>3.0</v>
      </c>
      <c r="E165" s="47">
        <v>0.6</v>
      </c>
      <c r="F165" s="47">
        <v>0.2</v>
      </c>
      <c r="G165" s="47">
        <v>0.2</v>
      </c>
      <c r="H165" s="47">
        <v>0.0</v>
      </c>
      <c r="I165" s="106">
        <v>0.0</v>
      </c>
      <c r="J165" s="107"/>
      <c r="K165" s="107"/>
      <c r="L165" s="107"/>
      <c r="M165" s="107"/>
      <c r="N165" s="107"/>
      <c r="O165" s="107"/>
      <c r="P165" s="52">
        <v>1.0</v>
      </c>
      <c r="Q165" s="52">
        <v>1.0</v>
      </c>
      <c r="R165" s="62"/>
      <c r="S165" s="57"/>
      <c r="T165" s="54"/>
      <c r="U165" s="54"/>
      <c r="V165" s="54"/>
      <c r="W165" s="54"/>
      <c r="X165" s="47"/>
      <c r="Y165" s="54"/>
      <c r="Z165" s="62"/>
      <c r="AA165" s="54">
        <f t="shared" ref="AA165:AE165" si="321">ROUND(E165*0.5+K165*0.5-S165,2)</f>
        <v>0.3</v>
      </c>
      <c r="AB165" s="54">
        <f t="shared" si="321"/>
        <v>0.1</v>
      </c>
      <c r="AC165" s="54">
        <f t="shared" si="321"/>
        <v>0.1</v>
      </c>
      <c r="AD165" s="54">
        <f t="shared" si="321"/>
        <v>0</v>
      </c>
      <c r="AE165" s="54">
        <f t="shared" si="321"/>
        <v>0</v>
      </c>
      <c r="AF165" s="54">
        <f t="shared" ref="AF165:AG165" si="322">ROUND(P165-X165,2)</f>
        <v>1</v>
      </c>
      <c r="AG165" s="54">
        <f t="shared" si="322"/>
        <v>1</v>
      </c>
      <c r="AH165" s="62"/>
      <c r="AI165" s="47"/>
      <c r="AJ165" s="47"/>
      <c r="AK165" s="47"/>
      <c r="AL165" s="47"/>
      <c r="AM165" s="47"/>
      <c r="AN165" s="47"/>
      <c r="AO165" s="47"/>
      <c r="AP165" s="52"/>
      <c r="AQ165" s="62"/>
      <c r="AR165" s="62"/>
      <c r="AS165" s="62"/>
      <c r="AT165" s="54"/>
      <c r="AU165" s="54"/>
      <c r="AV165" s="54"/>
      <c r="AW165" s="54"/>
      <c r="AX165" s="54"/>
      <c r="AY165" s="54"/>
      <c r="AZ165" s="54"/>
      <c r="BA165" s="57"/>
      <c r="BB165" s="58"/>
      <c r="BC165" s="57"/>
      <c r="BD165" s="57"/>
      <c r="BE165" s="59"/>
      <c r="BF165" s="47"/>
      <c r="BG165" s="127"/>
      <c r="BH165" s="127"/>
      <c r="BI165" s="127"/>
      <c r="BJ165" s="127"/>
      <c r="BK165" s="62"/>
      <c r="BL165" s="54"/>
      <c r="BM165" s="54"/>
      <c r="BN165" s="54"/>
      <c r="BO165" s="54"/>
      <c r="BP165" s="54"/>
    </row>
    <row r="166">
      <c r="A166" s="47">
        <v>162.0</v>
      </c>
      <c r="B166" s="118" t="s">
        <v>207</v>
      </c>
      <c r="C166" s="125" t="s">
        <v>190</v>
      </c>
      <c r="D166" s="47">
        <v>3.0</v>
      </c>
      <c r="E166" s="47">
        <v>0.6</v>
      </c>
      <c r="F166" s="47">
        <v>0.2</v>
      </c>
      <c r="G166" s="47">
        <v>0.2</v>
      </c>
      <c r="H166" s="47">
        <v>0.0</v>
      </c>
      <c r="I166" s="106">
        <v>0.0</v>
      </c>
      <c r="J166" s="75"/>
      <c r="K166" s="107"/>
      <c r="L166" s="107"/>
      <c r="M166" s="107"/>
      <c r="N166" s="107"/>
      <c r="O166" s="107"/>
      <c r="P166" s="52">
        <v>1.0</v>
      </c>
      <c r="Q166" s="52">
        <v>1.0</v>
      </c>
      <c r="R166" s="62"/>
      <c r="S166" s="57"/>
      <c r="T166" s="54"/>
      <c r="U166" s="54"/>
      <c r="V166" s="54"/>
      <c r="W166" s="54"/>
      <c r="X166" s="47"/>
      <c r="Y166" s="54"/>
      <c r="Z166" s="62"/>
      <c r="AA166" s="54">
        <f t="shared" ref="AA166:AE166" si="323">ROUND(E166*0.5+K166*0.5-S166,2)</f>
        <v>0.3</v>
      </c>
      <c r="AB166" s="54">
        <f t="shared" si="323"/>
        <v>0.1</v>
      </c>
      <c r="AC166" s="54">
        <f t="shared" si="323"/>
        <v>0.1</v>
      </c>
      <c r="AD166" s="54">
        <f t="shared" si="323"/>
        <v>0</v>
      </c>
      <c r="AE166" s="54">
        <f t="shared" si="323"/>
        <v>0</v>
      </c>
      <c r="AF166" s="54">
        <f t="shared" ref="AF166:AG166" si="324">ROUND(P166-X166,2)</f>
        <v>1</v>
      </c>
      <c r="AG166" s="54">
        <f t="shared" si="324"/>
        <v>1</v>
      </c>
      <c r="AH166" s="62"/>
      <c r="AI166" s="47"/>
      <c r="AJ166" s="47"/>
      <c r="AK166" s="47"/>
      <c r="AL166" s="47"/>
      <c r="AM166" s="47"/>
      <c r="AN166" s="47"/>
      <c r="AO166" s="47"/>
      <c r="AP166" s="52"/>
      <c r="AQ166" s="62"/>
      <c r="AR166" s="62"/>
      <c r="AS166" s="62"/>
      <c r="AT166" s="54"/>
      <c r="AU166" s="54"/>
      <c r="AV166" s="54"/>
      <c r="AW166" s="54"/>
      <c r="AX166" s="54"/>
      <c r="AY166" s="54"/>
      <c r="AZ166" s="54"/>
      <c r="BA166" s="57"/>
      <c r="BB166" s="58"/>
      <c r="BC166" s="57"/>
      <c r="BD166" s="57"/>
      <c r="BE166" s="59"/>
      <c r="BF166" s="47"/>
      <c r="BG166" s="127"/>
      <c r="BH166" s="127"/>
      <c r="BI166" s="127"/>
      <c r="BJ166" s="127"/>
      <c r="BK166" s="62"/>
      <c r="BL166" s="54"/>
      <c r="BM166" s="54"/>
      <c r="BN166" s="54"/>
      <c r="BO166" s="54"/>
      <c r="BP166" s="54"/>
    </row>
    <row r="167">
      <c r="A167" s="47">
        <v>163.0</v>
      </c>
      <c r="B167" s="118" t="s">
        <v>208</v>
      </c>
      <c r="C167" s="125" t="s">
        <v>190</v>
      </c>
      <c r="D167" s="47">
        <v>3.0</v>
      </c>
      <c r="E167" s="47">
        <v>1.0</v>
      </c>
      <c r="F167" s="47">
        <v>0.0</v>
      </c>
      <c r="G167" s="47">
        <v>0.0</v>
      </c>
      <c r="H167" s="47">
        <v>0.0</v>
      </c>
      <c r="I167" s="106">
        <v>0.0</v>
      </c>
      <c r="J167" s="75"/>
      <c r="K167" s="107"/>
      <c r="L167" s="107"/>
      <c r="M167" s="107"/>
      <c r="N167" s="107"/>
      <c r="O167" s="107"/>
      <c r="P167" s="52">
        <v>1.0</v>
      </c>
      <c r="Q167" s="52">
        <v>1.0</v>
      </c>
      <c r="R167" s="62"/>
      <c r="S167" s="57"/>
      <c r="T167" s="54"/>
      <c r="U167" s="54"/>
      <c r="V167" s="54"/>
      <c r="W167" s="54"/>
      <c r="X167" s="47"/>
      <c r="Y167" s="54"/>
      <c r="Z167" s="62"/>
      <c r="AA167" s="54">
        <f t="shared" ref="AA167:AE167" si="325">ROUND(E167*0.5+K167*0.5-S167,2)</f>
        <v>0.5</v>
      </c>
      <c r="AB167" s="54">
        <f t="shared" si="325"/>
        <v>0</v>
      </c>
      <c r="AC167" s="54">
        <f t="shared" si="325"/>
        <v>0</v>
      </c>
      <c r="AD167" s="54">
        <f t="shared" si="325"/>
        <v>0</v>
      </c>
      <c r="AE167" s="54">
        <f t="shared" si="325"/>
        <v>0</v>
      </c>
      <c r="AF167" s="54">
        <f t="shared" ref="AF167:AG167" si="326">ROUND(P167-X167,2)</f>
        <v>1</v>
      </c>
      <c r="AG167" s="54">
        <f t="shared" si="326"/>
        <v>1</v>
      </c>
      <c r="AH167" s="62"/>
      <c r="AI167" s="47"/>
      <c r="AJ167" s="47"/>
      <c r="AK167" s="47"/>
      <c r="AL167" s="47"/>
      <c r="AM167" s="47"/>
      <c r="AN167" s="47"/>
      <c r="AO167" s="47"/>
      <c r="AP167" s="74"/>
      <c r="AQ167" s="62"/>
      <c r="AR167" s="62"/>
      <c r="AS167" s="62"/>
      <c r="AT167" s="54"/>
      <c r="AU167" s="54"/>
      <c r="AV167" s="54"/>
      <c r="AW167" s="54"/>
      <c r="AX167" s="54"/>
      <c r="AY167" s="54"/>
      <c r="AZ167" s="54"/>
      <c r="BA167" s="57"/>
      <c r="BB167" s="58"/>
      <c r="BC167" s="57"/>
      <c r="BD167" s="57"/>
      <c r="BE167" s="59"/>
      <c r="BF167" s="47"/>
      <c r="BG167" s="127"/>
      <c r="BH167" s="127"/>
      <c r="BI167" s="127"/>
      <c r="BJ167" s="127"/>
      <c r="BK167" s="62"/>
      <c r="BL167" s="54"/>
      <c r="BM167" s="54"/>
      <c r="BN167" s="54"/>
      <c r="BO167" s="54"/>
      <c r="BP167" s="54"/>
    </row>
    <row r="168">
      <c r="A168" s="47">
        <v>164.0</v>
      </c>
      <c r="B168" s="101" t="s">
        <v>209</v>
      </c>
      <c r="C168" s="125" t="s">
        <v>190</v>
      </c>
      <c r="D168" s="47">
        <v>3.5</v>
      </c>
      <c r="E168" s="47">
        <v>0.5</v>
      </c>
      <c r="F168" s="47">
        <v>0.0</v>
      </c>
      <c r="G168" s="47">
        <v>0.0</v>
      </c>
      <c r="H168" s="47">
        <v>0.0</v>
      </c>
      <c r="I168" s="106">
        <v>0.0</v>
      </c>
      <c r="J168" s="107"/>
      <c r="K168" s="107"/>
      <c r="L168" s="107"/>
      <c r="M168" s="107"/>
      <c r="N168" s="107"/>
      <c r="O168" s="107"/>
      <c r="P168" s="52">
        <v>1.0</v>
      </c>
      <c r="Q168" s="52">
        <v>1.0</v>
      </c>
      <c r="R168" s="62"/>
      <c r="S168" s="57"/>
      <c r="T168" s="54"/>
      <c r="U168" s="54"/>
      <c r="V168" s="54"/>
      <c r="W168" s="54"/>
      <c r="X168" s="47"/>
      <c r="Y168" s="54"/>
      <c r="Z168" s="62"/>
      <c r="AA168" s="54">
        <f t="shared" ref="AA168:AE168" si="327">ROUND(E168*0.5+K168*0.5-S168,2)</f>
        <v>0.25</v>
      </c>
      <c r="AB168" s="54">
        <f t="shared" si="327"/>
        <v>0</v>
      </c>
      <c r="AC168" s="54">
        <f t="shared" si="327"/>
        <v>0</v>
      </c>
      <c r="AD168" s="54">
        <f t="shared" si="327"/>
        <v>0</v>
      </c>
      <c r="AE168" s="54">
        <f t="shared" si="327"/>
        <v>0</v>
      </c>
      <c r="AF168" s="54">
        <f t="shared" ref="AF168:AG168" si="328">ROUND(P168-X168,2)</f>
        <v>1</v>
      </c>
      <c r="AG168" s="54">
        <f t="shared" si="328"/>
        <v>1</v>
      </c>
      <c r="AH168" s="62"/>
      <c r="AI168" s="47"/>
      <c r="AJ168" s="47"/>
      <c r="AK168" s="47"/>
      <c r="AL168" s="47"/>
      <c r="AM168" s="47"/>
      <c r="AN168" s="47"/>
      <c r="AO168" s="47"/>
      <c r="AP168" s="52"/>
      <c r="AQ168" s="62"/>
      <c r="AR168" s="62"/>
      <c r="AS168" s="62"/>
      <c r="AT168" s="54"/>
      <c r="AU168" s="54"/>
      <c r="AV168" s="54"/>
      <c r="AW168" s="54"/>
      <c r="AX168" s="54"/>
      <c r="AY168" s="54"/>
      <c r="AZ168" s="54"/>
      <c r="BA168" s="57"/>
      <c r="BB168" s="58"/>
      <c r="BC168" s="57"/>
      <c r="BD168" s="57"/>
      <c r="BE168" s="59"/>
      <c r="BF168" s="60"/>
      <c r="BG168" s="61"/>
      <c r="BH168" s="61"/>
      <c r="BI168" s="61"/>
      <c r="BJ168" s="61"/>
      <c r="BK168" s="62"/>
      <c r="BL168" s="54"/>
      <c r="BM168" s="54"/>
      <c r="BN168" s="54"/>
      <c r="BO168" s="54"/>
      <c r="BP168" s="54"/>
    </row>
    <row r="169">
      <c r="A169" s="47">
        <v>165.0</v>
      </c>
      <c r="B169" s="101" t="s">
        <v>210</v>
      </c>
      <c r="C169" s="125" t="s">
        <v>190</v>
      </c>
      <c r="D169" s="47">
        <v>3.0</v>
      </c>
      <c r="E169" s="47">
        <v>1.0</v>
      </c>
      <c r="F169" s="47">
        <v>0.0</v>
      </c>
      <c r="G169" s="47">
        <v>0.0</v>
      </c>
      <c r="H169" s="47">
        <v>0.0</v>
      </c>
      <c r="I169" s="106">
        <v>0.0</v>
      </c>
      <c r="J169" s="107"/>
      <c r="K169" s="128"/>
      <c r="L169" s="107"/>
      <c r="M169" s="107"/>
      <c r="N169" s="128"/>
      <c r="O169" s="108"/>
      <c r="P169" s="52">
        <v>1.0</v>
      </c>
      <c r="Q169" s="52">
        <v>1.0</v>
      </c>
      <c r="R169" s="62"/>
      <c r="S169" s="54"/>
      <c r="T169" s="54"/>
      <c r="U169" s="54"/>
      <c r="V169" s="47"/>
      <c r="W169" s="54"/>
      <c r="X169" s="54"/>
      <c r="Y169" s="47"/>
      <c r="Z169" s="62"/>
      <c r="AA169" s="54">
        <f t="shared" ref="AA169:AE169" si="329">ROUND(E169*0.5+K169*0.5-S169,2)</f>
        <v>0.5</v>
      </c>
      <c r="AB169" s="54">
        <f t="shared" si="329"/>
        <v>0</v>
      </c>
      <c r="AC169" s="54">
        <f t="shared" si="329"/>
        <v>0</v>
      </c>
      <c r="AD169" s="54">
        <f t="shared" si="329"/>
        <v>0</v>
      </c>
      <c r="AE169" s="54">
        <f t="shared" si="329"/>
        <v>0</v>
      </c>
      <c r="AF169" s="54">
        <f t="shared" ref="AF169:AG169" si="330">ROUND(P169-X169,2)</f>
        <v>1</v>
      </c>
      <c r="AG169" s="54">
        <f t="shared" si="330"/>
        <v>1</v>
      </c>
      <c r="AH169" s="62"/>
      <c r="AI169" s="47"/>
      <c r="AJ169" s="47"/>
      <c r="AK169" s="47"/>
      <c r="AL169" s="47"/>
      <c r="AM169" s="47"/>
      <c r="AN169" s="47"/>
      <c r="AO169" s="47"/>
      <c r="AP169" s="76"/>
      <c r="AQ169" s="62"/>
      <c r="AR169" s="62"/>
      <c r="AS169" s="62"/>
      <c r="AT169" s="54"/>
      <c r="AU169" s="54"/>
      <c r="AV169" s="54"/>
      <c r="AW169" s="54"/>
      <c r="AX169" s="54"/>
      <c r="AY169" s="54"/>
      <c r="AZ169" s="54"/>
      <c r="BA169" s="57"/>
      <c r="BB169" s="58"/>
      <c r="BC169" s="57"/>
      <c r="BD169" s="57"/>
      <c r="BE169" s="59"/>
      <c r="BF169" s="68"/>
      <c r="BG169" s="69"/>
      <c r="BH169" s="69"/>
      <c r="BI169" s="69"/>
      <c r="BJ169" s="69"/>
      <c r="BK169" s="62"/>
      <c r="BL169" s="54"/>
      <c r="BM169" s="54"/>
      <c r="BN169" s="54"/>
      <c r="BO169" s="54"/>
      <c r="BP169" s="54"/>
    </row>
    <row r="170">
      <c r="A170" s="47">
        <v>166.0</v>
      </c>
      <c r="B170" s="101" t="s">
        <v>211</v>
      </c>
      <c r="C170" s="125" t="s">
        <v>190</v>
      </c>
      <c r="D170" s="47">
        <v>4.0</v>
      </c>
      <c r="E170" s="47">
        <v>0.0</v>
      </c>
      <c r="F170" s="47">
        <v>0.0</v>
      </c>
      <c r="G170" s="47">
        <v>0.0</v>
      </c>
      <c r="H170" s="47">
        <v>0.0</v>
      </c>
      <c r="I170" s="106">
        <v>0.0</v>
      </c>
      <c r="J170" s="107"/>
      <c r="K170" s="107"/>
      <c r="L170" s="107"/>
      <c r="M170" s="107"/>
      <c r="N170" s="108"/>
      <c r="O170" s="107"/>
      <c r="P170" s="52">
        <v>1.0</v>
      </c>
      <c r="Q170" s="52">
        <v>1.0</v>
      </c>
      <c r="R170" s="62"/>
      <c r="S170" s="54"/>
      <c r="T170" s="54"/>
      <c r="U170" s="54"/>
      <c r="V170" s="54"/>
      <c r="W170" s="54"/>
      <c r="X170" s="54"/>
      <c r="Y170" s="47"/>
      <c r="Z170" s="62"/>
      <c r="AA170" s="54">
        <f t="shared" ref="AA170:AE170" si="331">ROUND(E170*0.5+K170*0.5-S170,2)</f>
        <v>0</v>
      </c>
      <c r="AB170" s="54">
        <f t="shared" si="331"/>
        <v>0</v>
      </c>
      <c r="AC170" s="54">
        <f t="shared" si="331"/>
        <v>0</v>
      </c>
      <c r="AD170" s="54">
        <f t="shared" si="331"/>
        <v>0</v>
      </c>
      <c r="AE170" s="54">
        <f t="shared" si="331"/>
        <v>0</v>
      </c>
      <c r="AF170" s="54">
        <f t="shared" ref="AF170:AG170" si="332">ROUND(P170-X170,2)</f>
        <v>1</v>
      </c>
      <c r="AG170" s="54">
        <f t="shared" si="332"/>
        <v>1</v>
      </c>
      <c r="AH170" s="62"/>
      <c r="AI170" s="47"/>
      <c r="AJ170" s="47"/>
      <c r="AK170" s="47"/>
      <c r="AL170" s="47"/>
      <c r="AM170" s="47"/>
      <c r="AN170" s="47"/>
      <c r="AO170" s="47"/>
      <c r="AP170" s="52"/>
      <c r="AQ170" s="62"/>
      <c r="AR170" s="62"/>
      <c r="AS170" s="62"/>
      <c r="AT170" s="54"/>
      <c r="AU170" s="54"/>
      <c r="AV170" s="54"/>
      <c r="AW170" s="54"/>
      <c r="AX170" s="54"/>
      <c r="AY170" s="54"/>
      <c r="AZ170" s="54"/>
      <c r="BA170" s="57"/>
      <c r="BB170" s="58"/>
      <c r="BC170" s="57"/>
      <c r="BD170" s="57"/>
      <c r="BE170" s="59"/>
      <c r="BF170" s="60"/>
      <c r="BG170" s="61"/>
      <c r="BH170" s="61"/>
      <c r="BI170" s="61"/>
      <c r="BJ170" s="61"/>
      <c r="BK170" s="62"/>
      <c r="BL170" s="54"/>
      <c r="BM170" s="54"/>
      <c r="BN170" s="54"/>
      <c r="BO170" s="54"/>
      <c r="BP170" s="54"/>
    </row>
    <row r="171">
      <c r="A171" s="47">
        <v>167.0</v>
      </c>
      <c r="B171" s="101" t="s">
        <v>212</v>
      </c>
      <c r="C171" s="125" t="s">
        <v>190</v>
      </c>
      <c r="D171" s="47">
        <v>4.0</v>
      </c>
      <c r="E171" s="47">
        <v>0.0</v>
      </c>
      <c r="F171" s="47">
        <v>0.0</v>
      </c>
      <c r="G171" s="47">
        <v>0.0</v>
      </c>
      <c r="H171" s="47">
        <v>0.0</v>
      </c>
      <c r="I171" s="106">
        <v>0.0</v>
      </c>
      <c r="J171" s="107"/>
      <c r="K171" s="107"/>
      <c r="L171" s="107"/>
      <c r="M171" s="107"/>
      <c r="N171" s="107"/>
      <c r="O171" s="107"/>
      <c r="P171" s="52">
        <v>1.0</v>
      </c>
      <c r="Q171" s="52">
        <v>1.0</v>
      </c>
      <c r="R171" s="62"/>
      <c r="S171" s="54"/>
      <c r="T171" s="54"/>
      <c r="U171" s="54"/>
      <c r="V171" s="54"/>
      <c r="W171" s="54"/>
      <c r="X171" s="54"/>
      <c r="Y171" s="54"/>
      <c r="Z171" s="62"/>
      <c r="AA171" s="54">
        <f t="shared" ref="AA171:AE171" si="333">ROUND(E171*0.5+K171*0.5-S171,2)</f>
        <v>0</v>
      </c>
      <c r="AB171" s="54">
        <f t="shared" si="333"/>
        <v>0</v>
      </c>
      <c r="AC171" s="54">
        <f t="shared" si="333"/>
        <v>0</v>
      </c>
      <c r="AD171" s="54">
        <f t="shared" si="333"/>
        <v>0</v>
      </c>
      <c r="AE171" s="54">
        <f t="shared" si="333"/>
        <v>0</v>
      </c>
      <c r="AF171" s="54">
        <f t="shared" ref="AF171:AG171" si="334">ROUND(P171-X171,2)</f>
        <v>1</v>
      </c>
      <c r="AG171" s="54">
        <f t="shared" si="334"/>
        <v>1</v>
      </c>
      <c r="AH171" s="62"/>
      <c r="AI171" s="47"/>
      <c r="AJ171" s="47"/>
      <c r="AK171" s="47"/>
      <c r="AL171" s="47"/>
      <c r="AM171" s="47"/>
      <c r="AN171" s="47"/>
      <c r="AO171" s="47"/>
      <c r="AP171" s="52"/>
      <c r="AQ171" s="62"/>
      <c r="AR171" s="62"/>
      <c r="AS171" s="62"/>
      <c r="AT171" s="54"/>
      <c r="AU171" s="54"/>
      <c r="AV171" s="54"/>
      <c r="AW171" s="54"/>
      <c r="AX171" s="54"/>
      <c r="AY171" s="54"/>
      <c r="AZ171" s="54"/>
      <c r="BA171" s="57"/>
      <c r="BB171" s="58"/>
      <c r="BC171" s="57"/>
      <c r="BD171" s="58"/>
      <c r="BE171" s="64"/>
      <c r="BF171" s="60"/>
      <c r="BG171" s="61"/>
      <c r="BH171" s="61"/>
      <c r="BI171" s="61"/>
      <c r="BJ171" s="61"/>
      <c r="BK171" s="62"/>
      <c r="BL171" s="54"/>
      <c r="BM171" s="54"/>
      <c r="BN171" s="54"/>
      <c r="BO171" s="54"/>
      <c r="BP171" s="54"/>
    </row>
    <row r="172">
      <c r="A172" s="47">
        <v>168.0</v>
      </c>
      <c r="B172" s="101" t="s">
        <v>213</v>
      </c>
      <c r="C172" s="125" t="s">
        <v>190</v>
      </c>
      <c r="D172" s="47">
        <v>4.0</v>
      </c>
      <c r="E172" s="47">
        <v>0.0</v>
      </c>
      <c r="F172" s="47">
        <v>0.0</v>
      </c>
      <c r="G172" s="47">
        <v>0.0</v>
      </c>
      <c r="H172" s="47">
        <v>0.0</v>
      </c>
      <c r="I172" s="106">
        <v>0.0</v>
      </c>
      <c r="J172" s="107"/>
      <c r="K172" s="107"/>
      <c r="L172" s="107"/>
      <c r="M172" s="107"/>
      <c r="N172" s="107"/>
      <c r="O172" s="107"/>
      <c r="P172" s="52">
        <v>1.0</v>
      </c>
      <c r="Q172" s="52">
        <v>1.0</v>
      </c>
      <c r="R172" s="62"/>
      <c r="S172" s="54"/>
      <c r="T172" s="54"/>
      <c r="U172" s="54"/>
      <c r="V172" s="47"/>
      <c r="W172" s="54"/>
      <c r="X172" s="54"/>
      <c r="Y172" s="54"/>
      <c r="Z172" s="62"/>
      <c r="AA172" s="54">
        <f t="shared" ref="AA172:AE172" si="335">ROUND(E172*0.5+K172*0.5-S172,2)</f>
        <v>0</v>
      </c>
      <c r="AB172" s="54">
        <f t="shared" si="335"/>
        <v>0</v>
      </c>
      <c r="AC172" s="54">
        <f t="shared" si="335"/>
        <v>0</v>
      </c>
      <c r="AD172" s="54">
        <f t="shared" si="335"/>
        <v>0</v>
      </c>
      <c r="AE172" s="54">
        <f t="shared" si="335"/>
        <v>0</v>
      </c>
      <c r="AF172" s="54">
        <f t="shared" ref="AF172:AG172" si="336">ROUND(P172-X172,2)</f>
        <v>1</v>
      </c>
      <c r="AG172" s="54">
        <f t="shared" si="336"/>
        <v>1</v>
      </c>
      <c r="AH172" s="62"/>
      <c r="AI172" s="47"/>
      <c r="AJ172" s="47"/>
      <c r="AK172" s="47"/>
      <c r="AL172" s="47"/>
      <c r="AM172" s="47"/>
      <c r="AN172" s="47"/>
      <c r="AO172" s="47"/>
      <c r="AP172" s="76"/>
      <c r="AQ172" s="62"/>
      <c r="AR172" s="62"/>
      <c r="AS172" s="62"/>
      <c r="AT172" s="54"/>
      <c r="AU172" s="54"/>
      <c r="AV172" s="54"/>
      <c r="AW172" s="54"/>
      <c r="AX172" s="54"/>
      <c r="AY172" s="54"/>
      <c r="AZ172" s="54"/>
      <c r="BA172" s="57"/>
      <c r="BB172" s="58"/>
      <c r="BC172" s="57"/>
      <c r="BD172" s="57"/>
      <c r="BE172" s="59"/>
      <c r="BF172" s="68"/>
      <c r="BG172" s="69"/>
      <c r="BH172" s="69"/>
      <c r="BI172" s="69"/>
      <c r="BJ172" s="69"/>
      <c r="BK172" s="62"/>
      <c r="BL172" s="54"/>
      <c r="BM172" s="54"/>
      <c r="BN172" s="54"/>
      <c r="BO172" s="54"/>
      <c r="BP172" s="54"/>
    </row>
    <row r="173">
      <c r="A173" s="47">
        <v>169.0</v>
      </c>
      <c r="B173" s="93" t="s">
        <v>214</v>
      </c>
      <c r="C173" s="125" t="s">
        <v>190</v>
      </c>
      <c r="D173" s="47">
        <v>4.0</v>
      </c>
      <c r="E173" s="47">
        <v>0.0</v>
      </c>
      <c r="F173" s="47">
        <v>0.0</v>
      </c>
      <c r="G173" s="47">
        <v>0.0</v>
      </c>
      <c r="H173" s="47">
        <v>0.0</v>
      </c>
      <c r="I173" s="106">
        <v>0.0</v>
      </c>
      <c r="J173" s="107"/>
      <c r="K173" s="107"/>
      <c r="L173" s="107"/>
      <c r="M173" s="107"/>
      <c r="N173" s="107"/>
      <c r="O173" s="107"/>
      <c r="P173" s="52">
        <v>1.0</v>
      </c>
      <c r="Q173" s="52">
        <v>1.0</v>
      </c>
      <c r="R173" s="62"/>
      <c r="S173" s="47"/>
      <c r="T173" s="47"/>
      <c r="U173" s="54"/>
      <c r="V173" s="54"/>
      <c r="W173" s="47"/>
      <c r="X173" s="54"/>
      <c r="Y173" s="54"/>
      <c r="Z173" s="62"/>
      <c r="AA173" s="54">
        <f t="shared" ref="AA173:AE173" si="337">ROUND(E173*0.5+K173*0.5-S173,2)</f>
        <v>0</v>
      </c>
      <c r="AB173" s="54">
        <f t="shared" si="337"/>
        <v>0</v>
      </c>
      <c r="AC173" s="54">
        <f t="shared" si="337"/>
        <v>0</v>
      </c>
      <c r="AD173" s="54">
        <f t="shared" si="337"/>
        <v>0</v>
      </c>
      <c r="AE173" s="54">
        <f t="shared" si="337"/>
        <v>0</v>
      </c>
      <c r="AF173" s="54">
        <f t="shared" ref="AF173:AG173" si="338">ROUND(P173-X173,2)</f>
        <v>1</v>
      </c>
      <c r="AG173" s="54">
        <f t="shared" si="338"/>
        <v>1</v>
      </c>
      <c r="AH173" s="62"/>
      <c r="AI173" s="47"/>
      <c r="AJ173" s="47"/>
      <c r="AK173" s="47"/>
      <c r="AL173" s="47"/>
      <c r="AM173" s="47"/>
      <c r="AN173" s="47"/>
      <c r="AO173" s="47"/>
      <c r="AP173" s="52"/>
      <c r="AQ173" s="62"/>
      <c r="AR173" s="62"/>
      <c r="AS173" s="62"/>
      <c r="AT173" s="54"/>
      <c r="AU173" s="54"/>
      <c r="AV173" s="54"/>
      <c r="AW173" s="54"/>
      <c r="AX173" s="54"/>
      <c r="AY173" s="54"/>
      <c r="AZ173" s="54"/>
      <c r="BA173" s="57"/>
      <c r="BB173" s="58"/>
      <c r="BC173" s="57"/>
      <c r="BD173" s="57"/>
      <c r="BE173" s="59"/>
      <c r="BF173" s="68"/>
      <c r="BG173" s="69"/>
      <c r="BH173" s="69"/>
      <c r="BI173" s="69"/>
      <c r="BJ173" s="69"/>
      <c r="BK173" s="62"/>
      <c r="BL173" s="54"/>
      <c r="BM173" s="54"/>
      <c r="BN173" s="54"/>
      <c r="BO173" s="54"/>
      <c r="BP173" s="54"/>
    </row>
    <row r="174">
      <c r="A174" s="47">
        <v>170.0</v>
      </c>
      <c r="B174" s="101" t="s">
        <v>215</v>
      </c>
      <c r="C174" s="125" t="s">
        <v>190</v>
      </c>
      <c r="D174" s="106">
        <v>2.0</v>
      </c>
      <c r="E174" s="106">
        <v>1.0</v>
      </c>
      <c r="F174" s="106">
        <v>1.0</v>
      </c>
      <c r="G174" s="106">
        <v>0.0</v>
      </c>
      <c r="H174" s="106">
        <v>0.0</v>
      </c>
      <c r="I174" s="106">
        <v>0.0</v>
      </c>
      <c r="J174" s="107"/>
      <c r="K174" s="107"/>
      <c r="L174" s="107"/>
      <c r="M174" s="107"/>
      <c r="N174" s="107"/>
      <c r="O174" s="107"/>
      <c r="P174" s="52">
        <v>1.0</v>
      </c>
      <c r="Q174" s="52">
        <v>1.0</v>
      </c>
      <c r="R174" s="62"/>
      <c r="S174" s="47"/>
      <c r="T174" s="54"/>
      <c r="U174" s="54"/>
      <c r="V174" s="54"/>
      <c r="W174" s="54"/>
      <c r="X174" s="54"/>
      <c r="Y174" s="54"/>
      <c r="Z174" s="62"/>
      <c r="AA174" s="54">
        <f t="shared" ref="AA174:AE174" si="339">ROUND(E174*0.5+K174*0.5-S174,2)</f>
        <v>0.5</v>
      </c>
      <c r="AB174" s="54">
        <f t="shared" si="339"/>
        <v>0.5</v>
      </c>
      <c r="AC174" s="54">
        <f t="shared" si="339"/>
        <v>0</v>
      </c>
      <c r="AD174" s="54">
        <f t="shared" si="339"/>
        <v>0</v>
      </c>
      <c r="AE174" s="54">
        <f t="shared" si="339"/>
        <v>0</v>
      </c>
      <c r="AF174" s="54">
        <f t="shared" ref="AF174:AG174" si="340">ROUND(P174-X174,2)</f>
        <v>1</v>
      </c>
      <c r="AG174" s="54">
        <f t="shared" si="340"/>
        <v>1</v>
      </c>
      <c r="AH174" s="62"/>
      <c r="AI174" s="47"/>
      <c r="AJ174" s="47"/>
      <c r="AK174" s="47"/>
      <c r="AL174" s="47"/>
      <c r="AM174" s="47"/>
      <c r="AN174" s="47"/>
      <c r="AO174" s="47"/>
      <c r="AP174" s="70"/>
      <c r="AQ174" s="62"/>
      <c r="AR174" s="62"/>
      <c r="AS174" s="62"/>
      <c r="AT174" s="54"/>
      <c r="AU174" s="54"/>
      <c r="AV174" s="54"/>
      <c r="AW174" s="54"/>
      <c r="AX174" s="54"/>
      <c r="AY174" s="54"/>
      <c r="AZ174" s="54"/>
      <c r="BA174" s="57"/>
      <c r="BB174" s="58"/>
      <c r="BC174" s="57"/>
      <c r="BD174" s="57"/>
      <c r="BE174" s="59"/>
      <c r="BF174" s="68"/>
      <c r="BG174" s="69"/>
      <c r="BH174" s="69"/>
      <c r="BI174" s="69"/>
      <c r="BJ174" s="69"/>
      <c r="BK174" s="62"/>
      <c r="BL174" s="54"/>
      <c r="BM174" s="54"/>
      <c r="BN174" s="54"/>
      <c r="BO174" s="54"/>
      <c r="BP174" s="54"/>
    </row>
    <row r="175">
      <c r="A175" s="47">
        <v>171.0</v>
      </c>
      <c r="B175" s="101" t="s">
        <v>216</v>
      </c>
      <c r="C175" s="125" t="s">
        <v>190</v>
      </c>
      <c r="D175" s="106">
        <v>4.0</v>
      </c>
      <c r="E175" s="106">
        <v>0.0</v>
      </c>
      <c r="F175" s="106">
        <v>0.0</v>
      </c>
      <c r="G175" s="106">
        <v>0.0</v>
      </c>
      <c r="H175" s="106">
        <v>0.0</v>
      </c>
      <c r="I175" s="106">
        <v>0.0</v>
      </c>
      <c r="J175" s="107"/>
      <c r="K175" s="107"/>
      <c r="L175" s="107"/>
      <c r="M175" s="107"/>
      <c r="N175" s="107"/>
      <c r="O175" s="107"/>
      <c r="P175" s="52">
        <v>1.0</v>
      </c>
      <c r="Q175" s="52">
        <v>1.0</v>
      </c>
      <c r="R175" s="62"/>
      <c r="S175" s="47"/>
      <c r="T175" s="54"/>
      <c r="U175" s="54"/>
      <c r="V175" s="54"/>
      <c r="W175" s="54"/>
      <c r="X175" s="54"/>
      <c r="Y175" s="54"/>
      <c r="Z175" s="62"/>
      <c r="AA175" s="54">
        <f t="shared" ref="AA175:AE175" si="341">ROUND(E175*0.5+K175*0.5-S175,2)</f>
        <v>0</v>
      </c>
      <c r="AB175" s="54">
        <f t="shared" si="341"/>
        <v>0</v>
      </c>
      <c r="AC175" s="54">
        <f t="shared" si="341"/>
        <v>0</v>
      </c>
      <c r="AD175" s="54">
        <f t="shared" si="341"/>
        <v>0</v>
      </c>
      <c r="AE175" s="54">
        <f t="shared" si="341"/>
        <v>0</v>
      </c>
      <c r="AF175" s="54">
        <f t="shared" ref="AF175:AG175" si="342">ROUND(P175-X175,2)</f>
        <v>1</v>
      </c>
      <c r="AG175" s="54">
        <f t="shared" si="342"/>
        <v>1</v>
      </c>
      <c r="AH175" s="62"/>
      <c r="AI175" s="47"/>
      <c r="AJ175" s="47"/>
      <c r="AK175" s="47"/>
      <c r="AL175" s="47"/>
      <c r="AM175" s="47"/>
      <c r="AN175" s="47"/>
      <c r="AO175" s="47"/>
      <c r="AP175" s="70"/>
      <c r="AQ175" s="62"/>
      <c r="AR175" s="62"/>
      <c r="AS175" s="62"/>
      <c r="AT175" s="54"/>
      <c r="AU175" s="54"/>
      <c r="AV175" s="54"/>
      <c r="AW175" s="54"/>
      <c r="AX175" s="54"/>
      <c r="AY175" s="54"/>
      <c r="AZ175" s="54"/>
      <c r="BA175" s="57"/>
      <c r="BB175" s="58"/>
      <c r="BC175" s="57"/>
      <c r="BD175" s="57"/>
      <c r="BE175" s="59"/>
      <c r="BF175" s="68"/>
      <c r="BG175" s="69"/>
      <c r="BH175" s="69"/>
      <c r="BI175" s="69"/>
      <c r="BJ175" s="69"/>
      <c r="BK175" s="62"/>
      <c r="BL175" s="54"/>
      <c r="BM175" s="54"/>
      <c r="BN175" s="54"/>
      <c r="BO175" s="54"/>
      <c r="BP175" s="54"/>
    </row>
    <row r="176">
      <c r="A176" s="47">
        <v>172.0</v>
      </c>
      <c r="B176" s="101" t="s">
        <v>217</v>
      </c>
      <c r="C176" s="125" t="s">
        <v>190</v>
      </c>
      <c r="D176" s="106">
        <v>4.0</v>
      </c>
      <c r="E176" s="106">
        <v>0.0</v>
      </c>
      <c r="F176" s="106">
        <v>0.0</v>
      </c>
      <c r="G176" s="106">
        <v>0.0</v>
      </c>
      <c r="H176" s="106">
        <v>0.0</v>
      </c>
      <c r="I176" s="106">
        <v>0.0</v>
      </c>
      <c r="J176" s="107"/>
      <c r="K176" s="107"/>
      <c r="L176" s="107"/>
      <c r="M176" s="107"/>
      <c r="N176" s="107"/>
      <c r="O176" s="107"/>
      <c r="P176" s="52">
        <v>1.0</v>
      </c>
      <c r="Q176" s="52">
        <v>1.0</v>
      </c>
      <c r="R176" s="62"/>
      <c r="S176" s="47"/>
      <c r="T176" s="54"/>
      <c r="U176" s="54"/>
      <c r="V176" s="47"/>
      <c r="W176" s="54"/>
      <c r="X176" s="54"/>
      <c r="Y176" s="54"/>
      <c r="Z176" s="62"/>
      <c r="AA176" s="54">
        <f t="shared" ref="AA176:AE176" si="343">ROUND(E176*0.5+K176*0.5-S176,2)</f>
        <v>0</v>
      </c>
      <c r="AB176" s="54">
        <f t="shared" si="343"/>
        <v>0</v>
      </c>
      <c r="AC176" s="54">
        <f t="shared" si="343"/>
        <v>0</v>
      </c>
      <c r="AD176" s="54">
        <f t="shared" si="343"/>
        <v>0</v>
      </c>
      <c r="AE176" s="54">
        <f t="shared" si="343"/>
        <v>0</v>
      </c>
      <c r="AF176" s="54">
        <f t="shared" ref="AF176:AG176" si="344">ROUND(P176-X176,2)</f>
        <v>1</v>
      </c>
      <c r="AG176" s="54">
        <f t="shared" si="344"/>
        <v>1</v>
      </c>
      <c r="AH176" s="62"/>
      <c r="AI176" s="47"/>
      <c r="AJ176" s="47"/>
      <c r="AK176" s="47"/>
      <c r="AL176" s="47"/>
      <c r="AM176" s="47"/>
      <c r="AN176" s="47"/>
      <c r="AO176" s="47"/>
      <c r="AP176" s="52"/>
      <c r="AQ176" s="62"/>
      <c r="AR176" s="62"/>
      <c r="AS176" s="62"/>
      <c r="AT176" s="54"/>
      <c r="AU176" s="54"/>
      <c r="AV176" s="54"/>
      <c r="AW176" s="54"/>
      <c r="AX176" s="54"/>
      <c r="AY176" s="54"/>
      <c r="AZ176" s="54"/>
      <c r="BA176" s="57"/>
      <c r="BB176" s="58"/>
      <c r="BC176" s="57"/>
      <c r="BD176" s="57"/>
      <c r="BE176" s="59"/>
      <c r="BF176" s="68"/>
      <c r="BG176" s="69"/>
      <c r="BH176" s="69"/>
      <c r="BI176" s="69"/>
      <c r="BJ176" s="69"/>
      <c r="BK176" s="62"/>
      <c r="BL176" s="54"/>
      <c r="BM176" s="54"/>
      <c r="BN176" s="54"/>
      <c r="BO176" s="54"/>
      <c r="BP176" s="54"/>
    </row>
    <row r="177">
      <c r="A177" s="47">
        <v>173.0</v>
      </c>
      <c r="B177" s="101" t="s">
        <v>218</v>
      </c>
      <c r="C177" s="125" t="s">
        <v>190</v>
      </c>
      <c r="D177" s="106">
        <v>4.0</v>
      </c>
      <c r="E177" s="106">
        <v>0.0</v>
      </c>
      <c r="F177" s="106">
        <v>0.0</v>
      </c>
      <c r="G177" s="106">
        <v>0.0</v>
      </c>
      <c r="H177" s="106">
        <v>0.0</v>
      </c>
      <c r="I177" s="106">
        <v>0.0</v>
      </c>
      <c r="J177" s="107"/>
      <c r="K177" s="107"/>
      <c r="L177" s="107"/>
      <c r="M177" s="107"/>
      <c r="N177" s="107"/>
      <c r="O177" s="107"/>
      <c r="P177" s="52">
        <v>1.0</v>
      </c>
      <c r="Q177" s="52">
        <v>1.0</v>
      </c>
      <c r="R177" s="62"/>
      <c r="S177" s="47"/>
      <c r="T177" s="47"/>
      <c r="U177" s="47"/>
      <c r="V177" s="47"/>
      <c r="W177" s="47"/>
      <c r="X177" s="54"/>
      <c r="Y177" s="54"/>
      <c r="Z177" s="62"/>
      <c r="AA177" s="54">
        <f t="shared" ref="AA177:AE177" si="345">ROUND(E177*0.5+K177*0.5-S177,2)</f>
        <v>0</v>
      </c>
      <c r="AB177" s="54">
        <f t="shared" si="345"/>
        <v>0</v>
      </c>
      <c r="AC177" s="54">
        <f t="shared" si="345"/>
        <v>0</v>
      </c>
      <c r="AD177" s="54">
        <f t="shared" si="345"/>
        <v>0</v>
      </c>
      <c r="AE177" s="54">
        <f t="shared" si="345"/>
        <v>0</v>
      </c>
      <c r="AF177" s="54">
        <f t="shared" ref="AF177:AG177" si="346">ROUND(P177-X177,2)</f>
        <v>1</v>
      </c>
      <c r="AG177" s="54">
        <f t="shared" si="346"/>
        <v>1</v>
      </c>
      <c r="AH177" s="62"/>
      <c r="AI177" s="47"/>
      <c r="AJ177" s="47"/>
      <c r="AK177" s="47"/>
      <c r="AL177" s="47"/>
      <c r="AM177" s="47"/>
      <c r="AN177" s="47"/>
      <c r="AO177" s="47"/>
      <c r="AP177" s="78"/>
      <c r="AQ177" s="62"/>
      <c r="AR177" s="62"/>
      <c r="AS177" s="62"/>
      <c r="AT177" s="129"/>
      <c r="AU177" s="129"/>
      <c r="AV177" s="130"/>
      <c r="AW177" s="130"/>
      <c r="AX177" s="130"/>
      <c r="AY177" s="129"/>
      <c r="AZ177" s="54"/>
      <c r="BA177" s="58"/>
      <c r="BB177" s="58"/>
      <c r="BC177" s="57"/>
      <c r="BD177" s="58"/>
      <c r="BE177" s="64"/>
      <c r="BF177" s="68"/>
      <c r="BG177" s="69"/>
      <c r="BH177" s="69"/>
      <c r="BI177" s="69"/>
      <c r="BJ177" s="69"/>
      <c r="BK177" s="62"/>
      <c r="BL177" s="54"/>
      <c r="BM177" s="54"/>
      <c r="BN177" s="54"/>
      <c r="BO177" s="54"/>
      <c r="BP177" s="54"/>
    </row>
    <row r="178">
      <c r="A178" s="47">
        <v>174.0</v>
      </c>
      <c r="B178" s="101" t="s">
        <v>219</v>
      </c>
      <c r="C178" s="125" t="s">
        <v>190</v>
      </c>
      <c r="D178" s="106">
        <v>3.0</v>
      </c>
      <c r="E178" s="106">
        <v>1.0</v>
      </c>
      <c r="F178" s="106">
        <v>0.0</v>
      </c>
      <c r="G178" s="106">
        <v>0.0</v>
      </c>
      <c r="H178" s="106">
        <v>0.0</v>
      </c>
      <c r="I178" s="106">
        <v>0.0</v>
      </c>
      <c r="J178" s="107"/>
      <c r="K178" s="107"/>
      <c r="L178" s="107"/>
      <c r="M178" s="107"/>
      <c r="N178" s="107"/>
      <c r="O178" s="107"/>
      <c r="P178" s="52">
        <v>1.0</v>
      </c>
      <c r="Q178" s="52">
        <v>1.0</v>
      </c>
      <c r="R178" s="62"/>
      <c r="S178" s="47"/>
      <c r="T178" s="54"/>
      <c r="U178" s="54"/>
      <c r="V178" s="47"/>
      <c r="W178" s="54"/>
      <c r="X178" s="54"/>
      <c r="Y178" s="54"/>
      <c r="Z178" s="62"/>
      <c r="AA178" s="54">
        <f t="shared" ref="AA178:AE178" si="347">ROUND(E178*0.5+K178*0.5-S178,2)</f>
        <v>0.5</v>
      </c>
      <c r="AB178" s="54">
        <f t="shared" si="347"/>
        <v>0</v>
      </c>
      <c r="AC178" s="54">
        <f t="shared" si="347"/>
        <v>0</v>
      </c>
      <c r="AD178" s="54">
        <f t="shared" si="347"/>
        <v>0</v>
      </c>
      <c r="AE178" s="54">
        <f t="shared" si="347"/>
        <v>0</v>
      </c>
      <c r="AF178" s="54">
        <f t="shared" ref="AF178:AG178" si="348">ROUND(P178-X178,2)</f>
        <v>1</v>
      </c>
      <c r="AG178" s="54">
        <f t="shared" si="348"/>
        <v>1</v>
      </c>
      <c r="AH178" s="62"/>
      <c r="AI178" s="47"/>
      <c r="AJ178" s="47"/>
      <c r="AK178" s="47"/>
      <c r="AL178" s="47"/>
      <c r="AM178" s="47"/>
      <c r="AN178" s="47"/>
      <c r="AO178" s="47"/>
      <c r="AP178" s="52"/>
      <c r="AQ178" s="62"/>
      <c r="AR178" s="62"/>
      <c r="AS178" s="62"/>
      <c r="AT178" s="54"/>
      <c r="AU178" s="54"/>
      <c r="AV178" s="54"/>
      <c r="AW178" s="54"/>
      <c r="AX178" s="54"/>
      <c r="AY178" s="54"/>
      <c r="AZ178" s="54"/>
      <c r="BA178" s="57"/>
      <c r="BB178" s="58"/>
      <c r="BC178" s="57"/>
      <c r="BD178" s="57"/>
      <c r="BE178" s="59"/>
      <c r="BF178" s="68"/>
      <c r="BG178" s="69"/>
      <c r="BH178" s="69"/>
      <c r="BI178" s="69"/>
      <c r="BJ178" s="69"/>
      <c r="BK178" s="62"/>
      <c r="BL178" s="54"/>
      <c r="BM178" s="54"/>
      <c r="BN178" s="54"/>
      <c r="BO178" s="54"/>
      <c r="BP178" s="54"/>
    </row>
    <row r="179">
      <c r="A179" s="47">
        <v>175.0</v>
      </c>
      <c r="B179" s="101" t="s">
        <v>220</v>
      </c>
      <c r="C179" s="49" t="s">
        <v>221</v>
      </c>
      <c r="D179" s="106">
        <v>0.0</v>
      </c>
      <c r="E179" s="106">
        <v>2.0</v>
      </c>
      <c r="F179" s="106">
        <v>0.0</v>
      </c>
      <c r="G179" s="106">
        <v>0.0</v>
      </c>
      <c r="H179" s="106">
        <v>0.0</v>
      </c>
      <c r="I179" s="106">
        <v>0.0</v>
      </c>
      <c r="J179" s="107"/>
      <c r="K179" s="107"/>
      <c r="L179" s="107"/>
      <c r="M179" s="107"/>
      <c r="N179" s="107"/>
      <c r="O179" s="107"/>
      <c r="P179" s="52">
        <v>1.0</v>
      </c>
      <c r="Q179" s="52">
        <v>1.0</v>
      </c>
      <c r="R179" s="62"/>
      <c r="S179" s="47">
        <v>0.12</v>
      </c>
      <c r="T179" s="54"/>
      <c r="U179" s="54"/>
      <c r="V179" s="54"/>
      <c r="W179" s="54"/>
      <c r="X179" s="54"/>
      <c r="Y179" s="54"/>
      <c r="Z179" s="62"/>
      <c r="AA179" s="54">
        <f t="shared" ref="AA179:AE179" si="349">ROUND(E179*0.5+K179*0.5-S179,2)</f>
        <v>0.88</v>
      </c>
      <c r="AB179" s="54">
        <f t="shared" si="349"/>
        <v>0</v>
      </c>
      <c r="AC179" s="54">
        <f t="shared" si="349"/>
        <v>0</v>
      </c>
      <c r="AD179" s="54">
        <f t="shared" si="349"/>
        <v>0</v>
      </c>
      <c r="AE179" s="54">
        <f t="shared" si="349"/>
        <v>0</v>
      </c>
      <c r="AF179" s="54">
        <f t="shared" ref="AF179:AG179" si="350">ROUND(P179-X179,2)</f>
        <v>1</v>
      </c>
      <c r="AG179" s="54">
        <f t="shared" si="350"/>
        <v>1</v>
      </c>
      <c r="AH179" s="62"/>
      <c r="AI179" s="47"/>
      <c r="AJ179" s="47"/>
      <c r="AK179" s="47"/>
      <c r="AL179" s="47"/>
      <c r="AM179" s="47"/>
      <c r="AN179" s="47"/>
      <c r="AO179" s="47"/>
      <c r="AP179" s="52"/>
      <c r="AQ179" s="62"/>
      <c r="AR179" s="62"/>
      <c r="AS179" s="62"/>
      <c r="AT179" s="54"/>
      <c r="AU179" s="54"/>
      <c r="AV179" s="54"/>
      <c r="AW179" s="54"/>
      <c r="AX179" s="54"/>
      <c r="AY179" s="54"/>
      <c r="AZ179" s="54"/>
      <c r="BA179" s="57"/>
      <c r="BB179" s="57"/>
      <c r="BC179" s="57"/>
      <c r="BD179" s="57"/>
      <c r="BE179" s="59"/>
      <c r="BF179" s="60"/>
      <c r="BG179" s="61"/>
      <c r="BH179" s="61"/>
      <c r="BI179" s="61"/>
      <c r="BJ179" s="61"/>
      <c r="BK179" s="62"/>
      <c r="BL179" s="54"/>
      <c r="BM179" s="54"/>
      <c r="BN179" s="54"/>
      <c r="BO179" s="54"/>
      <c r="BP179" s="54"/>
    </row>
    <row r="180">
      <c r="A180" s="47">
        <v>176.0</v>
      </c>
      <c r="B180" s="101" t="s">
        <v>222</v>
      </c>
      <c r="C180" s="49" t="s">
        <v>221</v>
      </c>
      <c r="D180" s="106">
        <v>0.0</v>
      </c>
      <c r="E180" s="106">
        <v>2.5</v>
      </c>
      <c r="F180" s="106">
        <v>0.0</v>
      </c>
      <c r="G180" s="106">
        <v>0.3</v>
      </c>
      <c r="H180" s="106">
        <v>1.0</v>
      </c>
      <c r="I180" s="106">
        <v>0.2</v>
      </c>
      <c r="J180" s="107"/>
      <c r="K180" s="107"/>
      <c r="L180" s="107"/>
      <c r="M180" s="107"/>
      <c r="N180" s="107"/>
      <c r="O180" s="107"/>
      <c r="P180" s="52">
        <v>1.0</v>
      </c>
      <c r="Q180" s="52">
        <v>1.0</v>
      </c>
      <c r="R180" s="62"/>
      <c r="S180" s="54"/>
      <c r="T180" s="54"/>
      <c r="U180" s="54"/>
      <c r="V180" s="54"/>
      <c r="W180" s="54"/>
      <c r="X180" s="54"/>
      <c r="Y180" s="54"/>
      <c r="Z180" s="62"/>
      <c r="AA180" s="54">
        <f t="shared" ref="AA180:AE180" si="351">ROUND(E180*0.5+K180*0.5-S180,2)</f>
        <v>1.25</v>
      </c>
      <c r="AB180" s="54">
        <f t="shared" si="351"/>
        <v>0</v>
      </c>
      <c r="AC180" s="54">
        <f t="shared" si="351"/>
        <v>0.15</v>
      </c>
      <c r="AD180" s="54">
        <f t="shared" si="351"/>
        <v>0.5</v>
      </c>
      <c r="AE180" s="54">
        <f t="shared" si="351"/>
        <v>0.1</v>
      </c>
      <c r="AF180" s="54">
        <f t="shared" ref="AF180:AG180" si="352">ROUND(P180-X180,2)</f>
        <v>1</v>
      </c>
      <c r="AG180" s="54">
        <f t="shared" si="352"/>
        <v>1</v>
      </c>
      <c r="AH180" s="62"/>
      <c r="AI180" s="47"/>
      <c r="AJ180" s="47"/>
      <c r="AK180" s="47"/>
      <c r="AL180" s="47"/>
      <c r="AM180" s="47"/>
      <c r="AN180" s="47"/>
      <c r="AO180" s="47"/>
      <c r="AP180" s="74"/>
      <c r="AQ180" s="62"/>
      <c r="AR180" s="62"/>
      <c r="AS180" s="62"/>
      <c r="AT180" s="54"/>
      <c r="AU180" s="54"/>
      <c r="AV180" s="54"/>
      <c r="AW180" s="54"/>
      <c r="AX180" s="54"/>
      <c r="AY180" s="54"/>
      <c r="AZ180" s="54"/>
      <c r="BA180" s="57"/>
      <c r="BB180" s="57"/>
      <c r="BC180" s="57"/>
      <c r="BD180" s="57"/>
      <c r="BE180" s="59"/>
      <c r="BF180" s="60"/>
      <c r="BG180" s="61"/>
      <c r="BH180" s="61"/>
      <c r="BI180" s="61"/>
      <c r="BJ180" s="61"/>
      <c r="BK180" s="62"/>
      <c r="BL180" s="54"/>
      <c r="BM180" s="54"/>
      <c r="BN180" s="54"/>
      <c r="BO180" s="54"/>
      <c r="BP180" s="54"/>
    </row>
    <row r="181">
      <c r="A181" s="47">
        <v>177.0</v>
      </c>
      <c r="B181" s="101" t="s">
        <v>223</v>
      </c>
      <c r="C181" s="49" t="s">
        <v>221</v>
      </c>
      <c r="D181" s="131">
        <v>0.0</v>
      </c>
      <c r="E181" s="131">
        <v>2.5</v>
      </c>
      <c r="F181" s="131">
        <v>0.0</v>
      </c>
      <c r="G181" s="131">
        <v>0.6</v>
      </c>
      <c r="H181" s="131">
        <v>0.5</v>
      </c>
      <c r="I181" s="131">
        <v>0.4</v>
      </c>
      <c r="J181" s="108"/>
      <c r="K181" s="108"/>
      <c r="L181" s="108"/>
      <c r="M181" s="108"/>
      <c r="N181" s="108"/>
      <c r="O181" s="108"/>
      <c r="P181" s="52">
        <v>1.0</v>
      </c>
      <c r="Q181" s="52">
        <v>1.0</v>
      </c>
      <c r="R181" s="62"/>
      <c r="S181" s="47"/>
      <c r="T181" s="54"/>
      <c r="U181" s="54"/>
      <c r="V181" s="54"/>
      <c r="W181" s="47"/>
      <c r="X181" s="54"/>
      <c r="Y181" s="54"/>
      <c r="Z181" s="62"/>
      <c r="AA181" s="54">
        <f t="shared" ref="AA181:AE181" si="353">ROUND(E181*0.5+K181*0.5-S181,2)</f>
        <v>1.25</v>
      </c>
      <c r="AB181" s="54">
        <f t="shared" si="353"/>
        <v>0</v>
      </c>
      <c r="AC181" s="54">
        <f t="shared" si="353"/>
        <v>0.3</v>
      </c>
      <c r="AD181" s="54">
        <f t="shared" si="353"/>
        <v>0.25</v>
      </c>
      <c r="AE181" s="54">
        <f t="shared" si="353"/>
        <v>0.2</v>
      </c>
      <c r="AF181" s="54">
        <f t="shared" ref="AF181:AG181" si="354">ROUND(P181-X181,2)</f>
        <v>1</v>
      </c>
      <c r="AG181" s="54">
        <f t="shared" si="354"/>
        <v>1</v>
      </c>
      <c r="AH181" s="62"/>
      <c r="AI181" s="47"/>
      <c r="AJ181" s="47"/>
      <c r="AK181" s="47"/>
      <c r="AL181" s="47"/>
      <c r="AM181" s="47"/>
      <c r="AN181" s="47"/>
      <c r="AO181" s="47"/>
      <c r="AP181" s="52"/>
      <c r="AQ181" s="62"/>
      <c r="AR181" s="62"/>
      <c r="AS181" s="62"/>
      <c r="AT181" s="54"/>
      <c r="AU181" s="54"/>
      <c r="AV181" s="54"/>
      <c r="AW181" s="54"/>
      <c r="AX181" s="54"/>
      <c r="AY181" s="132"/>
      <c r="AZ181" s="54"/>
      <c r="BA181" s="57"/>
      <c r="BB181" s="58"/>
      <c r="BC181" s="58"/>
      <c r="BD181" s="57"/>
      <c r="BE181" s="59"/>
      <c r="BF181" s="60"/>
      <c r="BG181" s="61"/>
      <c r="BH181" s="61"/>
      <c r="BI181" s="61"/>
      <c r="BJ181" s="61"/>
      <c r="BK181" s="62"/>
      <c r="BL181" s="54"/>
      <c r="BM181" s="54"/>
      <c r="BN181" s="54"/>
      <c r="BO181" s="54"/>
      <c r="BP181" s="54"/>
    </row>
    <row r="182">
      <c r="A182" s="47">
        <v>178.0</v>
      </c>
      <c r="B182" s="101" t="s">
        <v>224</v>
      </c>
      <c r="C182" s="49" t="s">
        <v>221</v>
      </c>
      <c r="D182" s="131">
        <v>0.0</v>
      </c>
      <c r="E182" s="131">
        <v>2.5</v>
      </c>
      <c r="F182" s="131">
        <v>0.5</v>
      </c>
      <c r="G182" s="131">
        <v>0.4</v>
      </c>
      <c r="H182" s="131">
        <v>0.6</v>
      </c>
      <c r="I182" s="131">
        <v>0.0</v>
      </c>
      <c r="J182" s="108"/>
      <c r="K182" s="108"/>
      <c r="L182" s="108"/>
      <c r="M182" s="108"/>
      <c r="N182" s="108"/>
      <c r="O182" s="108"/>
      <c r="P182" s="52">
        <v>1.0</v>
      </c>
      <c r="Q182" s="52">
        <v>1.0</v>
      </c>
      <c r="R182" s="62"/>
      <c r="S182" s="47"/>
      <c r="T182" s="54"/>
      <c r="U182" s="47"/>
      <c r="V182" s="54"/>
      <c r="W182" s="54"/>
      <c r="X182" s="54"/>
      <c r="Y182" s="54"/>
      <c r="Z182" s="62"/>
      <c r="AA182" s="54">
        <f t="shared" ref="AA182:AE182" si="355">ROUND(E182*0.5+K182*0.5-S182,2)</f>
        <v>1.25</v>
      </c>
      <c r="AB182" s="54">
        <f t="shared" si="355"/>
        <v>0.25</v>
      </c>
      <c r="AC182" s="54">
        <f t="shared" si="355"/>
        <v>0.2</v>
      </c>
      <c r="AD182" s="54">
        <f t="shared" si="355"/>
        <v>0.3</v>
      </c>
      <c r="AE182" s="54">
        <f t="shared" si="355"/>
        <v>0</v>
      </c>
      <c r="AF182" s="54">
        <f t="shared" ref="AF182:AG182" si="356">ROUND(P182-X182,2)</f>
        <v>1</v>
      </c>
      <c r="AG182" s="54">
        <f t="shared" si="356"/>
        <v>1</v>
      </c>
      <c r="AH182" s="62"/>
      <c r="AI182" s="47"/>
      <c r="AJ182" s="47"/>
      <c r="AK182" s="47"/>
      <c r="AL182" s="47"/>
      <c r="AM182" s="47"/>
      <c r="AN182" s="47"/>
      <c r="AO182" s="47"/>
      <c r="AP182" s="70"/>
      <c r="AQ182" s="62"/>
      <c r="AR182" s="62"/>
      <c r="AS182" s="62"/>
      <c r="AT182" s="54"/>
      <c r="AU182" s="54"/>
      <c r="AV182" s="54"/>
      <c r="AW182" s="54"/>
      <c r="AX182" s="54"/>
      <c r="AY182" s="54"/>
      <c r="AZ182" s="54"/>
      <c r="BA182" s="57"/>
      <c r="BB182" s="58"/>
      <c r="BC182" s="58"/>
      <c r="BD182" s="57"/>
      <c r="BE182" s="59"/>
      <c r="BF182" s="68"/>
      <c r="BG182" s="69"/>
      <c r="BH182" s="69"/>
      <c r="BI182" s="69"/>
      <c r="BJ182" s="69"/>
      <c r="BK182" s="62"/>
      <c r="BL182" s="54"/>
      <c r="BM182" s="54"/>
      <c r="BN182" s="54"/>
      <c r="BO182" s="54"/>
      <c r="BP182" s="54"/>
    </row>
    <row r="183">
      <c r="A183" s="47">
        <v>179.0</v>
      </c>
      <c r="B183" s="93" t="s">
        <v>225</v>
      </c>
      <c r="C183" s="49" t="s">
        <v>221</v>
      </c>
      <c r="D183" s="131">
        <v>3.0</v>
      </c>
      <c r="E183" s="131">
        <v>1.0</v>
      </c>
      <c r="F183" s="131">
        <v>0.0</v>
      </c>
      <c r="G183" s="131">
        <v>0.0</v>
      </c>
      <c r="H183" s="131">
        <v>0.0</v>
      </c>
      <c r="I183" s="131">
        <v>0.0</v>
      </c>
      <c r="J183" s="128"/>
      <c r="K183" s="128"/>
      <c r="L183" s="128"/>
      <c r="M183" s="128"/>
      <c r="N183" s="128"/>
      <c r="O183" s="128"/>
      <c r="P183" s="52">
        <v>1.0</v>
      </c>
      <c r="Q183" s="52">
        <v>1.0</v>
      </c>
      <c r="R183" s="62"/>
      <c r="S183" s="54"/>
      <c r="T183" s="54"/>
      <c r="U183" s="54"/>
      <c r="V183" s="54"/>
      <c r="W183" s="54"/>
      <c r="X183" s="54"/>
      <c r="Y183" s="54"/>
      <c r="Z183" s="62"/>
      <c r="AA183" s="54">
        <f t="shared" ref="AA183:AE183" si="357">ROUND(E183*0.5+K183*0.5-S183,2)</f>
        <v>0.5</v>
      </c>
      <c r="AB183" s="54">
        <f t="shared" si="357"/>
        <v>0</v>
      </c>
      <c r="AC183" s="54">
        <f t="shared" si="357"/>
        <v>0</v>
      </c>
      <c r="AD183" s="54">
        <f t="shared" si="357"/>
        <v>0</v>
      </c>
      <c r="AE183" s="54">
        <f t="shared" si="357"/>
        <v>0</v>
      </c>
      <c r="AF183" s="54">
        <f t="shared" ref="AF183:AG183" si="358">ROUND(P183-X183,2)</f>
        <v>1</v>
      </c>
      <c r="AG183" s="54">
        <f t="shared" si="358"/>
        <v>1</v>
      </c>
      <c r="AH183" s="62"/>
      <c r="AI183" s="47"/>
      <c r="AJ183" s="47"/>
      <c r="AK183" s="47"/>
      <c r="AL183" s="47"/>
      <c r="AM183" s="47"/>
      <c r="AN183" s="47"/>
      <c r="AO183" s="47"/>
      <c r="AP183" s="52"/>
      <c r="AQ183" s="62"/>
      <c r="AR183" s="62"/>
      <c r="AS183" s="62"/>
      <c r="AT183" s="54"/>
      <c r="AU183" s="54"/>
      <c r="AV183" s="54"/>
      <c r="AW183" s="54"/>
      <c r="AX183" s="54"/>
      <c r="AY183" s="54"/>
      <c r="AZ183" s="54"/>
      <c r="BA183" s="57"/>
      <c r="BB183" s="57"/>
      <c r="BC183" s="57"/>
      <c r="BD183" s="57"/>
      <c r="BE183" s="59"/>
      <c r="BF183" s="68"/>
      <c r="BG183" s="69"/>
      <c r="BH183" s="69"/>
      <c r="BI183" s="69"/>
      <c r="BJ183" s="69"/>
      <c r="BK183" s="62"/>
      <c r="BL183" s="54"/>
      <c r="BM183" s="54"/>
      <c r="BN183" s="54"/>
      <c r="BO183" s="54"/>
      <c r="BP183" s="54"/>
    </row>
    <row r="184">
      <c r="A184" s="47">
        <v>180.0</v>
      </c>
      <c r="B184" s="101" t="s">
        <v>226</v>
      </c>
      <c r="C184" s="49" t="s">
        <v>221</v>
      </c>
      <c r="D184" s="131">
        <v>2.0</v>
      </c>
      <c r="E184" s="131">
        <v>1.5</v>
      </c>
      <c r="F184" s="131">
        <v>0.2</v>
      </c>
      <c r="G184" s="131">
        <v>0.3</v>
      </c>
      <c r="H184" s="131">
        <v>0.0</v>
      </c>
      <c r="I184" s="131">
        <v>0.0</v>
      </c>
      <c r="J184" s="128"/>
      <c r="K184" s="128"/>
      <c r="L184" s="128"/>
      <c r="M184" s="128"/>
      <c r="N184" s="128"/>
      <c r="O184" s="128"/>
      <c r="P184" s="52">
        <v>1.0</v>
      </c>
      <c r="Q184" s="52">
        <v>1.0</v>
      </c>
      <c r="R184" s="62"/>
      <c r="S184" s="47">
        <v>0.08</v>
      </c>
      <c r="T184" s="47"/>
      <c r="U184" s="47"/>
      <c r="V184" s="54"/>
      <c r="W184" s="47"/>
      <c r="X184" s="54"/>
      <c r="Y184" s="47">
        <v>0.33</v>
      </c>
      <c r="Z184" s="62"/>
      <c r="AA184" s="54">
        <f t="shared" ref="AA184:AE184" si="359">ROUND(E184*0.5+K184*0.5-S184,2)</f>
        <v>0.67</v>
      </c>
      <c r="AB184" s="54">
        <f t="shared" si="359"/>
        <v>0.1</v>
      </c>
      <c r="AC184" s="54">
        <f t="shared" si="359"/>
        <v>0.15</v>
      </c>
      <c r="AD184" s="54">
        <f t="shared" si="359"/>
        <v>0</v>
      </c>
      <c r="AE184" s="54">
        <f t="shared" si="359"/>
        <v>0</v>
      </c>
      <c r="AF184" s="54">
        <f t="shared" ref="AF184:AG184" si="360">ROUND(P184-X184,2)</f>
        <v>1</v>
      </c>
      <c r="AG184" s="54">
        <f t="shared" si="360"/>
        <v>0.67</v>
      </c>
      <c r="AH184" s="62"/>
      <c r="AI184" s="47"/>
      <c r="AJ184" s="47"/>
      <c r="AK184" s="47"/>
      <c r="AL184" s="47"/>
      <c r="AM184" s="47"/>
      <c r="AN184" s="47"/>
      <c r="AO184" s="47"/>
      <c r="AP184" s="78"/>
      <c r="AQ184" s="62"/>
      <c r="AR184" s="62"/>
      <c r="AS184" s="62"/>
      <c r="AT184" s="54"/>
      <c r="AU184" s="54"/>
      <c r="AV184" s="54"/>
      <c r="AW184" s="54"/>
      <c r="AX184" s="54"/>
      <c r="AY184" s="54"/>
      <c r="AZ184" s="54"/>
      <c r="BA184" s="57"/>
      <c r="BB184" s="57"/>
      <c r="BC184" s="57"/>
      <c r="BD184" s="57"/>
      <c r="BE184" s="59"/>
      <c r="BF184" s="68"/>
      <c r="BG184" s="69"/>
      <c r="BH184" s="69"/>
      <c r="BI184" s="69"/>
      <c r="BJ184" s="69"/>
      <c r="BK184" s="62"/>
      <c r="BL184" s="54"/>
      <c r="BM184" s="54"/>
      <c r="BN184" s="54"/>
      <c r="BO184" s="54"/>
      <c r="BP184" s="54"/>
    </row>
    <row r="185">
      <c r="A185" s="47">
        <v>181.0</v>
      </c>
      <c r="B185" s="101" t="s">
        <v>227</v>
      </c>
      <c r="C185" s="49" t="s">
        <v>221</v>
      </c>
      <c r="D185" s="131">
        <v>3.0</v>
      </c>
      <c r="E185" s="131">
        <v>0.0</v>
      </c>
      <c r="F185" s="131">
        <v>0.2</v>
      </c>
      <c r="G185" s="131">
        <v>0.0</v>
      </c>
      <c r="H185" s="131">
        <v>0.8</v>
      </c>
      <c r="I185" s="131">
        <v>0.0</v>
      </c>
      <c r="J185" s="128"/>
      <c r="K185" s="128"/>
      <c r="L185" s="128"/>
      <c r="M185" s="128"/>
      <c r="N185" s="128"/>
      <c r="O185" s="128"/>
      <c r="P185" s="52">
        <v>1.0</v>
      </c>
      <c r="Q185" s="52">
        <v>1.0</v>
      </c>
      <c r="R185" s="62"/>
      <c r="S185" s="47">
        <v>0.33</v>
      </c>
      <c r="T185" s="54"/>
      <c r="U185" s="47"/>
      <c r="V185" s="47">
        <v>0.2</v>
      </c>
      <c r="W185" s="54"/>
      <c r="X185" s="54"/>
      <c r="Y185" s="54"/>
      <c r="Z185" s="62"/>
      <c r="AA185" s="54">
        <f t="shared" ref="AA185:AE185" si="361">ROUND(E185*0.5+K185*0.5-S185,2)</f>
        <v>-0.33</v>
      </c>
      <c r="AB185" s="54">
        <f t="shared" si="361"/>
        <v>0.1</v>
      </c>
      <c r="AC185" s="54">
        <f t="shared" si="361"/>
        <v>0</v>
      </c>
      <c r="AD185" s="54">
        <f t="shared" si="361"/>
        <v>0.2</v>
      </c>
      <c r="AE185" s="54">
        <f t="shared" si="361"/>
        <v>0</v>
      </c>
      <c r="AF185" s="54">
        <f t="shared" ref="AF185:AG185" si="362">ROUND(P185-X185,2)</f>
        <v>1</v>
      </c>
      <c r="AG185" s="54">
        <f t="shared" si="362"/>
        <v>1</v>
      </c>
      <c r="AH185" s="62"/>
      <c r="AI185" s="47"/>
      <c r="AJ185" s="47"/>
      <c r="AK185" s="47"/>
      <c r="AL185" s="47"/>
      <c r="AM185" s="47"/>
      <c r="AN185" s="47"/>
      <c r="AO185" s="47"/>
      <c r="AP185" s="78"/>
      <c r="AQ185" s="62"/>
      <c r="AR185" s="62"/>
      <c r="AS185" s="62"/>
      <c r="AT185" s="54"/>
      <c r="AU185" s="54"/>
      <c r="AV185" s="54"/>
      <c r="AW185" s="54"/>
      <c r="AX185" s="54"/>
      <c r="AY185" s="54"/>
      <c r="AZ185" s="54"/>
      <c r="BA185" s="57"/>
      <c r="BB185" s="58"/>
      <c r="BC185" s="57"/>
      <c r="BD185" s="57"/>
      <c r="BE185" s="59"/>
      <c r="BF185" s="68"/>
      <c r="BG185" s="69"/>
      <c r="BH185" s="69"/>
      <c r="BI185" s="69"/>
      <c r="BJ185" s="69"/>
      <c r="BK185" s="62"/>
      <c r="BL185" s="54"/>
      <c r="BM185" s="54"/>
      <c r="BN185" s="54"/>
      <c r="BO185" s="54"/>
      <c r="BP185" s="54"/>
    </row>
    <row r="186">
      <c r="A186" s="47">
        <v>182.0</v>
      </c>
      <c r="B186" s="101" t="s">
        <v>228</v>
      </c>
      <c r="C186" s="49" t="s">
        <v>221</v>
      </c>
      <c r="D186" s="131">
        <v>2.0</v>
      </c>
      <c r="E186" s="131">
        <v>1.5</v>
      </c>
      <c r="F186" s="131">
        <v>0.2</v>
      </c>
      <c r="G186" s="131">
        <v>0.0</v>
      </c>
      <c r="H186" s="131">
        <v>0.3</v>
      </c>
      <c r="I186" s="131">
        <v>0.0</v>
      </c>
      <c r="J186" s="128"/>
      <c r="K186" s="128"/>
      <c r="L186" s="128"/>
      <c r="M186" s="128"/>
      <c r="N186" s="128"/>
      <c r="O186" s="128"/>
      <c r="P186" s="52">
        <v>1.0</v>
      </c>
      <c r="Q186" s="52">
        <v>1.0</v>
      </c>
      <c r="R186" s="62"/>
      <c r="S186" s="54"/>
      <c r="T186" s="47"/>
      <c r="U186" s="47">
        <v>0.03</v>
      </c>
      <c r="V186" s="47">
        <v>0.07</v>
      </c>
      <c r="W186" s="54"/>
      <c r="X186" s="54"/>
      <c r="Y186" s="54"/>
      <c r="Z186" s="62"/>
      <c r="AA186" s="54">
        <f t="shared" ref="AA186:AE186" si="363">ROUND(E186*0.5+K186*0.5-S186,2)</f>
        <v>0.75</v>
      </c>
      <c r="AB186" s="54">
        <f t="shared" si="363"/>
        <v>0.1</v>
      </c>
      <c r="AC186" s="54">
        <f t="shared" si="363"/>
        <v>-0.03</v>
      </c>
      <c r="AD186" s="54">
        <f t="shared" si="363"/>
        <v>0.08</v>
      </c>
      <c r="AE186" s="54">
        <f t="shared" si="363"/>
        <v>0</v>
      </c>
      <c r="AF186" s="54">
        <f t="shared" ref="AF186:AG186" si="364">ROUND(P186-X186,2)</f>
        <v>1</v>
      </c>
      <c r="AG186" s="54">
        <f t="shared" si="364"/>
        <v>1</v>
      </c>
      <c r="AH186" s="62"/>
      <c r="AI186" s="47"/>
      <c r="AJ186" s="47"/>
      <c r="AK186" s="47"/>
      <c r="AL186" s="47"/>
      <c r="AM186" s="47"/>
      <c r="AN186" s="47"/>
      <c r="AO186" s="47"/>
      <c r="AP186" s="78"/>
      <c r="AQ186" s="62"/>
      <c r="AR186" s="62"/>
      <c r="AS186" s="62"/>
      <c r="AT186" s="54"/>
      <c r="AU186" s="54"/>
      <c r="AV186" s="54"/>
      <c r="AW186" s="54"/>
      <c r="AX186" s="54"/>
      <c r="AY186" s="54"/>
      <c r="AZ186" s="54"/>
      <c r="BA186" s="57"/>
      <c r="BB186" s="58"/>
      <c r="BC186" s="57"/>
      <c r="BD186" s="57"/>
      <c r="BE186" s="59"/>
      <c r="BF186" s="68"/>
      <c r="BG186" s="69"/>
      <c r="BH186" s="69"/>
      <c r="BI186" s="69"/>
      <c r="BJ186" s="69"/>
      <c r="BK186" s="62"/>
      <c r="BL186" s="54"/>
      <c r="BM186" s="54"/>
      <c r="BN186" s="54"/>
      <c r="BO186" s="54"/>
      <c r="BP186" s="54"/>
    </row>
    <row r="187">
      <c r="A187" s="47">
        <v>183.0</v>
      </c>
      <c r="B187" s="101" t="s">
        <v>229</v>
      </c>
      <c r="C187" s="49" t="s">
        <v>221</v>
      </c>
      <c r="D187" s="131">
        <v>2.0</v>
      </c>
      <c r="E187" s="131">
        <v>1.5</v>
      </c>
      <c r="F187" s="131">
        <v>0.2</v>
      </c>
      <c r="G187" s="131">
        <v>0.0</v>
      </c>
      <c r="H187" s="131">
        <v>0.3</v>
      </c>
      <c r="I187" s="131">
        <v>0.0</v>
      </c>
      <c r="J187" s="128"/>
      <c r="K187" s="128"/>
      <c r="L187" s="128"/>
      <c r="M187" s="128"/>
      <c r="N187" s="128"/>
      <c r="O187" s="128"/>
      <c r="P187" s="52">
        <v>1.0</v>
      </c>
      <c r="Q187" s="52">
        <v>1.0</v>
      </c>
      <c r="R187" s="62"/>
      <c r="S187" s="47">
        <v>0.07</v>
      </c>
      <c r="T187" s="54"/>
      <c r="U187" s="47">
        <v>0.04</v>
      </c>
      <c r="V187" s="47">
        <v>0.07</v>
      </c>
      <c r="W187" s="54"/>
      <c r="X187" s="54"/>
      <c r="Y187" s="54"/>
      <c r="Z187" s="62"/>
      <c r="AA187" s="54">
        <f t="shared" ref="AA187:AE187" si="365">ROUND(E187*0.5+K187*0.5-S187,2)</f>
        <v>0.68</v>
      </c>
      <c r="AB187" s="54">
        <f t="shared" si="365"/>
        <v>0.1</v>
      </c>
      <c r="AC187" s="54">
        <f t="shared" si="365"/>
        <v>-0.04</v>
      </c>
      <c r="AD187" s="54">
        <f t="shared" si="365"/>
        <v>0.08</v>
      </c>
      <c r="AE187" s="54">
        <f t="shared" si="365"/>
        <v>0</v>
      </c>
      <c r="AF187" s="54">
        <f t="shared" ref="AF187:AG187" si="366">ROUND(P187-X187,2)</f>
        <v>1</v>
      </c>
      <c r="AG187" s="54">
        <f t="shared" si="366"/>
        <v>1</v>
      </c>
      <c r="AH187" s="62"/>
      <c r="AI187" s="47"/>
      <c r="AJ187" s="47"/>
      <c r="AK187" s="47"/>
      <c r="AL187" s="47"/>
      <c r="AM187" s="47"/>
      <c r="AN187" s="47"/>
      <c r="AO187" s="47"/>
      <c r="AP187" s="76"/>
      <c r="AQ187" s="62"/>
      <c r="AR187" s="62"/>
      <c r="AS187" s="62"/>
      <c r="AT187" s="54"/>
      <c r="AU187" s="54"/>
      <c r="AV187" s="54"/>
      <c r="AW187" s="54"/>
      <c r="AX187" s="54"/>
      <c r="AY187" s="54"/>
      <c r="AZ187" s="54"/>
      <c r="BA187" s="57"/>
      <c r="BB187" s="57"/>
      <c r="BC187" s="57"/>
      <c r="BD187" s="57"/>
      <c r="BE187" s="59"/>
      <c r="BF187" s="68"/>
      <c r="BG187" s="69"/>
      <c r="BH187" s="69"/>
      <c r="BI187" s="69"/>
      <c r="BJ187" s="69"/>
      <c r="BK187" s="62"/>
      <c r="BL187" s="54"/>
      <c r="BM187" s="54"/>
      <c r="BN187" s="54"/>
      <c r="BO187" s="54"/>
      <c r="BP187" s="54"/>
    </row>
    <row r="188">
      <c r="A188" s="47">
        <v>184.0</v>
      </c>
      <c r="B188" s="101" t="s">
        <v>230</v>
      </c>
      <c r="C188" s="49" t="s">
        <v>221</v>
      </c>
      <c r="D188" s="131">
        <v>3.0</v>
      </c>
      <c r="E188" s="131">
        <v>1.0</v>
      </c>
      <c r="F188" s="131">
        <v>0.0</v>
      </c>
      <c r="G188" s="131">
        <v>0.0</v>
      </c>
      <c r="H188" s="131">
        <v>0.0</v>
      </c>
      <c r="I188" s="131">
        <v>0.0</v>
      </c>
      <c r="J188" s="128"/>
      <c r="K188" s="128"/>
      <c r="L188" s="128"/>
      <c r="M188" s="128"/>
      <c r="N188" s="128"/>
      <c r="O188" s="128"/>
      <c r="P188" s="52">
        <v>1.0</v>
      </c>
      <c r="Q188" s="52">
        <v>1.0</v>
      </c>
      <c r="R188" s="62"/>
      <c r="S188" s="47">
        <v>0.03</v>
      </c>
      <c r="T188" s="47"/>
      <c r="U188" s="47"/>
      <c r="V188" s="47">
        <v>0.08</v>
      </c>
      <c r="W188" s="54"/>
      <c r="X188" s="54"/>
      <c r="Y188" s="54"/>
      <c r="Z188" s="62"/>
      <c r="AA188" s="54">
        <f t="shared" ref="AA188:AE188" si="367">ROUND(E188*0.5+K188*0.5-S188,2)</f>
        <v>0.47</v>
      </c>
      <c r="AB188" s="54">
        <f t="shared" si="367"/>
        <v>0</v>
      </c>
      <c r="AC188" s="54">
        <f t="shared" si="367"/>
        <v>0</v>
      </c>
      <c r="AD188" s="54">
        <f t="shared" si="367"/>
        <v>-0.08</v>
      </c>
      <c r="AE188" s="54">
        <f t="shared" si="367"/>
        <v>0</v>
      </c>
      <c r="AF188" s="54">
        <f t="shared" ref="AF188:AG188" si="368">ROUND(P188-X188,2)</f>
        <v>1</v>
      </c>
      <c r="AG188" s="54">
        <f t="shared" si="368"/>
        <v>1</v>
      </c>
      <c r="AH188" s="62"/>
      <c r="AI188" s="47"/>
      <c r="AJ188" s="47"/>
      <c r="AK188" s="47"/>
      <c r="AL188" s="47"/>
      <c r="AM188" s="47"/>
      <c r="AN188" s="47"/>
      <c r="AO188" s="47"/>
      <c r="AP188" s="78"/>
      <c r="AQ188" s="62"/>
      <c r="AR188" s="62"/>
      <c r="AS188" s="62"/>
      <c r="AT188" s="54"/>
      <c r="AU188" s="54"/>
      <c r="AV188" s="54"/>
      <c r="AW188" s="54"/>
      <c r="AX188" s="54"/>
      <c r="AY188" s="54"/>
      <c r="AZ188" s="54"/>
      <c r="BA188" s="57"/>
      <c r="BB188" s="58"/>
      <c r="BC188" s="57"/>
      <c r="BD188" s="57"/>
      <c r="BE188" s="59"/>
      <c r="BF188" s="68"/>
      <c r="BG188" s="69"/>
      <c r="BH188" s="69"/>
      <c r="BI188" s="69"/>
      <c r="BJ188" s="69"/>
      <c r="BK188" s="62"/>
      <c r="BL188" s="54"/>
      <c r="BM188" s="54"/>
      <c r="BN188" s="54"/>
      <c r="BO188" s="54"/>
      <c r="BP188" s="54"/>
    </row>
    <row r="189">
      <c r="A189" s="47">
        <v>185.0</v>
      </c>
      <c r="B189" s="123" t="s">
        <v>231</v>
      </c>
      <c r="C189" s="49" t="s">
        <v>221</v>
      </c>
      <c r="D189" s="131">
        <v>4.0</v>
      </c>
      <c r="E189" s="131">
        <v>0.0</v>
      </c>
      <c r="F189" s="131">
        <v>0.0</v>
      </c>
      <c r="G189" s="131">
        <v>0.0</v>
      </c>
      <c r="H189" s="131">
        <v>0.0</v>
      </c>
      <c r="I189" s="131">
        <v>0.0</v>
      </c>
      <c r="J189" s="128"/>
      <c r="K189" s="128"/>
      <c r="L189" s="128"/>
      <c r="M189" s="128"/>
      <c r="N189" s="128"/>
      <c r="O189" s="128"/>
      <c r="P189" s="52">
        <v>1.0</v>
      </c>
      <c r="Q189" s="52">
        <v>1.0</v>
      </c>
      <c r="R189" s="62"/>
      <c r="S189" s="47"/>
      <c r="T189" s="47"/>
      <c r="U189" s="47"/>
      <c r="V189" s="54"/>
      <c r="W189" s="54"/>
      <c r="X189" s="54"/>
      <c r="Y189" s="54"/>
      <c r="Z189" s="62"/>
      <c r="AA189" s="54">
        <f t="shared" ref="AA189:AE189" si="369">ROUND(E189*0.5+K189*0.5-S189,2)</f>
        <v>0</v>
      </c>
      <c r="AB189" s="54">
        <f t="shared" si="369"/>
        <v>0</v>
      </c>
      <c r="AC189" s="54">
        <f t="shared" si="369"/>
        <v>0</v>
      </c>
      <c r="AD189" s="54">
        <f t="shared" si="369"/>
        <v>0</v>
      </c>
      <c r="AE189" s="54">
        <f t="shared" si="369"/>
        <v>0</v>
      </c>
      <c r="AF189" s="54">
        <f t="shared" ref="AF189:AG189" si="370">ROUND(P189-X189,2)</f>
        <v>1</v>
      </c>
      <c r="AG189" s="54">
        <f t="shared" si="370"/>
        <v>1</v>
      </c>
      <c r="AH189" s="62"/>
      <c r="AI189" s="47"/>
      <c r="AJ189" s="47"/>
      <c r="AK189" s="47"/>
      <c r="AL189" s="47"/>
      <c r="AM189" s="47"/>
      <c r="AN189" s="47"/>
      <c r="AO189" s="47"/>
      <c r="AP189" s="95"/>
      <c r="AQ189" s="62"/>
      <c r="AR189" s="62"/>
      <c r="AS189" s="62"/>
      <c r="AT189" s="54"/>
      <c r="AU189" s="54"/>
      <c r="AV189" s="54"/>
      <c r="AW189" s="54"/>
      <c r="AX189" s="54"/>
      <c r="AY189" s="54"/>
      <c r="AZ189" s="54"/>
      <c r="BA189" s="57"/>
      <c r="BB189" s="58"/>
      <c r="BC189" s="58"/>
      <c r="BD189" s="57"/>
      <c r="BE189" s="59"/>
      <c r="BF189" s="68"/>
      <c r="BG189" s="69"/>
      <c r="BH189" s="69"/>
      <c r="BI189" s="69"/>
      <c r="BJ189" s="69"/>
      <c r="BK189" s="62"/>
      <c r="BL189" s="54"/>
      <c r="BM189" s="54"/>
      <c r="BN189" s="54"/>
      <c r="BO189" s="54"/>
      <c r="BP189" s="54"/>
    </row>
    <row r="190">
      <c r="A190" s="47">
        <v>186.0</v>
      </c>
      <c r="B190" s="123" t="s">
        <v>232</v>
      </c>
      <c r="C190" s="49" t="s">
        <v>221</v>
      </c>
      <c r="D190" s="131">
        <v>4.0</v>
      </c>
      <c r="E190" s="131">
        <v>0.0</v>
      </c>
      <c r="F190" s="131">
        <v>0.0</v>
      </c>
      <c r="G190" s="131">
        <v>0.0</v>
      </c>
      <c r="H190" s="131">
        <v>0.0</v>
      </c>
      <c r="I190" s="131">
        <v>0.0</v>
      </c>
      <c r="J190" s="128"/>
      <c r="K190" s="128"/>
      <c r="L190" s="128"/>
      <c r="M190" s="128"/>
      <c r="N190" s="128"/>
      <c r="O190" s="128"/>
      <c r="P190" s="52">
        <v>1.0</v>
      </c>
      <c r="Q190" s="52">
        <v>1.0</v>
      </c>
      <c r="R190" s="62"/>
      <c r="S190" s="54"/>
      <c r="T190" s="54"/>
      <c r="U190" s="54"/>
      <c r="V190" s="54"/>
      <c r="W190" s="47"/>
      <c r="X190" s="54"/>
      <c r="Y190" s="47"/>
      <c r="Z190" s="62"/>
      <c r="AA190" s="54">
        <f t="shared" ref="AA190:AE190" si="371">ROUND(E190*0.5+K190*0.5-S190,2)</f>
        <v>0</v>
      </c>
      <c r="AB190" s="54">
        <f t="shared" si="371"/>
        <v>0</v>
      </c>
      <c r="AC190" s="54">
        <f t="shared" si="371"/>
        <v>0</v>
      </c>
      <c r="AD190" s="54">
        <f t="shared" si="371"/>
        <v>0</v>
      </c>
      <c r="AE190" s="54">
        <f t="shared" si="371"/>
        <v>0</v>
      </c>
      <c r="AF190" s="54">
        <f t="shared" ref="AF190:AG190" si="372">ROUND(P190-X190,2)</f>
        <v>1</v>
      </c>
      <c r="AG190" s="54">
        <f t="shared" si="372"/>
        <v>1</v>
      </c>
      <c r="AH190" s="62"/>
      <c r="AI190" s="47"/>
      <c r="AJ190" s="47"/>
      <c r="AK190" s="47"/>
      <c r="AL190" s="47"/>
      <c r="AM190" s="47"/>
      <c r="AN190" s="47"/>
      <c r="AO190" s="47"/>
      <c r="AP190" s="52"/>
      <c r="AQ190" s="62"/>
      <c r="AR190" s="62"/>
      <c r="AS190" s="62"/>
      <c r="AT190" s="54"/>
      <c r="AU190" s="54"/>
      <c r="AV190" s="54"/>
      <c r="AW190" s="54"/>
      <c r="AX190" s="54"/>
      <c r="AY190" s="54"/>
      <c r="AZ190" s="54"/>
      <c r="BA190" s="57"/>
      <c r="BB190" s="57"/>
      <c r="BC190" s="57"/>
      <c r="BD190" s="57"/>
      <c r="BE190" s="59"/>
      <c r="BF190" s="68"/>
      <c r="BG190" s="69"/>
      <c r="BH190" s="69"/>
      <c r="BI190" s="69"/>
      <c r="BJ190" s="69"/>
      <c r="BK190" s="62"/>
      <c r="BL190" s="54"/>
      <c r="BM190" s="54"/>
      <c r="BN190" s="54"/>
      <c r="BO190" s="54"/>
      <c r="BP190" s="54"/>
    </row>
    <row r="191">
      <c r="A191" s="47">
        <v>187.0</v>
      </c>
      <c r="B191" s="101" t="s">
        <v>233</v>
      </c>
      <c r="C191" s="100" t="s">
        <v>234</v>
      </c>
      <c r="D191" s="133">
        <v>0.0</v>
      </c>
      <c r="E191" s="133">
        <v>1.0</v>
      </c>
      <c r="F191" s="133">
        <v>0.0</v>
      </c>
      <c r="G191" s="133">
        <v>0.0</v>
      </c>
      <c r="H191" s="133">
        <v>0.0</v>
      </c>
      <c r="I191" s="133">
        <v>0.0</v>
      </c>
      <c r="J191" s="128"/>
      <c r="K191" s="128"/>
      <c r="L191" s="128"/>
      <c r="M191" s="128"/>
      <c r="N191" s="128"/>
      <c r="O191" s="128"/>
      <c r="P191" s="52">
        <v>1.0</v>
      </c>
      <c r="Q191" s="52">
        <v>1.0</v>
      </c>
      <c r="R191" s="62"/>
      <c r="S191" s="54"/>
      <c r="T191" s="54"/>
      <c r="U191" s="54"/>
      <c r="V191" s="54"/>
      <c r="W191" s="54"/>
      <c r="X191" s="54"/>
      <c r="Y191" s="47"/>
      <c r="Z191" s="62"/>
      <c r="AA191" s="54">
        <f t="shared" ref="AA191:AE191" si="373">ROUND(E191*0.5+K191*0.5-S191,2)</f>
        <v>0.5</v>
      </c>
      <c r="AB191" s="54">
        <f t="shared" si="373"/>
        <v>0</v>
      </c>
      <c r="AC191" s="54">
        <f t="shared" si="373"/>
        <v>0</v>
      </c>
      <c r="AD191" s="54">
        <f t="shared" si="373"/>
        <v>0</v>
      </c>
      <c r="AE191" s="54">
        <f t="shared" si="373"/>
        <v>0</v>
      </c>
      <c r="AF191" s="54">
        <f t="shared" ref="AF191:AG191" si="374">ROUND(P191-X191,2)</f>
        <v>1</v>
      </c>
      <c r="AG191" s="54">
        <f t="shared" si="374"/>
        <v>1</v>
      </c>
      <c r="AH191" s="62"/>
      <c r="AI191" s="47"/>
      <c r="AJ191" s="47"/>
      <c r="AK191" s="47"/>
      <c r="AL191" s="47"/>
      <c r="AM191" s="47"/>
      <c r="AN191" s="47"/>
      <c r="AO191" s="47"/>
      <c r="AP191" s="52"/>
      <c r="AQ191" s="62"/>
      <c r="AR191" s="62"/>
      <c r="AS191" s="62"/>
      <c r="AT191" s="54"/>
      <c r="AU191" s="54"/>
      <c r="AV191" s="54"/>
      <c r="AW191" s="54"/>
      <c r="AX191" s="54"/>
      <c r="AY191" s="54"/>
      <c r="AZ191" s="54"/>
      <c r="BA191" s="113"/>
      <c r="BB191" s="73"/>
      <c r="BC191" s="73"/>
      <c r="BD191" s="113"/>
      <c r="BE191" s="114"/>
      <c r="BF191" s="90"/>
      <c r="BG191" s="91"/>
      <c r="BH191" s="91"/>
      <c r="BI191" s="91"/>
      <c r="BJ191" s="91"/>
      <c r="BK191" s="62"/>
      <c r="BL191" s="54"/>
      <c r="BM191" s="54"/>
      <c r="BN191" s="54"/>
      <c r="BO191" s="54"/>
      <c r="BP191" s="54"/>
    </row>
    <row r="192">
      <c r="A192" s="47">
        <v>188.0</v>
      </c>
      <c r="B192" s="101" t="s">
        <v>235</v>
      </c>
      <c r="C192" s="100" t="s">
        <v>234</v>
      </c>
      <c r="D192" s="131">
        <v>1.0</v>
      </c>
      <c r="E192" s="131">
        <v>0.0</v>
      </c>
      <c r="F192" s="131">
        <v>0.0</v>
      </c>
      <c r="G192" s="131">
        <v>0.0</v>
      </c>
      <c r="H192" s="131">
        <v>0.0</v>
      </c>
      <c r="I192" s="131">
        <v>0.0</v>
      </c>
      <c r="J192" s="128"/>
      <c r="K192" s="128"/>
      <c r="L192" s="128"/>
      <c r="M192" s="128"/>
      <c r="N192" s="128"/>
      <c r="O192" s="128"/>
      <c r="P192" s="52">
        <v>1.0</v>
      </c>
      <c r="Q192" s="52">
        <v>1.0</v>
      </c>
      <c r="R192" s="62"/>
      <c r="S192" s="54"/>
      <c r="T192" s="54"/>
      <c r="U192" s="54"/>
      <c r="V192" s="54"/>
      <c r="W192" s="54"/>
      <c r="X192" s="54"/>
      <c r="Y192" s="54"/>
      <c r="Z192" s="62"/>
      <c r="AA192" s="54">
        <f t="shared" ref="AA192:AE192" si="375">ROUND(E192*0.5+K192*0.5-S192,2)</f>
        <v>0</v>
      </c>
      <c r="AB192" s="54">
        <f t="shared" si="375"/>
        <v>0</v>
      </c>
      <c r="AC192" s="54">
        <f t="shared" si="375"/>
        <v>0</v>
      </c>
      <c r="AD192" s="54">
        <f t="shared" si="375"/>
        <v>0</v>
      </c>
      <c r="AE192" s="54">
        <f t="shared" si="375"/>
        <v>0</v>
      </c>
      <c r="AF192" s="54">
        <f t="shared" ref="AF192:AG192" si="376">ROUND(P192-X192,2)</f>
        <v>1</v>
      </c>
      <c r="AG192" s="54">
        <f t="shared" si="376"/>
        <v>1</v>
      </c>
      <c r="AH192" s="62"/>
      <c r="AI192" s="47"/>
      <c r="AJ192" s="47"/>
      <c r="AK192" s="47"/>
      <c r="AL192" s="47"/>
      <c r="AM192" s="47"/>
      <c r="AN192" s="47"/>
      <c r="AO192" s="47"/>
      <c r="AP192" s="52"/>
      <c r="AQ192" s="62"/>
      <c r="AR192" s="62"/>
      <c r="AS192" s="62"/>
      <c r="AT192" s="54"/>
      <c r="AU192" s="54"/>
      <c r="AV192" s="54"/>
      <c r="AW192" s="54"/>
      <c r="AX192" s="54"/>
      <c r="AY192" s="54"/>
      <c r="AZ192" s="54"/>
      <c r="BA192" s="57"/>
      <c r="BB192" s="58"/>
      <c r="BC192" s="57"/>
      <c r="BD192" s="57"/>
      <c r="BE192" s="59"/>
      <c r="BF192" s="47"/>
      <c r="BG192" s="47"/>
      <c r="BH192" s="47"/>
      <c r="BI192" s="47"/>
      <c r="BJ192" s="47"/>
      <c r="BK192" s="62"/>
      <c r="BL192" s="54"/>
      <c r="BM192" s="54"/>
      <c r="BN192" s="54"/>
      <c r="BO192" s="54"/>
      <c r="BP192" s="54"/>
    </row>
    <row r="193">
      <c r="A193" s="47">
        <v>189.0</v>
      </c>
      <c r="B193" s="101" t="s">
        <v>236</v>
      </c>
      <c r="C193" s="100" t="s">
        <v>234</v>
      </c>
      <c r="D193" s="106">
        <v>2.0</v>
      </c>
      <c r="E193" s="106">
        <v>1.0</v>
      </c>
      <c r="F193" s="106">
        <v>0.0</v>
      </c>
      <c r="G193" s="106">
        <v>0.0</v>
      </c>
      <c r="H193" s="106">
        <v>0.4</v>
      </c>
      <c r="I193" s="106">
        <v>0.6</v>
      </c>
      <c r="J193" s="107"/>
      <c r="K193" s="107"/>
      <c r="L193" s="107"/>
      <c r="M193" s="107"/>
      <c r="N193" s="107"/>
      <c r="O193" s="107"/>
      <c r="P193" s="52">
        <v>1.0</v>
      </c>
      <c r="Q193" s="52">
        <v>1.0</v>
      </c>
      <c r="R193" s="62"/>
      <c r="S193" s="54"/>
      <c r="T193" s="47"/>
      <c r="U193" s="47">
        <v>0.05</v>
      </c>
      <c r="V193" s="54"/>
      <c r="W193" s="54"/>
      <c r="X193" s="54"/>
      <c r="Y193" s="54"/>
      <c r="Z193" s="62"/>
      <c r="AA193" s="54">
        <f t="shared" ref="AA193:AE193" si="377">ROUND(E193*0.5+K193*0.5-S193,2)</f>
        <v>0.5</v>
      </c>
      <c r="AB193" s="54">
        <f t="shared" si="377"/>
        <v>0</v>
      </c>
      <c r="AC193" s="54">
        <f t="shared" si="377"/>
        <v>-0.05</v>
      </c>
      <c r="AD193" s="54">
        <f t="shared" si="377"/>
        <v>0.2</v>
      </c>
      <c r="AE193" s="54">
        <f t="shared" si="377"/>
        <v>0.3</v>
      </c>
      <c r="AF193" s="54">
        <f t="shared" ref="AF193:AG193" si="378">ROUND(P193-X193,2)</f>
        <v>1</v>
      </c>
      <c r="AG193" s="54">
        <f t="shared" si="378"/>
        <v>1</v>
      </c>
      <c r="AH193" s="62"/>
      <c r="AI193" s="47"/>
      <c r="AJ193" s="47"/>
      <c r="AK193" s="47"/>
      <c r="AL193" s="47"/>
      <c r="AM193" s="47"/>
      <c r="AN193" s="47"/>
      <c r="AO193" s="47"/>
      <c r="AP193" s="74"/>
      <c r="AQ193" s="62"/>
      <c r="AR193" s="62"/>
      <c r="AS193" s="62"/>
      <c r="AT193" s="54"/>
      <c r="AU193" s="54"/>
      <c r="AV193" s="54"/>
      <c r="AW193" s="54"/>
      <c r="AX193" s="54"/>
      <c r="AY193" s="54"/>
      <c r="AZ193" s="54"/>
      <c r="BA193" s="57"/>
      <c r="BB193" s="57"/>
      <c r="BC193" s="57"/>
      <c r="BD193" s="57"/>
      <c r="BE193" s="59"/>
      <c r="BF193" s="60"/>
      <c r="BG193" s="61"/>
      <c r="BH193" s="61"/>
      <c r="BI193" s="61"/>
      <c r="BJ193" s="61"/>
      <c r="BK193" s="62"/>
      <c r="BL193" s="54"/>
      <c r="BM193" s="54"/>
      <c r="BN193" s="54"/>
      <c r="BO193" s="54"/>
      <c r="BP193" s="54"/>
    </row>
    <row r="194">
      <c r="A194" s="47">
        <v>190.0</v>
      </c>
      <c r="B194" s="101" t="s">
        <v>237</v>
      </c>
      <c r="C194" s="100" t="s">
        <v>234</v>
      </c>
      <c r="D194" s="106">
        <v>1.0</v>
      </c>
      <c r="E194" s="106">
        <v>2.8</v>
      </c>
      <c r="F194" s="106">
        <v>0.0</v>
      </c>
      <c r="G194" s="106">
        <v>0.0</v>
      </c>
      <c r="H194" s="106">
        <v>0.0</v>
      </c>
      <c r="I194" s="106">
        <v>0.2</v>
      </c>
      <c r="J194" s="128"/>
      <c r="K194" s="128"/>
      <c r="L194" s="128"/>
      <c r="M194" s="128"/>
      <c r="N194" s="128"/>
      <c r="O194" s="128"/>
      <c r="P194" s="52">
        <v>1.0</v>
      </c>
      <c r="Q194" s="52">
        <v>1.0</v>
      </c>
      <c r="R194" s="62"/>
      <c r="S194" s="54"/>
      <c r="T194" s="54"/>
      <c r="U194" s="54"/>
      <c r="V194" s="47"/>
      <c r="W194" s="54"/>
      <c r="X194" s="54"/>
      <c r="Y194" s="54"/>
      <c r="Z194" s="62"/>
      <c r="AA194" s="54">
        <f t="shared" ref="AA194:AE194" si="379">ROUND(E194*0.5+K194*0.5-S194,2)</f>
        <v>1.4</v>
      </c>
      <c r="AB194" s="54">
        <f t="shared" si="379"/>
        <v>0</v>
      </c>
      <c r="AC194" s="54">
        <f t="shared" si="379"/>
        <v>0</v>
      </c>
      <c r="AD194" s="54">
        <f t="shared" si="379"/>
        <v>0</v>
      </c>
      <c r="AE194" s="54">
        <f t="shared" si="379"/>
        <v>0.1</v>
      </c>
      <c r="AF194" s="54">
        <f t="shared" ref="AF194:AG194" si="380">ROUND(P194-X194,2)</f>
        <v>1</v>
      </c>
      <c r="AG194" s="54">
        <f t="shared" si="380"/>
        <v>1</v>
      </c>
      <c r="AH194" s="62"/>
      <c r="AI194" s="47"/>
      <c r="AJ194" s="47"/>
      <c r="AK194" s="47"/>
      <c r="AL194" s="47"/>
      <c r="AM194" s="47"/>
      <c r="AN194" s="47"/>
      <c r="AO194" s="47"/>
      <c r="AP194" s="52"/>
      <c r="AQ194" s="62"/>
      <c r="AR194" s="62"/>
      <c r="AS194" s="62"/>
      <c r="AT194" s="54"/>
      <c r="AU194" s="54"/>
      <c r="AV194" s="54"/>
      <c r="AW194" s="54"/>
      <c r="AX194" s="54"/>
      <c r="AY194" s="54"/>
      <c r="AZ194" s="54"/>
      <c r="BA194" s="57"/>
      <c r="BB194" s="57"/>
      <c r="BC194" s="57"/>
      <c r="BD194" s="57"/>
      <c r="BE194" s="59"/>
      <c r="BF194" s="68"/>
      <c r="BG194" s="69"/>
      <c r="BH194" s="69"/>
      <c r="BI194" s="69"/>
      <c r="BJ194" s="69"/>
      <c r="BK194" s="62"/>
      <c r="BL194" s="54"/>
      <c r="BM194" s="54"/>
      <c r="BN194" s="54"/>
      <c r="BO194" s="54"/>
      <c r="BP194" s="54"/>
    </row>
    <row r="195">
      <c r="A195" s="47">
        <v>191.0</v>
      </c>
      <c r="B195" s="101" t="s">
        <v>238</v>
      </c>
      <c r="C195" s="100" t="s">
        <v>234</v>
      </c>
      <c r="D195" s="106">
        <v>2.0</v>
      </c>
      <c r="E195" s="106">
        <v>1.0</v>
      </c>
      <c r="F195" s="106">
        <v>0.4</v>
      </c>
      <c r="G195" s="106">
        <v>0.6</v>
      </c>
      <c r="H195" s="106">
        <v>0.0</v>
      </c>
      <c r="I195" s="106">
        <v>0.0</v>
      </c>
      <c r="J195" s="107"/>
      <c r="K195" s="107"/>
      <c r="L195" s="107"/>
      <c r="M195" s="107"/>
      <c r="N195" s="107"/>
      <c r="O195" s="107"/>
      <c r="P195" s="52">
        <v>1.0</v>
      </c>
      <c r="Q195" s="52">
        <v>1.0</v>
      </c>
      <c r="R195" s="62"/>
      <c r="S195" s="54"/>
      <c r="T195" s="54"/>
      <c r="U195" s="54"/>
      <c r="V195" s="54"/>
      <c r="W195" s="54"/>
      <c r="X195" s="54"/>
      <c r="Y195" s="54"/>
      <c r="Z195" s="62"/>
      <c r="AA195" s="54">
        <f t="shared" ref="AA195:AE195" si="381">ROUND(E195*0.5+K195*0.5-S195,2)</f>
        <v>0.5</v>
      </c>
      <c r="AB195" s="54">
        <f t="shared" si="381"/>
        <v>0.2</v>
      </c>
      <c r="AC195" s="54">
        <f t="shared" si="381"/>
        <v>0.3</v>
      </c>
      <c r="AD195" s="54">
        <f t="shared" si="381"/>
        <v>0</v>
      </c>
      <c r="AE195" s="54">
        <f t="shared" si="381"/>
        <v>0</v>
      </c>
      <c r="AF195" s="54">
        <f t="shared" ref="AF195:AG195" si="382">ROUND(P195-X195,2)</f>
        <v>1</v>
      </c>
      <c r="AG195" s="54">
        <f t="shared" si="382"/>
        <v>1</v>
      </c>
      <c r="AH195" s="62"/>
      <c r="AI195" s="47"/>
      <c r="AJ195" s="47"/>
      <c r="AK195" s="47"/>
      <c r="AL195" s="47"/>
      <c r="AM195" s="47"/>
      <c r="AN195" s="47"/>
      <c r="AO195" s="47"/>
      <c r="AP195" s="74"/>
      <c r="AQ195" s="62"/>
      <c r="AR195" s="62"/>
      <c r="AS195" s="62"/>
      <c r="AT195" s="54"/>
      <c r="AU195" s="54"/>
      <c r="AV195" s="54"/>
      <c r="AW195" s="54"/>
      <c r="AX195" s="54"/>
      <c r="AY195" s="54"/>
      <c r="AZ195" s="54"/>
      <c r="BA195" s="57"/>
      <c r="BB195" s="57"/>
      <c r="BC195" s="57"/>
      <c r="BD195" s="57"/>
      <c r="BE195" s="59"/>
      <c r="BF195" s="68"/>
      <c r="BG195" s="69"/>
      <c r="BH195" s="69"/>
      <c r="BI195" s="69"/>
      <c r="BJ195" s="69"/>
      <c r="BK195" s="62"/>
      <c r="BL195" s="54"/>
      <c r="BM195" s="54"/>
      <c r="BN195" s="54"/>
      <c r="BO195" s="54"/>
      <c r="BP195" s="54"/>
    </row>
    <row r="196">
      <c r="A196" s="47">
        <v>192.0</v>
      </c>
      <c r="B196" s="101" t="s">
        <v>239</v>
      </c>
      <c r="C196" s="100" t="s">
        <v>234</v>
      </c>
      <c r="D196" s="106">
        <v>3.0</v>
      </c>
      <c r="E196" s="106">
        <v>0.6</v>
      </c>
      <c r="F196" s="106">
        <v>0.4</v>
      </c>
      <c r="G196" s="106">
        <v>0.0</v>
      </c>
      <c r="H196" s="106">
        <v>0.0</v>
      </c>
      <c r="I196" s="106">
        <v>0.0</v>
      </c>
      <c r="J196" s="107"/>
      <c r="K196" s="107"/>
      <c r="L196" s="107"/>
      <c r="M196" s="107"/>
      <c r="N196" s="107"/>
      <c r="O196" s="107"/>
      <c r="P196" s="52">
        <v>1.0</v>
      </c>
      <c r="Q196" s="52">
        <v>1.0</v>
      </c>
      <c r="R196" s="62"/>
      <c r="S196" s="54"/>
      <c r="T196" s="54"/>
      <c r="U196" s="54"/>
      <c r="V196" s="54"/>
      <c r="W196" s="54"/>
      <c r="X196" s="54"/>
      <c r="Y196" s="54"/>
      <c r="Z196" s="62"/>
      <c r="AA196" s="54">
        <f t="shared" ref="AA196:AE196" si="383">ROUND(E196*0.5+K196*0.5-S196,2)</f>
        <v>0.3</v>
      </c>
      <c r="AB196" s="54">
        <f t="shared" si="383"/>
        <v>0.2</v>
      </c>
      <c r="AC196" s="54">
        <f t="shared" si="383"/>
        <v>0</v>
      </c>
      <c r="AD196" s="54">
        <f t="shared" si="383"/>
        <v>0</v>
      </c>
      <c r="AE196" s="54">
        <f t="shared" si="383"/>
        <v>0</v>
      </c>
      <c r="AF196" s="54">
        <f t="shared" ref="AF196:AG196" si="384">ROUND(P196-X196,2)</f>
        <v>1</v>
      </c>
      <c r="AG196" s="54">
        <f t="shared" si="384"/>
        <v>1</v>
      </c>
      <c r="AH196" s="62"/>
      <c r="AI196" s="47"/>
      <c r="AJ196" s="47"/>
      <c r="AK196" s="47"/>
      <c r="AL196" s="47"/>
      <c r="AM196" s="47"/>
      <c r="AN196" s="47"/>
      <c r="AO196" s="47"/>
      <c r="AP196" s="52"/>
      <c r="AQ196" s="62"/>
      <c r="AR196" s="62"/>
      <c r="AS196" s="62"/>
      <c r="AT196" s="54"/>
      <c r="AU196" s="54"/>
      <c r="AV196" s="54"/>
      <c r="AW196" s="54"/>
      <c r="AX196" s="54"/>
      <c r="AY196" s="54"/>
      <c r="AZ196" s="54"/>
      <c r="BA196" s="57"/>
      <c r="BB196" s="57"/>
      <c r="BC196" s="57"/>
      <c r="BD196" s="57"/>
      <c r="BE196" s="59"/>
      <c r="BF196" s="68"/>
      <c r="BG196" s="69"/>
      <c r="BH196" s="69"/>
      <c r="BI196" s="69"/>
      <c r="BJ196" s="69"/>
      <c r="BK196" s="62"/>
      <c r="BL196" s="54"/>
      <c r="BM196" s="54"/>
      <c r="BN196" s="54"/>
      <c r="BO196" s="54"/>
      <c r="BP196" s="54"/>
    </row>
    <row r="197">
      <c r="A197" s="47">
        <v>193.0</v>
      </c>
      <c r="B197" s="101" t="s">
        <v>240</v>
      </c>
      <c r="C197" s="100" t="s">
        <v>234</v>
      </c>
      <c r="D197" s="106">
        <v>1.0</v>
      </c>
      <c r="E197" s="106">
        <v>1.5</v>
      </c>
      <c r="F197" s="106">
        <v>0.5</v>
      </c>
      <c r="G197" s="106">
        <v>0.5</v>
      </c>
      <c r="H197" s="106">
        <v>0.5</v>
      </c>
      <c r="I197" s="106">
        <v>0.0</v>
      </c>
      <c r="J197" s="107"/>
      <c r="K197" s="107"/>
      <c r="L197" s="107"/>
      <c r="M197" s="107"/>
      <c r="N197" s="107"/>
      <c r="O197" s="107"/>
      <c r="P197" s="52">
        <v>1.0</v>
      </c>
      <c r="Q197" s="52">
        <v>1.0</v>
      </c>
      <c r="R197" s="62"/>
      <c r="S197" s="54"/>
      <c r="T197" s="54"/>
      <c r="U197" s="54"/>
      <c r="V197" s="54"/>
      <c r="W197" s="54"/>
      <c r="X197" s="54"/>
      <c r="Y197" s="54"/>
      <c r="Z197" s="62"/>
      <c r="AA197" s="54">
        <f t="shared" ref="AA197:AE197" si="385">ROUND(E197*0.5+K197*0.5-S197,2)</f>
        <v>0.75</v>
      </c>
      <c r="AB197" s="54">
        <f t="shared" si="385"/>
        <v>0.25</v>
      </c>
      <c r="AC197" s="54">
        <f t="shared" si="385"/>
        <v>0.25</v>
      </c>
      <c r="AD197" s="54">
        <f t="shared" si="385"/>
        <v>0.25</v>
      </c>
      <c r="AE197" s="54">
        <f t="shared" si="385"/>
        <v>0</v>
      </c>
      <c r="AF197" s="54">
        <f t="shared" ref="AF197:AG197" si="386">ROUND(P197-X197,2)</f>
        <v>1</v>
      </c>
      <c r="AG197" s="54">
        <f t="shared" si="386"/>
        <v>1</v>
      </c>
      <c r="AH197" s="62"/>
      <c r="AI197" s="47"/>
      <c r="AJ197" s="47"/>
      <c r="AK197" s="47"/>
      <c r="AL197" s="47"/>
      <c r="AM197" s="47"/>
      <c r="AN197" s="47"/>
      <c r="AO197" s="47"/>
      <c r="AP197" s="76"/>
      <c r="AQ197" s="62"/>
      <c r="AR197" s="62"/>
      <c r="AS197" s="62"/>
      <c r="AT197" s="54"/>
      <c r="AU197" s="54"/>
      <c r="AV197" s="54"/>
      <c r="AW197" s="54"/>
      <c r="AX197" s="54"/>
      <c r="AY197" s="54"/>
      <c r="AZ197" s="54"/>
      <c r="BA197" s="57"/>
      <c r="BB197" s="57"/>
      <c r="BC197" s="57"/>
      <c r="BD197" s="57"/>
      <c r="BE197" s="59"/>
      <c r="BF197" s="60"/>
      <c r="BG197" s="61"/>
      <c r="BH197" s="61"/>
      <c r="BI197" s="61"/>
      <c r="BJ197" s="61"/>
      <c r="BK197" s="62"/>
      <c r="BL197" s="54"/>
      <c r="BM197" s="54"/>
      <c r="BN197" s="54"/>
      <c r="BO197" s="54"/>
      <c r="BP197" s="54"/>
    </row>
    <row r="198">
      <c r="A198" s="47">
        <v>194.0</v>
      </c>
      <c r="B198" s="101" t="s">
        <v>241</v>
      </c>
      <c r="C198" s="100" t="s">
        <v>234</v>
      </c>
      <c r="D198" s="106">
        <v>1.0</v>
      </c>
      <c r="E198" s="106">
        <v>1.4</v>
      </c>
      <c r="F198" s="106">
        <v>0.0</v>
      </c>
      <c r="G198" s="106">
        <v>1.6</v>
      </c>
      <c r="H198" s="106">
        <v>0.0</v>
      </c>
      <c r="I198" s="106">
        <v>0.0</v>
      </c>
      <c r="J198" s="128"/>
      <c r="K198" s="128"/>
      <c r="L198" s="128"/>
      <c r="M198" s="128"/>
      <c r="N198" s="128"/>
      <c r="O198" s="128"/>
      <c r="P198" s="52">
        <v>1.0</v>
      </c>
      <c r="Q198" s="52">
        <v>1.0</v>
      </c>
      <c r="R198" s="62"/>
      <c r="S198" s="54"/>
      <c r="T198" s="54"/>
      <c r="U198" s="54"/>
      <c r="V198" s="54"/>
      <c r="W198" s="54"/>
      <c r="X198" s="54"/>
      <c r="Y198" s="54"/>
      <c r="Z198" s="62"/>
      <c r="AA198" s="54">
        <f t="shared" ref="AA198:AE198" si="387">ROUND(E198*0.5+K198*0.5-S198,2)</f>
        <v>0.7</v>
      </c>
      <c r="AB198" s="54">
        <f t="shared" si="387"/>
        <v>0</v>
      </c>
      <c r="AC198" s="54">
        <f t="shared" si="387"/>
        <v>0.8</v>
      </c>
      <c r="AD198" s="54">
        <f t="shared" si="387"/>
        <v>0</v>
      </c>
      <c r="AE198" s="54">
        <f t="shared" si="387"/>
        <v>0</v>
      </c>
      <c r="AF198" s="54">
        <f t="shared" ref="AF198:AG198" si="388">ROUND(P198-X198,2)</f>
        <v>1</v>
      </c>
      <c r="AG198" s="54">
        <f t="shared" si="388"/>
        <v>1</v>
      </c>
      <c r="AH198" s="62"/>
      <c r="AI198" s="47"/>
      <c r="AJ198" s="47"/>
      <c r="AK198" s="47"/>
      <c r="AL198" s="47"/>
      <c r="AM198" s="47"/>
      <c r="AN198" s="47"/>
      <c r="AO198" s="47"/>
      <c r="AP198" s="76"/>
      <c r="AQ198" s="62"/>
      <c r="AR198" s="62"/>
      <c r="AS198" s="62"/>
      <c r="AT198" s="54"/>
      <c r="AU198" s="54"/>
      <c r="AV198" s="54"/>
      <c r="AW198" s="54"/>
      <c r="AX198" s="54"/>
      <c r="AY198" s="54"/>
      <c r="AZ198" s="54"/>
      <c r="BA198" s="57"/>
      <c r="BB198" s="57"/>
      <c r="BC198" s="57"/>
      <c r="BD198" s="57"/>
      <c r="BE198" s="59"/>
      <c r="BF198" s="60"/>
      <c r="BG198" s="61"/>
      <c r="BH198" s="61"/>
      <c r="BI198" s="61"/>
      <c r="BJ198" s="61"/>
      <c r="BK198" s="62"/>
      <c r="BL198" s="54"/>
      <c r="BM198" s="54"/>
      <c r="BN198" s="54"/>
      <c r="BO198" s="54"/>
      <c r="BP198" s="54"/>
    </row>
    <row r="199">
      <c r="A199" s="47">
        <v>195.0</v>
      </c>
      <c r="B199" s="101" t="s">
        <v>242</v>
      </c>
      <c r="C199" s="100" t="s">
        <v>234</v>
      </c>
      <c r="D199" s="106">
        <v>1.0</v>
      </c>
      <c r="E199" s="106">
        <v>2.8</v>
      </c>
      <c r="F199" s="106">
        <v>0.2</v>
      </c>
      <c r="G199" s="106">
        <v>0.0</v>
      </c>
      <c r="H199" s="106">
        <v>0.0</v>
      </c>
      <c r="I199" s="106">
        <v>0.0</v>
      </c>
      <c r="J199" s="107"/>
      <c r="K199" s="107"/>
      <c r="L199" s="107"/>
      <c r="M199" s="107"/>
      <c r="N199" s="107"/>
      <c r="O199" s="107"/>
      <c r="P199" s="52">
        <v>1.0</v>
      </c>
      <c r="Q199" s="52">
        <v>1.0</v>
      </c>
      <c r="R199" s="62"/>
      <c r="S199" s="54"/>
      <c r="T199" s="54"/>
      <c r="U199" s="54"/>
      <c r="V199" s="54"/>
      <c r="W199" s="54"/>
      <c r="X199" s="54"/>
      <c r="Y199" s="54"/>
      <c r="Z199" s="62"/>
      <c r="AA199" s="54">
        <f t="shared" ref="AA199:AE199" si="389">ROUND(E199*0.5+K199*0.5-S199,2)</f>
        <v>1.4</v>
      </c>
      <c r="AB199" s="54">
        <f t="shared" si="389"/>
        <v>0.1</v>
      </c>
      <c r="AC199" s="54">
        <f t="shared" si="389"/>
        <v>0</v>
      </c>
      <c r="AD199" s="54">
        <f t="shared" si="389"/>
        <v>0</v>
      </c>
      <c r="AE199" s="54">
        <f t="shared" si="389"/>
        <v>0</v>
      </c>
      <c r="AF199" s="54">
        <f t="shared" ref="AF199:AG199" si="390">ROUND(P199-X199,2)</f>
        <v>1</v>
      </c>
      <c r="AG199" s="54">
        <f t="shared" si="390"/>
        <v>1</v>
      </c>
      <c r="AH199" s="62"/>
      <c r="AI199" s="47"/>
      <c r="AJ199" s="47"/>
      <c r="AK199" s="47"/>
      <c r="AL199" s="47"/>
      <c r="AM199" s="47"/>
      <c r="AN199" s="47"/>
      <c r="AO199" s="47"/>
      <c r="AP199" s="52"/>
      <c r="AQ199" s="62"/>
      <c r="AR199" s="62"/>
      <c r="AS199" s="62"/>
      <c r="AT199" s="54"/>
      <c r="AU199" s="54"/>
      <c r="AV199" s="54"/>
      <c r="AW199" s="54"/>
      <c r="AX199" s="54"/>
      <c r="AY199" s="54"/>
      <c r="AZ199" s="54"/>
      <c r="BA199" s="57"/>
      <c r="BB199" s="57"/>
      <c r="BC199" s="57"/>
      <c r="BD199" s="57"/>
      <c r="BE199" s="59"/>
      <c r="BF199" s="68"/>
      <c r="BG199" s="69"/>
      <c r="BH199" s="69"/>
      <c r="BI199" s="69"/>
      <c r="BJ199" s="69"/>
      <c r="BK199" s="62"/>
      <c r="BL199" s="54"/>
      <c r="BM199" s="54"/>
      <c r="BN199" s="54"/>
      <c r="BO199" s="54"/>
      <c r="BP199" s="54"/>
    </row>
    <row r="200">
      <c r="A200" s="47">
        <v>196.0</v>
      </c>
      <c r="B200" s="101" t="s">
        <v>243</v>
      </c>
      <c r="C200" s="100" t="s">
        <v>234</v>
      </c>
      <c r="D200" s="106">
        <v>2.0</v>
      </c>
      <c r="E200" s="106">
        <v>1.8</v>
      </c>
      <c r="F200" s="106">
        <v>0.2</v>
      </c>
      <c r="G200" s="106">
        <v>0.0</v>
      </c>
      <c r="H200" s="106">
        <v>0.0</v>
      </c>
      <c r="I200" s="106">
        <v>0.0</v>
      </c>
      <c r="J200" s="107"/>
      <c r="K200" s="107"/>
      <c r="L200" s="107"/>
      <c r="M200" s="107"/>
      <c r="N200" s="107"/>
      <c r="O200" s="107"/>
      <c r="P200" s="52">
        <v>1.0</v>
      </c>
      <c r="Q200" s="52">
        <v>1.0</v>
      </c>
      <c r="R200" s="62"/>
      <c r="S200" s="47"/>
      <c r="T200" s="54"/>
      <c r="U200" s="54"/>
      <c r="V200" s="54"/>
      <c r="W200" s="54"/>
      <c r="X200" s="54"/>
      <c r="Y200" s="54"/>
      <c r="Z200" s="62"/>
      <c r="AA200" s="54">
        <f t="shared" ref="AA200:AE200" si="391">ROUND(E200*0.5+K200*0.5-S200,2)</f>
        <v>0.9</v>
      </c>
      <c r="AB200" s="54">
        <f t="shared" si="391"/>
        <v>0.1</v>
      </c>
      <c r="AC200" s="54">
        <f t="shared" si="391"/>
        <v>0</v>
      </c>
      <c r="AD200" s="54">
        <f t="shared" si="391"/>
        <v>0</v>
      </c>
      <c r="AE200" s="54">
        <f t="shared" si="391"/>
        <v>0</v>
      </c>
      <c r="AF200" s="54">
        <f t="shared" ref="AF200:AG200" si="392">ROUND(P200-X200,2)</f>
        <v>1</v>
      </c>
      <c r="AG200" s="54">
        <f t="shared" si="392"/>
        <v>1</v>
      </c>
      <c r="AH200" s="62"/>
      <c r="AI200" s="47"/>
      <c r="AJ200" s="47"/>
      <c r="AK200" s="47"/>
      <c r="AL200" s="47"/>
      <c r="AM200" s="47"/>
      <c r="AN200" s="47"/>
      <c r="AO200" s="47"/>
      <c r="AP200" s="52"/>
      <c r="AQ200" s="62"/>
      <c r="AR200" s="62"/>
      <c r="AS200" s="62"/>
      <c r="AT200" s="54"/>
      <c r="AU200" s="54"/>
      <c r="AV200" s="54"/>
      <c r="AW200" s="54"/>
      <c r="AX200" s="54"/>
      <c r="AY200" s="54"/>
      <c r="AZ200" s="54"/>
      <c r="BA200" s="57"/>
      <c r="BB200" s="57"/>
      <c r="BC200" s="57"/>
      <c r="BD200" s="57"/>
      <c r="BE200" s="59"/>
      <c r="BF200" s="60"/>
      <c r="BG200" s="61"/>
      <c r="BH200" s="61"/>
      <c r="BI200" s="61"/>
      <c r="BJ200" s="61"/>
      <c r="BK200" s="62"/>
      <c r="BL200" s="54"/>
      <c r="BM200" s="54"/>
      <c r="BN200" s="54"/>
      <c r="BO200" s="54"/>
      <c r="BP200" s="54"/>
    </row>
    <row r="201">
      <c r="A201" s="47">
        <v>197.0</v>
      </c>
      <c r="B201" s="101" t="s">
        <v>244</v>
      </c>
      <c r="C201" s="100" t="s">
        <v>234</v>
      </c>
      <c r="D201" s="106">
        <v>4.0</v>
      </c>
      <c r="E201" s="106">
        <v>0.0</v>
      </c>
      <c r="F201" s="106">
        <v>0.0</v>
      </c>
      <c r="G201" s="106">
        <v>0.0</v>
      </c>
      <c r="H201" s="106">
        <v>0.0</v>
      </c>
      <c r="I201" s="106">
        <v>0.0</v>
      </c>
      <c r="J201" s="107"/>
      <c r="K201" s="107"/>
      <c r="L201" s="107"/>
      <c r="M201" s="107"/>
      <c r="N201" s="107"/>
      <c r="O201" s="107"/>
      <c r="P201" s="52">
        <v>1.0</v>
      </c>
      <c r="Q201" s="52">
        <v>1.0</v>
      </c>
      <c r="R201" s="62"/>
      <c r="S201" s="47"/>
      <c r="T201" s="47"/>
      <c r="U201" s="47"/>
      <c r="V201" s="54"/>
      <c r="W201" s="54"/>
      <c r="X201" s="54"/>
      <c r="Y201" s="54"/>
      <c r="Z201" s="62"/>
      <c r="AA201" s="54">
        <f t="shared" ref="AA201:AE201" si="393">ROUND(E201*0.5+K201*0.5-S201,2)</f>
        <v>0</v>
      </c>
      <c r="AB201" s="54">
        <f t="shared" si="393"/>
        <v>0</v>
      </c>
      <c r="AC201" s="54">
        <f t="shared" si="393"/>
        <v>0</v>
      </c>
      <c r="AD201" s="54">
        <f t="shared" si="393"/>
        <v>0</v>
      </c>
      <c r="AE201" s="54">
        <f t="shared" si="393"/>
        <v>0</v>
      </c>
      <c r="AF201" s="54">
        <f t="shared" ref="AF201:AG201" si="394">ROUND(P201-X201,2)</f>
        <v>1</v>
      </c>
      <c r="AG201" s="54">
        <f t="shared" si="394"/>
        <v>1</v>
      </c>
      <c r="AH201" s="62"/>
      <c r="AI201" s="47"/>
      <c r="AJ201" s="47"/>
      <c r="AK201" s="47"/>
      <c r="AL201" s="47"/>
      <c r="AM201" s="47"/>
      <c r="AN201" s="47"/>
      <c r="AO201" s="47"/>
      <c r="AP201" s="95"/>
      <c r="AQ201" s="62"/>
      <c r="AR201" s="62"/>
      <c r="AS201" s="62"/>
      <c r="AT201" s="54"/>
      <c r="AU201" s="54"/>
      <c r="AV201" s="72"/>
      <c r="AW201" s="54"/>
      <c r="AX201" s="54"/>
      <c r="AY201" s="54"/>
      <c r="AZ201" s="54"/>
      <c r="BA201" s="58"/>
      <c r="BB201" s="57"/>
      <c r="BC201" s="57"/>
      <c r="BD201" s="57"/>
      <c r="BE201" s="59"/>
      <c r="BF201" s="60"/>
      <c r="BG201" s="61"/>
      <c r="BH201" s="61"/>
      <c r="BI201" s="61"/>
      <c r="BJ201" s="61"/>
      <c r="BK201" s="62"/>
      <c r="BL201" s="54"/>
      <c r="BM201" s="54"/>
      <c r="BN201" s="54"/>
      <c r="BO201" s="54"/>
      <c r="BP201" s="54"/>
    </row>
    <row r="202">
      <c r="A202" s="47">
        <v>198.0</v>
      </c>
      <c r="B202" s="123" t="s">
        <v>245</v>
      </c>
      <c r="C202" s="100" t="s">
        <v>234</v>
      </c>
      <c r="D202" s="106">
        <v>3.0</v>
      </c>
      <c r="E202" s="106">
        <v>1.0</v>
      </c>
      <c r="F202" s="106">
        <v>0.0</v>
      </c>
      <c r="G202" s="106">
        <v>0.0</v>
      </c>
      <c r="H202" s="106">
        <v>0.0</v>
      </c>
      <c r="I202" s="106">
        <v>0.0</v>
      </c>
      <c r="J202" s="107"/>
      <c r="K202" s="107"/>
      <c r="L202" s="134"/>
      <c r="M202" s="134"/>
      <c r="N202" s="107"/>
      <c r="O202" s="134"/>
      <c r="P202" s="52">
        <v>1.0</v>
      </c>
      <c r="Q202" s="52">
        <v>1.0</v>
      </c>
      <c r="R202" s="62"/>
      <c r="S202" s="54"/>
      <c r="T202" s="54"/>
      <c r="U202" s="54"/>
      <c r="V202" s="54"/>
      <c r="W202" s="54"/>
      <c r="X202" s="54"/>
      <c r="Y202" s="54"/>
      <c r="Z202" s="62"/>
      <c r="AA202" s="54">
        <f t="shared" ref="AA202:AE202" si="395">ROUND(E202*0.5+K202*0.5-S202,2)</f>
        <v>0.5</v>
      </c>
      <c r="AB202" s="54">
        <f t="shared" si="395"/>
        <v>0</v>
      </c>
      <c r="AC202" s="54">
        <f t="shared" si="395"/>
        <v>0</v>
      </c>
      <c r="AD202" s="54">
        <f t="shared" si="395"/>
        <v>0</v>
      </c>
      <c r="AE202" s="54">
        <f t="shared" si="395"/>
        <v>0</v>
      </c>
      <c r="AF202" s="54">
        <f t="shared" ref="AF202:AG202" si="396">ROUND(P202-X202,2)</f>
        <v>1</v>
      </c>
      <c r="AG202" s="54">
        <f t="shared" si="396"/>
        <v>1</v>
      </c>
      <c r="AH202" s="62"/>
      <c r="AI202" s="47"/>
      <c r="AJ202" s="47"/>
      <c r="AK202" s="47"/>
      <c r="AL202" s="47"/>
      <c r="AM202" s="47"/>
      <c r="AN202" s="47"/>
      <c r="AO202" s="47"/>
      <c r="AP202" s="52"/>
      <c r="AQ202" s="62"/>
      <c r="AR202" s="62"/>
      <c r="AS202" s="62"/>
      <c r="AT202" s="54"/>
      <c r="AU202" s="54"/>
      <c r="AV202" s="54"/>
      <c r="AW202" s="54"/>
      <c r="AX202" s="54"/>
      <c r="AY202" s="54"/>
      <c r="AZ202" s="54"/>
      <c r="BA202" s="57"/>
      <c r="BB202" s="58"/>
      <c r="BC202" s="57"/>
      <c r="BD202" s="57"/>
      <c r="BE202" s="59"/>
      <c r="BF202" s="60"/>
      <c r="BG202" s="61"/>
      <c r="BH202" s="61"/>
      <c r="BI202" s="61"/>
      <c r="BJ202" s="61"/>
      <c r="BK202" s="62"/>
      <c r="BL202" s="54"/>
      <c r="BM202" s="54"/>
      <c r="BN202" s="54"/>
      <c r="BO202" s="54"/>
      <c r="BP202" s="54"/>
    </row>
    <row r="203">
      <c r="A203" s="47">
        <v>199.0</v>
      </c>
      <c r="B203" s="117" t="s">
        <v>246</v>
      </c>
      <c r="C203" s="100" t="s">
        <v>234</v>
      </c>
      <c r="D203" s="106">
        <v>2.0</v>
      </c>
      <c r="E203" s="106">
        <v>2.0</v>
      </c>
      <c r="F203" s="106">
        <v>0.0</v>
      </c>
      <c r="G203" s="106">
        <v>0.0</v>
      </c>
      <c r="H203" s="106">
        <v>0.0</v>
      </c>
      <c r="I203" s="106">
        <v>0.0</v>
      </c>
      <c r="J203" s="107"/>
      <c r="K203" s="107"/>
      <c r="L203" s="107"/>
      <c r="M203" s="107"/>
      <c r="N203" s="107"/>
      <c r="O203" s="107"/>
      <c r="P203" s="52">
        <v>1.0</v>
      </c>
      <c r="Q203" s="52">
        <v>1.0</v>
      </c>
      <c r="R203" s="62"/>
      <c r="S203" s="54"/>
      <c r="T203" s="54"/>
      <c r="U203" s="54"/>
      <c r="V203" s="54"/>
      <c r="W203" s="54"/>
      <c r="X203" s="54"/>
      <c r="Y203" s="47"/>
      <c r="Z203" s="62"/>
      <c r="AA203" s="54">
        <f t="shared" ref="AA203:AE203" si="397">ROUND(E203*0.5+K203*0.5-S203,2)</f>
        <v>1</v>
      </c>
      <c r="AB203" s="54">
        <f t="shared" si="397"/>
        <v>0</v>
      </c>
      <c r="AC203" s="54">
        <f t="shared" si="397"/>
        <v>0</v>
      </c>
      <c r="AD203" s="54">
        <f t="shared" si="397"/>
        <v>0</v>
      </c>
      <c r="AE203" s="54">
        <f t="shared" si="397"/>
        <v>0</v>
      </c>
      <c r="AF203" s="54">
        <f t="shared" ref="AF203:AG203" si="398">ROUND(P203-X203,2)</f>
        <v>1</v>
      </c>
      <c r="AG203" s="54">
        <f t="shared" si="398"/>
        <v>1</v>
      </c>
      <c r="AH203" s="62"/>
      <c r="AI203" s="47"/>
      <c r="AJ203" s="47"/>
      <c r="AK203" s="47"/>
      <c r="AL203" s="47"/>
      <c r="AM203" s="47"/>
      <c r="AN203" s="47"/>
      <c r="AO203" s="47"/>
      <c r="AP203" s="76"/>
      <c r="AQ203" s="62"/>
      <c r="AR203" s="62"/>
      <c r="AS203" s="62"/>
      <c r="AT203" s="54"/>
      <c r="AU203" s="54"/>
      <c r="AV203" s="54"/>
      <c r="AW203" s="54"/>
      <c r="AX203" s="72"/>
      <c r="AY203" s="54"/>
      <c r="AZ203" s="54"/>
      <c r="BA203" s="58"/>
      <c r="BB203" s="58"/>
      <c r="BC203" s="57"/>
      <c r="BD203" s="57"/>
      <c r="BE203" s="59"/>
      <c r="BF203" s="68"/>
      <c r="BG203" s="69"/>
      <c r="BH203" s="69"/>
      <c r="BI203" s="69"/>
      <c r="BJ203" s="69"/>
      <c r="BK203" s="62"/>
      <c r="BL203" s="54"/>
      <c r="BM203" s="54"/>
      <c r="BN203" s="54"/>
      <c r="BO203" s="54"/>
      <c r="BP203" s="54"/>
    </row>
    <row r="204">
      <c r="A204" s="47">
        <v>200.0</v>
      </c>
      <c r="B204" s="117" t="s">
        <v>247</v>
      </c>
      <c r="C204" s="100" t="s">
        <v>234</v>
      </c>
      <c r="D204" s="106">
        <v>2.5</v>
      </c>
      <c r="E204" s="106">
        <v>1.5</v>
      </c>
      <c r="F204" s="106">
        <v>0.0</v>
      </c>
      <c r="G204" s="106">
        <v>0.0</v>
      </c>
      <c r="H204" s="106">
        <v>0.0</v>
      </c>
      <c r="I204" s="106">
        <v>0.0</v>
      </c>
      <c r="J204" s="107"/>
      <c r="K204" s="107"/>
      <c r="L204" s="134"/>
      <c r="M204" s="134"/>
      <c r="N204" s="107"/>
      <c r="O204" s="108"/>
      <c r="P204" s="52">
        <v>1.0</v>
      </c>
      <c r="Q204" s="52">
        <v>1.0</v>
      </c>
      <c r="R204" s="62"/>
      <c r="S204" s="54"/>
      <c r="T204" s="54"/>
      <c r="U204" s="54"/>
      <c r="V204" s="54"/>
      <c r="W204" s="54"/>
      <c r="X204" s="47"/>
      <c r="Y204" s="47"/>
      <c r="Z204" s="62"/>
      <c r="AA204" s="54">
        <f t="shared" ref="AA204:AE204" si="399">ROUND(E204*0.5+K204*0.5-S204,2)</f>
        <v>0.75</v>
      </c>
      <c r="AB204" s="54">
        <f t="shared" si="399"/>
        <v>0</v>
      </c>
      <c r="AC204" s="54">
        <f t="shared" si="399"/>
        <v>0</v>
      </c>
      <c r="AD204" s="54">
        <f t="shared" si="399"/>
        <v>0</v>
      </c>
      <c r="AE204" s="54">
        <f t="shared" si="399"/>
        <v>0</v>
      </c>
      <c r="AF204" s="54">
        <f t="shared" ref="AF204:AG204" si="400">ROUND(P204-X204,2)</f>
        <v>1</v>
      </c>
      <c r="AG204" s="54">
        <f t="shared" si="400"/>
        <v>1</v>
      </c>
      <c r="AH204" s="62"/>
      <c r="AI204" s="47"/>
      <c r="AJ204" s="47"/>
      <c r="AK204" s="47"/>
      <c r="AL204" s="47"/>
      <c r="AM204" s="47"/>
      <c r="AN204" s="47"/>
      <c r="AO204" s="47"/>
      <c r="AP204" s="76"/>
      <c r="AQ204" s="62"/>
      <c r="AR204" s="62"/>
      <c r="AS204" s="62"/>
      <c r="AT204" s="54"/>
      <c r="AU204" s="54"/>
      <c r="AV204" s="54"/>
      <c r="AW204" s="54"/>
      <c r="AX204" s="54"/>
      <c r="AY204" s="54"/>
      <c r="AZ204" s="54"/>
      <c r="BA204" s="57"/>
      <c r="BB204" s="58"/>
      <c r="BC204" s="57"/>
      <c r="BD204" s="57"/>
      <c r="BE204" s="59"/>
      <c r="BF204" s="47"/>
      <c r="BG204" s="47"/>
      <c r="BH204" s="47"/>
      <c r="BI204" s="47"/>
      <c r="BJ204" s="47"/>
      <c r="BK204" s="62"/>
      <c r="BL204" s="54"/>
      <c r="BM204" s="54"/>
      <c r="BN204" s="54"/>
      <c r="BO204" s="54"/>
      <c r="BP204" s="54"/>
    </row>
    <row r="205">
      <c r="A205" s="47">
        <v>201.0</v>
      </c>
      <c r="B205" s="117" t="s">
        <v>248</v>
      </c>
      <c r="C205" s="49" t="s">
        <v>249</v>
      </c>
      <c r="D205" s="47">
        <v>2.66</v>
      </c>
      <c r="E205" s="47">
        <v>0.0</v>
      </c>
      <c r="F205" s="47">
        <v>0.0</v>
      </c>
      <c r="G205" s="47">
        <v>0.0</v>
      </c>
      <c r="H205" s="47">
        <v>0.34</v>
      </c>
      <c r="I205" s="47">
        <v>0.0</v>
      </c>
      <c r="J205" s="107"/>
      <c r="K205" s="107"/>
      <c r="L205" s="107"/>
      <c r="M205" s="107"/>
      <c r="N205" s="107"/>
      <c r="O205" s="107"/>
      <c r="P205" s="52">
        <v>1.0</v>
      </c>
      <c r="Q205" s="52">
        <v>1.0</v>
      </c>
      <c r="R205" s="62"/>
      <c r="S205" s="54"/>
      <c r="T205" s="54"/>
      <c r="U205" s="54"/>
      <c r="V205" s="47"/>
      <c r="W205" s="54"/>
      <c r="X205" s="47"/>
      <c r="Y205" s="47"/>
      <c r="Z205" s="62"/>
      <c r="AA205" s="54">
        <f t="shared" ref="AA205:AE205" si="401">ROUND(E205*0.5+K205*0.5-S205,2)</f>
        <v>0</v>
      </c>
      <c r="AB205" s="54">
        <f t="shared" si="401"/>
        <v>0</v>
      </c>
      <c r="AC205" s="54">
        <f t="shared" si="401"/>
        <v>0</v>
      </c>
      <c r="AD205" s="54">
        <f t="shared" si="401"/>
        <v>0.17</v>
      </c>
      <c r="AE205" s="54">
        <f t="shared" si="401"/>
        <v>0</v>
      </c>
      <c r="AF205" s="54">
        <f t="shared" ref="AF205:AG205" si="402">ROUND(P205-X205,2)</f>
        <v>1</v>
      </c>
      <c r="AG205" s="54">
        <f t="shared" si="402"/>
        <v>1</v>
      </c>
      <c r="AH205" s="62"/>
      <c r="AI205" s="47"/>
      <c r="AJ205" s="47"/>
      <c r="AK205" s="47"/>
      <c r="AL205" s="47"/>
      <c r="AM205" s="47"/>
      <c r="AN205" s="47"/>
      <c r="AO205" s="47"/>
      <c r="AP205" s="76"/>
      <c r="AQ205" s="62"/>
      <c r="AR205" s="62"/>
      <c r="AS205" s="62"/>
      <c r="AT205" s="54"/>
      <c r="AU205" s="54"/>
      <c r="AV205" s="54"/>
      <c r="AW205" s="54"/>
      <c r="AX205" s="54"/>
      <c r="AY205" s="54"/>
      <c r="AZ205" s="54"/>
      <c r="BA205" s="57"/>
      <c r="BB205" s="58"/>
      <c r="BC205" s="57"/>
      <c r="BD205" s="57"/>
      <c r="BE205" s="59"/>
      <c r="BF205" s="47"/>
      <c r="BG205" s="47"/>
      <c r="BH205" s="47"/>
      <c r="BI205" s="47"/>
      <c r="BJ205" s="47"/>
      <c r="BK205" s="62"/>
      <c r="BL205" s="54"/>
      <c r="BM205" s="54"/>
      <c r="BN205" s="54"/>
      <c r="BO205" s="54"/>
      <c r="BP205" s="54"/>
    </row>
    <row r="206">
      <c r="A206" s="47">
        <v>202.0</v>
      </c>
      <c r="B206" s="117" t="s">
        <v>250</v>
      </c>
      <c r="C206" s="49" t="s">
        <v>249</v>
      </c>
      <c r="D206" s="106">
        <v>2.66</v>
      </c>
      <c r="E206" s="106">
        <v>1.14</v>
      </c>
      <c r="F206" s="47">
        <v>0.0</v>
      </c>
      <c r="G206" s="106">
        <v>0.2</v>
      </c>
      <c r="H206" s="106">
        <v>0.0</v>
      </c>
      <c r="I206" s="106">
        <v>0.0</v>
      </c>
      <c r="J206" s="107"/>
      <c r="K206" s="107"/>
      <c r="L206" s="107"/>
      <c r="M206" s="107"/>
      <c r="N206" s="107"/>
      <c r="O206" s="107"/>
      <c r="P206" s="52">
        <v>1.0</v>
      </c>
      <c r="Q206" s="52">
        <v>1.0</v>
      </c>
      <c r="R206" s="62"/>
      <c r="S206" s="54"/>
      <c r="T206" s="54"/>
      <c r="U206" s="54"/>
      <c r="V206" s="54"/>
      <c r="W206" s="54"/>
      <c r="X206" s="47"/>
      <c r="Y206" s="47"/>
      <c r="Z206" s="62"/>
      <c r="AA206" s="54">
        <f t="shared" ref="AA206:AE206" si="403">ROUND(E206*0.5+K206*0.5-S206,2)</f>
        <v>0.57</v>
      </c>
      <c r="AB206" s="54">
        <f t="shared" si="403"/>
        <v>0</v>
      </c>
      <c r="AC206" s="54">
        <f t="shared" si="403"/>
        <v>0.1</v>
      </c>
      <c r="AD206" s="54">
        <f t="shared" si="403"/>
        <v>0</v>
      </c>
      <c r="AE206" s="54">
        <f t="shared" si="403"/>
        <v>0</v>
      </c>
      <c r="AF206" s="54">
        <f t="shared" ref="AF206:AG206" si="404">ROUND(P206-X206,2)</f>
        <v>1</v>
      </c>
      <c r="AG206" s="54">
        <f t="shared" si="404"/>
        <v>1</v>
      </c>
      <c r="AH206" s="62"/>
      <c r="AI206" s="47"/>
      <c r="AJ206" s="47"/>
      <c r="AK206" s="47"/>
      <c r="AL206" s="47"/>
      <c r="AM206" s="47"/>
      <c r="AN206" s="47"/>
      <c r="AO206" s="47"/>
      <c r="AP206" s="76"/>
      <c r="AQ206" s="62"/>
      <c r="AR206" s="62"/>
      <c r="AS206" s="62"/>
      <c r="AT206" s="54"/>
      <c r="AU206" s="54"/>
      <c r="AV206" s="54"/>
      <c r="AW206" s="54"/>
      <c r="AX206" s="54"/>
      <c r="AY206" s="54"/>
      <c r="AZ206" s="54"/>
      <c r="BA206" s="57"/>
      <c r="BB206" s="58"/>
      <c r="BC206" s="57"/>
      <c r="BD206" s="57"/>
      <c r="BE206" s="59"/>
      <c r="BF206" s="47"/>
      <c r="BG206" s="47"/>
      <c r="BH206" s="47"/>
      <c r="BI206" s="47"/>
      <c r="BJ206" s="47"/>
      <c r="BK206" s="62"/>
      <c r="BL206" s="54"/>
      <c r="BM206" s="54"/>
      <c r="BN206" s="54"/>
      <c r="BO206" s="54"/>
      <c r="BP206" s="54"/>
    </row>
    <row r="207">
      <c r="A207" s="47">
        <v>203.0</v>
      </c>
      <c r="B207" s="117" t="s">
        <v>251</v>
      </c>
      <c r="C207" s="49" t="s">
        <v>249</v>
      </c>
      <c r="D207" s="106">
        <v>3.5</v>
      </c>
      <c r="E207" s="106">
        <v>0.0</v>
      </c>
      <c r="F207" s="47">
        <v>0.0</v>
      </c>
      <c r="G207" s="106">
        <v>0.0</v>
      </c>
      <c r="H207" s="106">
        <v>0.6</v>
      </c>
      <c r="I207" s="106">
        <v>0.4</v>
      </c>
      <c r="J207" s="107"/>
      <c r="K207" s="107"/>
      <c r="L207" s="107"/>
      <c r="M207" s="107"/>
      <c r="N207" s="107"/>
      <c r="O207" s="107"/>
      <c r="P207" s="52">
        <v>1.0</v>
      </c>
      <c r="Q207" s="52">
        <v>1.0</v>
      </c>
      <c r="R207" s="62"/>
      <c r="S207" s="54"/>
      <c r="T207" s="54"/>
      <c r="U207" s="54"/>
      <c r="V207" s="54"/>
      <c r="W207" s="54"/>
      <c r="X207" s="47"/>
      <c r="Y207" s="47"/>
      <c r="Z207" s="62"/>
      <c r="AA207" s="54">
        <f t="shared" ref="AA207:AE207" si="405">ROUND(E207*0.5+K207*0.5-S207,2)</f>
        <v>0</v>
      </c>
      <c r="AB207" s="54">
        <f t="shared" si="405"/>
        <v>0</v>
      </c>
      <c r="AC207" s="54">
        <f t="shared" si="405"/>
        <v>0</v>
      </c>
      <c r="AD207" s="54">
        <f t="shared" si="405"/>
        <v>0.3</v>
      </c>
      <c r="AE207" s="54">
        <f t="shared" si="405"/>
        <v>0.2</v>
      </c>
      <c r="AF207" s="54">
        <f t="shared" ref="AF207:AG207" si="406">ROUND(P207-X207,2)</f>
        <v>1</v>
      </c>
      <c r="AG207" s="54">
        <f t="shared" si="406"/>
        <v>1</v>
      </c>
      <c r="AH207" s="62"/>
      <c r="AI207" s="47"/>
      <c r="AJ207" s="47"/>
      <c r="AK207" s="47"/>
      <c r="AL207" s="47"/>
      <c r="AM207" s="47"/>
      <c r="AN207" s="47"/>
      <c r="AO207" s="47"/>
      <c r="AP207" s="76"/>
      <c r="AQ207" s="62"/>
      <c r="AR207" s="62"/>
      <c r="AS207" s="62"/>
      <c r="AT207" s="54"/>
      <c r="AU207" s="54"/>
      <c r="AV207" s="54"/>
      <c r="AW207" s="54"/>
      <c r="AX207" s="54"/>
      <c r="AY207" s="54"/>
      <c r="AZ207" s="54"/>
      <c r="BA207" s="57"/>
      <c r="BB207" s="58"/>
      <c r="BC207" s="57"/>
      <c r="BD207" s="57"/>
      <c r="BE207" s="59"/>
      <c r="BF207" s="47"/>
      <c r="BG207" s="47"/>
      <c r="BH207" s="47"/>
      <c r="BI207" s="47"/>
      <c r="BJ207" s="47"/>
      <c r="BK207" s="62"/>
      <c r="BL207" s="54"/>
      <c r="BM207" s="54"/>
      <c r="BN207" s="54"/>
      <c r="BO207" s="54"/>
      <c r="BP207" s="54"/>
    </row>
    <row r="208">
      <c r="A208" s="47">
        <v>204.0</v>
      </c>
      <c r="B208" s="118" t="s">
        <v>252</v>
      </c>
      <c r="C208" s="49" t="s">
        <v>249</v>
      </c>
      <c r="D208" s="106">
        <v>3.33</v>
      </c>
      <c r="E208" s="106">
        <v>0.67</v>
      </c>
      <c r="F208" s="47">
        <v>0.0</v>
      </c>
      <c r="G208" s="106">
        <v>0.0</v>
      </c>
      <c r="H208" s="106">
        <v>0.0</v>
      </c>
      <c r="I208" s="106">
        <v>0.0</v>
      </c>
      <c r="J208" s="107"/>
      <c r="K208" s="107"/>
      <c r="L208" s="107"/>
      <c r="M208" s="107"/>
      <c r="N208" s="107"/>
      <c r="O208" s="107"/>
      <c r="P208" s="52">
        <v>1.0</v>
      </c>
      <c r="Q208" s="52">
        <v>1.0</v>
      </c>
      <c r="R208" s="62"/>
      <c r="S208" s="54"/>
      <c r="T208" s="54"/>
      <c r="U208" s="54"/>
      <c r="V208" s="54"/>
      <c r="W208" s="54"/>
      <c r="X208" s="47"/>
      <c r="Y208" s="47"/>
      <c r="Z208" s="62"/>
      <c r="AA208" s="54">
        <f t="shared" ref="AA208:AE208" si="407">ROUND(E208*0.5+K208*0.5-S208,2)</f>
        <v>0.34</v>
      </c>
      <c r="AB208" s="54">
        <f t="shared" si="407"/>
        <v>0</v>
      </c>
      <c r="AC208" s="54">
        <f t="shared" si="407"/>
        <v>0</v>
      </c>
      <c r="AD208" s="54">
        <f t="shared" si="407"/>
        <v>0</v>
      </c>
      <c r="AE208" s="54">
        <f t="shared" si="407"/>
        <v>0</v>
      </c>
      <c r="AF208" s="54">
        <f t="shared" ref="AF208:AG208" si="408">ROUND(P208-X208,2)</f>
        <v>1</v>
      </c>
      <c r="AG208" s="54">
        <f t="shared" si="408"/>
        <v>1</v>
      </c>
      <c r="AH208" s="62"/>
      <c r="AI208" s="47"/>
      <c r="AJ208" s="47"/>
      <c r="AK208" s="47"/>
      <c r="AL208" s="47"/>
      <c r="AM208" s="47"/>
      <c r="AN208" s="47"/>
      <c r="AO208" s="47"/>
      <c r="AP208" s="76"/>
      <c r="AQ208" s="62"/>
      <c r="AR208" s="62"/>
      <c r="AS208" s="62"/>
      <c r="AT208" s="54"/>
      <c r="AU208" s="54"/>
      <c r="AV208" s="54"/>
      <c r="AW208" s="54"/>
      <c r="AX208" s="54"/>
      <c r="AY208" s="54"/>
      <c r="AZ208" s="54"/>
      <c r="BA208" s="57"/>
      <c r="BB208" s="58"/>
      <c r="BC208" s="57"/>
      <c r="BD208" s="57"/>
      <c r="BE208" s="59"/>
      <c r="BF208" s="47"/>
      <c r="BG208" s="47"/>
      <c r="BH208" s="47"/>
      <c r="BI208" s="47"/>
      <c r="BJ208" s="47"/>
      <c r="BK208" s="62"/>
      <c r="BL208" s="54"/>
      <c r="BM208" s="54"/>
      <c r="BN208" s="54"/>
      <c r="BO208" s="54"/>
      <c r="BP208" s="54"/>
    </row>
    <row r="209">
      <c r="A209" s="47">
        <v>205.0</v>
      </c>
      <c r="B209" s="118" t="s">
        <v>253</v>
      </c>
      <c r="C209" s="49" t="s">
        <v>249</v>
      </c>
      <c r="D209" s="106">
        <v>3.66</v>
      </c>
      <c r="E209" s="106">
        <v>0.0</v>
      </c>
      <c r="F209" s="47">
        <v>0.0</v>
      </c>
      <c r="G209" s="106">
        <v>0.0</v>
      </c>
      <c r="H209" s="106">
        <v>0.34</v>
      </c>
      <c r="I209" s="106">
        <v>0.0</v>
      </c>
      <c r="J209" s="107"/>
      <c r="K209" s="107"/>
      <c r="L209" s="107"/>
      <c r="M209" s="107"/>
      <c r="N209" s="107"/>
      <c r="O209" s="107"/>
      <c r="P209" s="52">
        <v>1.0</v>
      </c>
      <c r="Q209" s="52">
        <v>1.0</v>
      </c>
      <c r="R209" s="62"/>
      <c r="S209" s="54"/>
      <c r="T209" s="54"/>
      <c r="U209" s="54"/>
      <c r="V209" s="54"/>
      <c r="W209" s="54"/>
      <c r="X209" s="47"/>
      <c r="Y209" s="47"/>
      <c r="Z209" s="62"/>
      <c r="AA209" s="54">
        <f t="shared" ref="AA209:AE209" si="409">ROUND(E209*0.5+K209*0.5-S209,2)</f>
        <v>0</v>
      </c>
      <c r="AB209" s="54">
        <f t="shared" si="409"/>
        <v>0</v>
      </c>
      <c r="AC209" s="54">
        <f t="shared" si="409"/>
        <v>0</v>
      </c>
      <c r="AD209" s="54">
        <f t="shared" si="409"/>
        <v>0.17</v>
      </c>
      <c r="AE209" s="54">
        <f t="shared" si="409"/>
        <v>0</v>
      </c>
      <c r="AF209" s="54">
        <f t="shared" ref="AF209:AG209" si="410">ROUND(P209-X209,2)</f>
        <v>1</v>
      </c>
      <c r="AG209" s="54">
        <f t="shared" si="410"/>
        <v>1</v>
      </c>
      <c r="AH209" s="62"/>
      <c r="AI209" s="47"/>
      <c r="AJ209" s="47"/>
      <c r="AK209" s="47"/>
      <c r="AL209" s="47"/>
      <c r="AM209" s="47"/>
      <c r="AN209" s="47"/>
      <c r="AO209" s="47"/>
      <c r="AP209" s="76"/>
      <c r="AQ209" s="62"/>
      <c r="AR209" s="62"/>
      <c r="AS209" s="62"/>
      <c r="AT209" s="54"/>
      <c r="AU209" s="54"/>
      <c r="AV209" s="54"/>
      <c r="AW209" s="54"/>
      <c r="AX209" s="54"/>
      <c r="AY209" s="54"/>
      <c r="AZ209" s="54"/>
      <c r="BA209" s="57"/>
      <c r="BB209" s="58"/>
      <c r="BC209" s="57"/>
      <c r="BD209" s="57"/>
      <c r="BE209" s="59"/>
      <c r="BF209" s="47"/>
      <c r="BG209" s="47"/>
      <c r="BH209" s="47"/>
      <c r="BI209" s="47"/>
      <c r="BJ209" s="47"/>
      <c r="BK209" s="62"/>
      <c r="BL209" s="54"/>
      <c r="BM209" s="54"/>
      <c r="BN209" s="54"/>
      <c r="BO209" s="54"/>
      <c r="BP209" s="54"/>
    </row>
    <row r="210">
      <c r="A210" s="47">
        <v>206.0</v>
      </c>
      <c r="B210" s="101" t="s">
        <v>254</v>
      </c>
      <c r="C210" s="49" t="s">
        <v>249</v>
      </c>
      <c r="D210" s="106">
        <v>2.33</v>
      </c>
      <c r="E210" s="106">
        <v>1.27</v>
      </c>
      <c r="F210" s="106">
        <v>0.2</v>
      </c>
      <c r="G210" s="106">
        <v>0.2</v>
      </c>
      <c r="H210" s="106">
        <v>0.0</v>
      </c>
      <c r="I210" s="106">
        <v>0.0</v>
      </c>
      <c r="J210" s="107"/>
      <c r="K210" s="107"/>
      <c r="L210" s="107"/>
      <c r="M210" s="107"/>
      <c r="N210" s="107"/>
      <c r="O210" s="107"/>
      <c r="P210" s="52">
        <v>1.0</v>
      </c>
      <c r="Q210" s="52">
        <v>1.0</v>
      </c>
      <c r="R210" s="62"/>
      <c r="S210" s="47">
        <v>0.42</v>
      </c>
      <c r="T210" s="54"/>
      <c r="U210" s="47">
        <v>0.08</v>
      </c>
      <c r="V210" s="47"/>
      <c r="W210" s="54"/>
      <c r="X210" s="57"/>
      <c r="Y210" s="57"/>
      <c r="Z210" s="62"/>
      <c r="AA210" s="54">
        <f t="shared" ref="AA210:AE210" si="411">ROUND(E210*0.5+K210*0.5-S210,2)</f>
        <v>0.22</v>
      </c>
      <c r="AB210" s="54">
        <f t="shared" si="411"/>
        <v>0.1</v>
      </c>
      <c r="AC210" s="54">
        <f t="shared" si="411"/>
        <v>0.02</v>
      </c>
      <c r="AD210" s="54">
        <f t="shared" si="411"/>
        <v>0</v>
      </c>
      <c r="AE210" s="54">
        <f t="shared" si="411"/>
        <v>0</v>
      </c>
      <c r="AF210" s="54">
        <f t="shared" ref="AF210:AG210" si="412">ROUND(P210-X210,2)</f>
        <v>1</v>
      </c>
      <c r="AG210" s="54">
        <f t="shared" si="412"/>
        <v>1</v>
      </c>
      <c r="AH210" s="62"/>
      <c r="AI210" s="47"/>
      <c r="AJ210" s="47"/>
      <c r="AK210" s="47"/>
      <c r="AL210" s="47"/>
      <c r="AM210" s="47"/>
      <c r="AN210" s="47"/>
      <c r="AO210" s="47"/>
      <c r="AP210" s="76"/>
      <c r="AQ210" s="62"/>
      <c r="AR210" s="62"/>
      <c r="AS210" s="62"/>
      <c r="AT210" s="54"/>
      <c r="AU210" s="54"/>
      <c r="AV210" s="54"/>
      <c r="AW210" s="54"/>
      <c r="AX210" s="54"/>
      <c r="AY210" s="54"/>
      <c r="AZ210" s="54"/>
      <c r="BA210" s="57"/>
      <c r="BB210" s="58"/>
      <c r="BC210" s="57"/>
      <c r="BD210" s="57"/>
      <c r="BE210" s="59"/>
      <c r="BF210" s="60"/>
      <c r="BG210" s="61"/>
      <c r="BH210" s="61"/>
      <c r="BI210" s="61"/>
      <c r="BJ210" s="61"/>
      <c r="BK210" s="62"/>
      <c r="BL210" s="54"/>
      <c r="BM210" s="54"/>
      <c r="BN210" s="54"/>
      <c r="BO210" s="54"/>
      <c r="BP210" s="54"/>
    </row>
    <row r="211">
      <c r="A211" s="47">
        <v>207.0</v>
      </c>
      <c r="B211" s="93" t="s">
        <v>255</v>
      </c>
      <c r="C211" s="49" t="s">
        <v>249</v>
      </c>
      <c r="D211" s="106">
        <v>3.0</v>
      </c>
      <c r="E211" s="106">
        <v>0.0</v>
      </c>
      <c r="F211" s="106">
        <v>0.6</v>
      </c>
      <c r="G211" s="106">
        <v>0.4</v>
      </c>
      <c r="H211" s="106">
        <v>0.0</v>
      </c>
      <c r="I211" s="106">
        <v>0.0</v>
      </c>
      <c r="J211" s="107"/>
      <c r="K211" s="107"/>
      <c r="L211" s="107"/>
      <c r="M211" s="107"/>
      <c r="N211" s="107"/>
      <c r="O211" s="107"/>
      <c r="P211" s="52">
        <v>1.0</v>
      </c>
      <c r="Q211" s="52">
        <v>1.0</v>
      </c>
      <c r="R211" s="62"/>
      <c r="S211" s="54"/>
      <c r="T211" s="54"/>
      <c r="U211" s="54"/>
      <c r="V211" s="54"/>
      <c r="W211" s="54"/>
      <c r="X211" s="54"/>
      <c r="Y211" s="54"/>
      <c r="Z211" s="62"/>
      <c r="AA211" s="54">
        <f t="shared" ref="AA211:AE211" si="413">ROUND(E211*0.5+K211*0.5-S211,2)</f>
        <v>0</v>
      </c>
      <c r="AB211" s="54">
        <f t="shared" si="413"/>
        <v>0.3</v>
      </c>
      <c r="AC211" s="54">
        <f t="shared" si="413"/>
        <v>0.2</v>
      </c>
      <c r="AD211" s="54">
        <f t="shared" si="413"/>
        <v>0</v>
      </c>
      <c r="AE211" s="54">
        <f t="shared" si="413"/>
        <v>0</v>
      </c>
      <c r="AF211" s="54">
        <f t="shared" ref="AF211:AG211" si="414">ROUND(P211-X211,2)</f>
        <v>1</v>
      </c>
      <c r="AG211" s="54">
        <f t="shared" si="414"/>
        <v>1</v>
      </c>
      <c r="AH211" s="62"/>
      <c r="AI211" s="47"/>
      <c r="AJ211" s="47"/>
      <c r="AK211" s="47"/>
      <c r="AL211" s="47"/>
      <c r="AM211" s="47"/>
      <c r="AN211" s="47"/>
      <c r="AO211" s="47"/>
      <c r="AP211" s="52"/>
      <c r="AQ211" s="62"/>
      <c r="AR211" s="62"/>
      <c r="AS211" s="62"/>
      <c r="AT211" s="54"/>
      <c r="AU211" s="54"/>
      <c r="AV211" s="54"/>
      <c r="AW211" s="54"/>
      <c r="AX211" s="54"/>
      <c r="AY211" s="54"/>
      <c r="AZ211" s="54"/>
      <c r="BA211" s="57"/>
      <c r="BB211" s="57"/>
      <c r="BC211" s="57"/>
      <c r="BD211" s="58"/>
      <c r="BE211" s="64"/>
      <c r="BF211" s="68"/>
      <c r="BG211" s="69"/>
      <c r="BH211" s="69"/>
      <c r="BI211" s="69"/>
      <c r="BJ211" s="69"/>
      <c r="BK211" s="62"/>
      <c r="BL211" s="54"/>
      <c r="BM211" s="54"/>
      <c r="BN211" s="54"/>
      <c r="BO211" s="54"/>
      <c r="BP211" s="54"/>
    </row>
    <row r="212">
      <c r="A212" s="47">
        <v>208.0</v>
      </c>
      <c r="B212" s="101" t="s">
        <v>256</v>
      </c>
      <c r="C212" s="49" t="s">
        <v>249</v>
      </c>
      <c r="D212" s="106">
        <v>3.33</v>
      </c>
      <c r="E212" s="106">
        <v>0.67</v>
      </c>
      <c r="F212" s="106">
        <v>0.0</v>
      </c>
      <c r="G212" s="47">
        <v>0.0</v>
      </c>
      <c r="H212" s="106">
        <v>0.0</v>
      </c>
      <c r="I212" s="106">
        <v>0.0</v>
      </c>
      <c r="J212" s="107"/>
      <c r="K212" s="107"/>
      <c r="L212" s="107"/>
      <c r="M212" s="107"/>
      <c r="N212" s="107"/>
      <c r="O212" s="107"/>
      <c r="P212" s="52">
        <v>1.0</v>
      </c>
      <c r="Q212" s="52">
        <v>1.0</v>
      </c>
      <c r="R212" s="62"/>
      <c r="S212" s="47"/>
      <c r="T212" s="54"/>
      <c r="U212" s="54"/>
      <c r="V212" s="54"/>
      <c r="W212" s="54"/>
      <c r="X212" s="54"/>
      <c r="Y212" s="47">
        <v>0.75</v>
      </c>
      <c r="Z212" s="62"/>
      <c r="AA212" s="54">
        <f t="shared" ref="AA212:AE212" si="415">ROUND(E212*0.5+K212*0.5-S212,2)</f>
        <v>0.34</v>
      </c>
      <c r="AB212" s="54">
        <f t="shared" si="415"/>
        <v>0</v>
      </c>
      <c r="AC212" s="54">
        <f t="shared" si="415"/>
        <v>0</v>
      </c>
      <c r="AD212" s="54">
        <f t="shared" si="415"/>
        <v>0</v>
      </c>
      <c r="AE212" s="54">
        <f t="shared" si="415"/>
        <v>0</v>
      </c>
      <c r="AF212" s="54">
        <f t="shared" ref="AF212:AG212" si="416">ROUND(P212-X212,2)</f>
        <v>1</v>
      </c>
      <c r="AG212" s="54">
        <f t="shared" si="416"/>
        <v>0.25</v>
      </c>
      <c r="AH212" s="62"/>
      <c r="AI212" s="47"/>
      <c r="AJ212" s="47"/>
      <c r="AK212" s="47"/>
      <c r="AL212" s="47"/>
      <c r="AM212" s="47"/>
      <c r="AN212" s="47"/>
      <c r="AO212" s="47"/>
      <c r="AP212" s="52"/>
      <c r="AQ212" s="62"/>
      <c r="AR212" s="62"/>
      <c r="AS212" s="62"/>
      <c r="AT212" s="54"/>
      <c r="AU212" s="54"/>
      <c r="AV212" s="54"/>
      <c r="AW212" s="54"/>
      <c r="AX212" s="54"/>
      <c r="AY212" s="54"/>
      <c r="AZ212" s="54"/>
      <c r="BA212" s="57"/>
      <c r="BB212" s="58"/>
      <c r="BC212" s="57"/>
      <c r="BD212" s="57"/>
      <c r="BE212" s="59"/>
      <c r="BF212" s="68"/>
      <c r="BG212" s="69"/>
      <c r="BH212" s="69"/>
      <c r="BI212" s="69"/>
      <c r="BJ212" s="69"/>
      <c r="BK212" s="62"/>
      <c r="BL212" s="54"/>
      <c r="BM212" s="54"/>
      <c r="BN212" s="54"/>
      <c r="BO212" s="54"/>
      <c r="BP212" s="54"/>
    </row>
    <row r="213">
      <c r="A213" s="47">
        <v>209.0</v>
      </c>
      <c r="B213" s="101" t="s">
        <v>257</v>
      </c>
      <c r="C213" s="49" t="s">
        <v>258</v>
      </c>
      <c r="D213" s="106">
        <v>1.33</v>
      </c>
      <c r="E213" s="106">
        <v>1.19</v>
      </c>
      <c r="F213" s="106">
        <v>0.3</v>
      </c>
      <c r="G213" s="106">
        <v>0.0</v>
      </c>
      <c r="H213" s="106">
        <v>0.2</v>
      </c>
      <c r="I213" s="106">
        <v>0.0</v>
      </c>
      <c r="J213" s="107"/>
      <c r="K213" s="107"/>
      <c r="L213" s="107"/>
      <c r="M213" s="107"/>
      <c r="N213" s="107"/>
      <c r="O213" s="107"/>
      <c r="P213" s="52">
        <v>1.0</v>
      </c>
      <c r="Q213" s="52">
        <v>1.0</v>
      </c>
      <c r="R213" s="62"/>
      <c r="S213" s="47"/>
      <c r="T213" s="54"/>
      <c r="U213" s="54"/>
      <c r="V213" s="54"/>
      <c r="W213" s="54"/>
      <c r="X213" s="54"/>
      <c r="Y213" s="54"/>
      <c r="Z213" s="62"/>
      <c r="AA213" s="54">
        <f t="shared" ref="AA213:AE213" si="417">ROUND(E213*0.5+K213*0.5-S213,2)</f>
        <v>0.6</v>
      </c>
      <c r="AB213" s="54">
        <f t="shared" si="417"/>
        <v>0.15</v>
      </c>
      <c r="AC213" s="54">
        <f t="shared" si="417"/>
        <v>0</v>
      </c>
      <c r="AD213" s="54">
        <f t="shared" si="417"/>
        <v>0.1</v>
      </c>
      <c r="AE213" s="54">
        <f t="shared" si="417"/>
        <v>0</v>
      </c>
      <c r="AF213" s="54">
        <f t="shared" ref="AF213:AG213" si="418">ROUND(P213-X213,2)</f>
        <v>1</v>
      </c>
      <c r="AG213" s="54">
        <f t="shared" si="418"/>
        <v>1</v>
      </c>
      <c r="AH213" s="62"/>
      <c r="AI213" s="47"/>
      <c r="AJ213" s="47"/>
      <c r="AK213" s="47"/>
      <c r="AL213" s="47"/>
      <c r="AM213" s="47"/>
      <c r="AN213" s="47"/>
      <c r="AO213" s="47"/>
      <c r="AP213" s="74"/>
      <c r="AQ213" s="62"/>
      <c r="AR213" s="62"/>
      <c r="AS213" s="62"/>
      <c r="AT213" s="54"/>
      <c r="AU213" s="54"/>
      <c r="AV213" s="54"/>
      <c r="AW213" s="54"/>
      <c r="AX213" s="54"/>
      <c r="AY213" s="54"/>
      <c r="AZ213" s="54"/>
      <c r="BA213" s="113"/>
      <c r="BB213" s="58"/>
      <c r="BC213" s="113"/>
      <c r="BD213" s="113"/>
      <c r="BE213" s="114"/>
      <c r="BF213" s="68"/>
      <c r="BG213" s="69"/>
      <c r="BH213" s="69"/>
      <c r="BI213" s="69"/>
      <c r="BJ213" s="69"/>
      <c r="BK213" s="62"/>
      <c r="BL213" s="54"/>
      <c r="BM213" s="54"/>
      <c r="BN213" s="54"/>
      <c r="BO213" s="54"/>
      <c r="BP213" s="54"/>
    </row>
    <row r="214">
      <c r="A214" s="47">
        <v>210.0</v>
      </c>
      <c r="B214" s="93" t="s">
        <v>259</v>
      </c>
      <c r="C214" s="49" t="s">
        <v>258</v>
      </c>
      <c r="D214" s="106">
        <v>3.0</v>
      </c>
      <c r="E214" s="106">
        <v>0.0</v>
      </c>
      <c r="F214" s="106">
        <v>0.3</v>
      </c>
      <c r="G214" s="106">
        <v>0.7</v>
      </c>
      <c r="H214" s="106">
        <v>0.0</v>
      </c>
      <c r="I214" s="106">
        <v>0.0</v>
      </c>
      <c r="J214" s="107"/>
      <c r="K214" s="107"/>
      <c r="L214" s="107"/>
      <c r="M214" s="107"/>
      <c r="N214" s="107"/>
      <c r="O214" s="107"/>
      <c r="P214" s="52">
        <v>1.0</v>
      </c>
      <c r="Q214" s="52">
        <v>1.0</v>
      </c>
      <c r="R214" s="62"/>
      <c r="S214" s="47"/>
      <c r="T214" s="54"/>
      <c r="U214" s="54"/>
      <c r="V214" s="54"/>
      <c r="W214" s="54"/>
      <c r="X214" s="54"/>
      <c r="Y214" s="54"/>
      <c r="Z214" s="62"/>
      <c r="AA214" s="54">
        <f t="shared" ref="AA214:AE214" si="419">ROUND(E214*0.5+K214*0.5-S214,2)</f>
        <v>0</v>
      </c>
      <c r="AB214" s="54">
        <f t="shared" si="419"/>
        <v>0.15</v>
      </c>
      <c r="AC214" s="54">
        <f t="shared" si="419"/>
        <v>0.35</v>
      </c>
      <c r="AD214" s="54">
        <f t="shared" si="419"/>
        <v>0</v>
      </c>
      <c r="AE214" s="54">
        <f t="shared" si="419"/>
        <v>0</v>
      </c>
      <c r="AF214" s="54">
        <f t="shared" ref="AF214:AG214" si="420">ROUND(P214-X214,2)</f>
        <v>1</v>
      </c>
      <c r="AG214" s="54">
        <f t="shared" si="420"/>
        <v>1</v>
      </c>
      <c r="AH214" s="62"/>
      <c r="AI214" s="47"/>
      <c r="AJ214" s="47"/>
      <c r="AK214" s="47"/>
      <c r="AL214" s="47"/>
      <c r="AM214" s="47"/>
      <c r="AN214" s="47"/>
      <c r="AO214" s="47"/>
      <c r="AP214" s="74"/>
      <c r="AQ214" s="62"/>
      <c r="AR214" s="62"/>
      <c r="AS214" s="62"/>
      <c r="AT214" s="54"/>
      <c r="AU214" s="54"/>
      <c r="AV214" s="54"/>
      <c r="AW214" s="54"/>
      <c r="AX214" s="54"/>
      <c r="AY214" s="88"/>
      <c r="AZ214" s="88"/>
      <c r="BA214" s="57"/>
      <c r="BB214" s="58"/>
      <c r="BC214" s="57"/>
      <c r="BD214" s="57"/>
      <c r="BE214" s="59"/>
      <c r="BF214" s="68"/>
      <c r="BG214" s="69"/>
      <c r="BH214" s="69"/>
      <c r="BI214" s="69"/>
      <c r="BJ214" s="69"/>
      <c r="BK214" s="62"/>
      <c r="BL214" s="54"/>
      <c r="BM214" s="54"/>
      <c r="BN214" s="54"/>
      <c r="BO214" s="54"/>
      <c r="BP214" s="54"/>
    </row>
    <row r="215">
      <c r="A215" s="47">
        <v>211.0</v>
      </c>
      <c r="B215" s="93" t="s">
        <v>260</v>
      </c>
      <c r="C215" s="49" t="s">
        <v>258</v>
      </c>
      <c r="D215" s="106">
        <v>3.0</v>
      </c>
      <c r="E215" s="106">
        <v>0.7</v>
      </c>
      <c r="F215" s="106">
        <v>0.0</v>
      </c>
      <c r="G215" s="106">
        <v>0.0</v>
      </c>
      <c r="H215" s="106">
        <v>0.0</v>
      </c>
      <c r="I215" s="106">
        <v>0.3</v>
      </c>
      <c r="J215" s="107"/>
      <c r="K215" s="107"/>
      <c r="L215" s="107"/>
      <c r="M215" s="107"/>
      <c r="N215" s="107"/>
      <c r="O215" s="107"/>
      <c r="P215" s="52">
        <v>1.0</v>
      </c>
      <c r="Q215" s="52">
        <v>1.0</v>
      </c>
      <c r="R215" s="62"/>
      <c r="S215" s="47"/>
      <c r="T215" s="54"/>
      <c r="U215" s="54"/>
      <c r="V215" s="54"/>
      <c r="W215" s="54"/>
      <c r="X215" s="54"/>
      <c r="Y215" s="54"/>
      <c r="Z215" s="62"/>
      <c r="AA215" s="54">
        <f t="shared" ref="AA215:AE215" si="421">ROUND(E215*0.5+K215*0.5-S215,2)</f>
        <v>0.35</v>
      </c>
      <c r="AB215" s="54">
        <f t="shared" si="421"/>
        <v>0</v>
      </c>
      <c r="AC215" s="54">
        <f t="shared" si="421"/>
        <v>0</v>
      </c>
      <c r="AD215" s="54">
        <f t="shared" si="421"/>
        <v>0</v>
      </c>
      <c r="AE215" s="54">
        <f t="shared" si="421"/>
        <v>0.15</v>
      </c>
      <c r="AF215" s="54">
        <f t="shared" ref="AF215:AG215" si="422">ROUND(P215-X215,2)</f>
        <v>1</v>
      </c>
      <c r="AG215" s="54">
        <f t="shared" si="422"/>
        <v>1</v>
      </c>
      <c r="AH215" s="62"/>
      <c r="AI215" s="47"/>
      <c r="AJ215" s="47"/>
      <c r="AK215" s="47"/>
      <c r="AL215" s="47"/>
      <c r="AM215" s="47"/>
      <c r="AN215" s="47"/>
      <c r="AO215" s="47"/>
      <c r="AP215" s="95"/>
      <c r="AQ215" s="62"/>
      <c r="AR215" s="62"/>
      <c r="AS215" s="62"/>
      <c r="AT215" s="71"/>
      <c r="AU215" s="54"/>
      <c r="AV215" s="54"/>
      <c r="AW215" s="54"/>
      <c r="AX215" s="54"/>
      <c r="AY215" s="54"/>
      <c r="AZ215" s="54"/>
      <c r="BA215" s="57"/>
      <c r="BB215" s="57"/>
      <c r="BC215" s="57"/>
      <c r="BD215" s="58"/>
      <c r="BE215" s="64"/>
      <c r="BF215" s="68"/>
      <c r="BG215" s="69"/>
      <c r="BH215" s="69"/>
      <c r="BI215" s="69"/>
      <c r="BJ215" s="69"/>
      <c r="BK215" s="62"/>
      <c r="BL215" s="54"/>
      <c r="BM215" s="54"/>
      <c r="BN215" s="54"/>
      <c r="BO215" s="54"/>
      <c r="BP215" s="54"/>
    </row>
    <row r="216">
      <c r="A216" s="47">
        <v>212.0</v>
      </c>
      <c r="B216" s="101" t="s">
        <v>261</v>
      </c>
      <c r="C216" s="49" t="s">
        <v>258</v>
      </c>
      <c r="D216" s="106">
        <v>3.33</v>
      </c>
      <c r="E216" s="106">
        <v>0.75</v>
      </c>
      <c r="F216" s="106">
        <v>0.25</v>
      </c>
      <c r="G216" s="106">
        <v>0.0</v>
      </c>
      <c r="H216" s="106">
        <v>0.0</v>
      </c>
      <c r="I216" s="106">
        <v>0.0</v>
      </c>
      <c r="J216" s="107"/>
      <c r="K216" s="107"/>
      <c r="L216" s="107"/>
      <c r="M216" s="107"/>
      <c r="N216" s="107"/>
      <c r="O216" s="107"/>
      <c r="P216" s="52">
        <v>1.0</v>
      </c>
      <c r="Q216" s="52">
        <v>1.0</v>
      </c>
      <c r="R216" s="62"/>
      <c r="S216" s="54"/>
      <c r="T216" s="54"/>
      <c r="U216" s="54"/>
      <c r="V216" s="54"/>
      <c r="W216" s="54"/>
      <c r="X216" s="54"/>
      <c r="Y216" s="54"/>
      <c r="Z216" s="62"/>
      <c r="AA216" s="54">
        <f t="shared" ref="AA216:AE216" si="423">ROUND(E216*0.5+K216*0.5-S216,2)</f>
        <v>0.38</v>
      </c>
      <c r="AB216" s="54">
        <f t="shared" si="423"/>
        <v>0.13</v>
      </c>
      <c r="AC216" s="54">
        <f t="shared" si="423"/>
        <v>0</v>
      </c>
      <c r="AD216" s="54">
        <f t="shared" si="423"/>
        <v>0</v>
      </c>
      <c r="AE216" s="54">
        <f t="shared" si="423"/>
        <v>0</v>
      </c>
      <c r="AF216" s="54">
        <f t="shared" ref="AF216:AG216" si="424">ROUND(P216-X216,2)</f>
        <v>1</v>
      </c>
      <c r="AG216" s="54">
        <f t="shared" si="424"/>
        <v>1</v>
      </c>
      <c r="AH216" s="62"/>
      <c r="AI216" s="47"/>
      <c r="AJ216" s="47"/>
      <c r="AK216" s="47"/>
      <c r="AL216" s="47"/>
      <c r="AM216" s="47"/>
      <c r="AN216" s="47"/>
      <c r="AO216" s="47"/>
      <c r="AP216" s="135"/>
      <c r="AQ216" s="62"/>
      <c r="AR216" s="62"/>
      <c r="AS216" s="62"/>
      <c r="AT216" s="71"/>
      <c r="AU216" s="54"/>
      <c r="AV216" s="54"/>
      <c r="AW216" s="54"/>
      <c r="AX216" s="54"/>
      <c r="AY216" s="88"/>
      <c r="AZ216" s="88"/>
      <c r="BA216" s="57"/>
      <c r="BB216" s="57"/>
      <c r="BC216" s="57"/>
      <c r="BD216" s="57"/>
      <c r="BE216" s="59"/>
      <c r="BF216" s="68"/>
      <c r="BG216" s="69"/>
      <c r="BH216" s="69"/>
      <c r="BI216" s="69"/>
      <c r="BJ216" s="69"/>
      <c r="BK216" s="62"/>
      <c r="BL216" s="54"/>
      <c r="BM216" s="54"/>
      <c r="BN216" s="54"/>
      <c r="BO216" s="54"/>
      <c r="BP216" s="54"/>
    </row>
    <row r="217">
      <c r="A217" s="47">
        <v>213.0</v>
      </c>
      <c r="B217" s="123" t="s">
        <v>262</v>
      </c>
      <c r="C217" s="49" t="s">
        <v>258</v>
      </c>
      <c r="D217" s="106">
        <v>3.33</v>
      </c>
      <c r="E217" s="106">
        <v>0.55</v>
      </c>
      <c r="F217" s="106">
        <v>0.0</v>
      </c>
      <c r="G217" s="106">
        <v>0.0</v>
      </c>
      <c r="H217" s="106">
        <v>0.2</v>
      </c>
      <c r="I217" s="106">
        <v>0.25</v>
      </c>
      <c r="J217" s="107"/>
      <c r="K217" s="107"/>
      <c r="L217" s="107"/>
      <c r="M217" s="107"/>
      <c r="N217" s="107"/>
      <c r="O217" s="107"/>
      <c r="P217" s="52">
        <v>1.0</v>
      </c>
      <c r="Q217" s="52">
        <v>1.0</v>
      </c>
      <c r="R217" s="62"/>
      <c r="S217" s="47"/>
      <c r="T217" s="54"/>
      <c r="U217" s="54"/>
      <c r="V217" s="54"/>
      <c r="W217" s="54"/>
      <c r="X217" s="54"/>
      <c r="Y217" s="54"/>
      <c r="Z217" s="62"/>
      <c r="AA217" s="54">
        <f t="shared" ref="AA217:AE217" si="425">ROUND(E217*0.5+K217*0.5-S217,2)</f>
        <v>0.28</v>
      </c>
      <c r="AB217" s="54">
        <f t="shared" si="425"/>
        <v>0</v>
      </c>
      <c r="AC217" s="54">
        <f t="shared" si="425"/>
        <v>0</v>
      </c>
      <c r="AD217" s="54">
        <f t="shared" si="425"/>
        <v>0.1</v>
      </c>
      <c r="AE217" s="54">
        <f t="shared" si="425"/>
        <v>0.13</v>
      </c>
      <c r="AF217" s="54">
        <f t="shared" ref="AF217:AG217" si="426">ROUND(P217-X217,2)</f>
        <v>1</v>
      </c>
      <c r="AG217" s="54">
        <f t="shared" si="426"/>
        <v>1</v>
      </c>
      <c r="AH217" s="62"/>
      <c r="AI217" s="66"/>
      <c r="AJ217" s="66"/>
      <c r="AK217" s="66"/>
      <c r="AL217" s="66"/>
      <c r="AM217" s="66"/>
      <c r="AN217" s="66"/>
      <c r="AO217" s="66"/>
      <c r="AP217" s="136"/>
      <c r="AQ217" s="62"/>
      <c r="AR217" s="62"/>
      <c r="AS217" s="62"/>
      <c r="AT217" s="54"/>
      <c r="AU217" s="54"/>
      <c r="AV217" s="54"/>
      <c r="AW217" s="54"/>
      <c r="AX217" s="54"/>
      <c r="AY217" s="54"/>
      <c r="AZ217" s="54"/>
      <c r="BA217" s="57"/>
      <c r="BB217" s="57"/>
      <c r="BC217" s="57"/>
      <c r="BD217" s="57"/>
      <c r="BE217" s="59"/>
      <c r="BF217" s="68"/>
      <c r="BG217" s="69"/>
      <c r="BH217" s="69"/>
      <c r="BI217" s="69"/>
      <c r="BJ217" s="69"/>
      <c r="BK217" s="62"/>
      <c r="BL217" s="54"/>
      <c r="BM217" s="54"/>
      <c r="BN217" s="54"/>
      <c r="BO217" s="54"/>
      <c r="BP217" s="54"/>
    </row>
    <row r="218">
      <c r="A218" s="47">
        <v>214.0</v>
      </c>
      <c r="B218" s="101" t="s">
        <v>263</v>
      </c>
      <c r="C218" s="49" t="s">
        <v>258</v>
      </c>
      <c r="D218" s="106">
        <v>3.67</v>
      </c>
      <c r="E218" s="106">
        <v>0.0</v>
      </c>
      <c r="F218" s="106">
        <v>0.2</v>
      </c>
      <c r="G218" s="106">
        <v>0.2</v>
      </c>
      <c r="H218" s="106">
        <v>0.0</v>
      </c>
      <c r="I218" s="106">
        <v>0.0</v>
      </c>
      <c r="J218" s="107"/>
      <c r="K218" s="107"/>
      <c r="L218" s="107"/>
      <c r="M218" s="107"/>
      <c r="N218" s="107"/>
      <c r="O218" s="107"/>
      <c r="P218" s="52">
        <v>1.0</v>
      </c>
      <c r="Q218" s="52">
        <v>1.0</v>
      </c>
      <c r="R218" s="62"/>
      <c r="S218" s="47"/>
      <c r="T218" s="54"/>
      <c r="U218" s="54"/>
      <c r="V218" s="54"/>
      <c r="W218" s="54"/>
      <c r="X218" s="54"/>
      <c r="Y218" s="54"/>
      <c r="Z218" s="62"/>
      <c r="AA218" s="54">
        <f t="shared" ref="AA218:AE218" si="427">ROUND(E218*0.5+K218*0.5-S218,2)</f>
        <v>0</v>
      </c>
      <c r="AB218" s="54">
        <f t="shared" si="427"/>
        <v>0.1</v>
      </c>
      <c r="AC218" s="54">
        <f t="shared" si="427"/>
        <v>0.1</v>
      </c>
      <c r="AD218" s="54">
        <f t="shared" si="427"/>
        <v>0</v>
      </c>
      <c r="AE218" s="54">
        <f t="shared" si="427"/>
        <v>0</v>
      </c>
      <c r="AF218" s="54">
        <f t="shared" ref="AF218:AG218" si="428">ROUND(P218-X218,2)</f>
        <v>1</v>
      </c>
      <c r="AG218" s="54">
        <f t="shared" si="428"/>
        <v>1</v>
      </c>
      <c r="AH218" s="62"/>
      <c r="AI218" s="109"/>
      <c r="AJ218" s="109"/>
      <c r="AK218" s="109"/>
      <c r="AL218" s="109"/>
      <c r="AM218" s="109"/>
      <c r="AN218" s="109"/>
      <c r="AO218" s="109"/>
      <c r="AP218" s="95"/>
      <c r="AQ218" s="62"/>
      <c r="AR218" s="62"/>
      <c r="AS218" s="62"/>
      <c r="AT218" s="54"/>
      <c r="AU218" s="54"/>
      <c r="AV218" s="54"/>
      <c r="AW218" s="54"/>
      <c r="AX218" s="54"/>
      <c r="AY218" s="54"/>
      <c r="AZ218" s="54"/>
      <c r="BA218" s="57"/>
      <c r="BB218" s="57"/>
      <c r="BC218" s="57"/>
      <c r="BD218" s="57"/>
      <c r="BE218" s="59"/>
      <c r="BF218" s="68"/>
      <c r="BG218" s="69"/>
      <c r="BH218" s="69"/>
      <c r="BI218" s="69"/>
      <c r="BJ218" s="69"/>
      <c r="BK218" s="62"/>
      <c r="BL218" s="54"/>
      <c r="BM218" s="54"/>
      <c r="BN218" s="54"/>
      <c r="BO218" s="54"/>
      <c r="BP218" s="54"/>
    </row>
    <row r="219">
      <c r="A219" s="47">
        <v>215.0</v>
      </c>
      <c r="B219" s="101" t="s">
        <v>264</v>
      </c>
      <c r="C219" s="49" t="s">
        <v>258</v>
      </c>
      <c r="D219" s="106">
        <v>3.83</v>
      </c>
      <c r="E219" s="106">
        <v>0.0</v>
      </c>
      <c r="F219" s="106">
        <v>0.2</v>
      </c>
      <c r="G219" s="106">
        <v>0.0</v>
      </c>
      <c r="H219" s="106">
        <v>0.47</v>
      </c>
      <c r="I219" s="106">
        <v>0.0</v>
      </c>
      <c r="J219" s="107"/>
      <c r="K219" s="107"/>
      <c r="L219" s="107"/>
      <c r="M219" s="107"/>
      <c r="N219" s="107"/>
      <c r="O219" s="107"/>
      <c r="P219" s="52">
        <v>1.0</v>
      </c>
      <c r="Q219" s="52">
        <v>1.0</v>
      </c>
      <c r="R219" s="62"/>
      <c r="S219" s="47"/>
      <c r="T219" s="54"/>
      <c r="U219" s="47"/>
      <c r="V219" s="47">
        <v>0.05</v>
      </c>
      <c r="W219" s="47"/>
      <c r="X219" s="54"/>
      <c r="Y219" s="54"/>
      <c r="Z219" s="62"/>
      <c r="AA219" s="54">
        <f t="shared" ref="AA219:AE219" si="429">ROUND(E219*0.5+K219*0.5-S219,2)</f>
        <v>0</v>
      </c>
      <c r="AB219" s="54">
        <f t="shared" si="429"/>
        <v>0.1</v>
      </c>
      <c r="AC219" s="54">
        <f t="shared" si="429"/>
        <v>0</v>
      </c>
      <c r="AD219" s="54">
        <f t="shared" si="429"/>
        <v>0.19</v>
      </c>
      <c r="AE219" s="54">
        <f t="shared" si="429"/>
        <v>0</v>
      </c>
      <c r="AF219" s="54">
        <f t="shared" ref="AF219:AG219" si="430">ROUND(P219-X219,2)</f>
        <v>1</v>
      </c>
      <c r="AG219" s="54">
        <f t="shared" si="430"/>
        <v>1</v>
      </c>
      <c r="AH219" s="62"/>
      <c r="AI219" s="47"/>
      <c r="AJ219" s="47"/>
      <c r="AK219" s="47"/>
      <c r="AL219" s="47"/>
      <c r="AM219" s="47"/>
      <c r="AN219" s="47"/>
      <c r="AO219" s="47"/>
      <c r="AP219" s="52"/>
      <c r="AQ219" s="62"/>
      <c r="AR219" s="62"/>
      <c r="AS219" s="62"/>
      <c r="AT219" s="54"/>
      <c r="AU219" s="54"/>
      <c r="AV219" s="54"/>
      <c r="AW219" s="54"/>
      <c r="AX219" s="54"/>
      <c r="AY219" s="54"/>
      <c r="AZ219" s="54"/>
      <c r="BA219" s="57"/>
      <c r="BB219" s="57"/>
      <c r="BC219" s="57"/>
      <c r="BD219" s="57"/>
      <c r="BE219" s="59"/>
      <c r="BF219" s="60"/>
      <c r="BG219" s="61"/>
      <c r="BH219" s="61"/>
      <c r="BI219" s="61"/>
      <c r="BJ219" s="61"/>
      <c r="BK219" s="62"/>
      <c r="BL219" s="54"/>
      <c r="BM219" s="54"/>
      <c r="BN219" s="54"/>
      <c r="BO219" s="54"/>
      <c r="BP219" s="54"/>
    </row>
    <row r="220">
      <c r="A220" s="47">
        <v>216.0</v>
      </c>
      <c r="B220" s="101" t="s">
        <v>265</v>
      </c>
      <c r="C220" s="49" t="s">
        <v>258</v>
      </c>
      <c r="D220" s="106">
        <v>4.33</v>
      </c>
      <c r="E220" s="106">
        <v>0.47</v>
      </c>
      <c r="F220" s="106">
        <v>0.0</v>
      </c>
      <c r="G220" s="106">
        <v>0.2</v>
      </c>
      <c r="H220" s="106">
        <v>0.0</v>
      </c>
      <c r="I220" s="106">
        <v>0.0</v>
      </c>
      <c r="J220" s="107"/>
      <c r="K220" s="107"/>
      <c r="L220" s="107"/>
      <c r="M220" s="107"/>
      <c r="N220" s="107"/>
      <c r="O220" s="107"/>
      <c r="P220" s="52">
        <v>1.0</v>
      </c>
      <c r="Q220" s="52">
        <v>1.0</v>
      </c>
      <c r="R220" s="62"/>
      <c r="S220" s="54"/>
      <c r="T220" s="54"/>
      <c r="U220" s="47"/>
      <c r="V220" s="47"/>
      <c r="W220" s="54"/>
      <c r="X220" s="54"/>
      <c r="Y220" s="54"/>
      <c r="Z220" s="62"/>
      <c r="AA220" s="54">
        <f t="shared" ref="AA220:AE220" si="431">ROUND(E220*0.5+K220*0.5-S220,2)</f>
        <v>0.24</v>
      </c>
      <c r="AB220" s="54">
        <f t="shared" si="431"/>
        <v>0</v>
      </c>
      <c r="AC220" s="54">
        <f t="shared" si="431"/>
        <v>0.1</v>
      </c>
      <c r="AD220" s="54">
        <f t="shared" si="431"/>
        <v>0</v>
      </c>
      <c r="AE220" s="54">
        <f t="shared" si="431"/>
        <v>0</v>
      </c>
      <c r="AF220" s="54">
        <f t="shared" ref="AF220:AG220" si="432">ROUND(P220-X220,2)</f>
        <v>1</v>
      </c>
      <c r="AG220" s="54">
        <f t="shared" si="432"/>
        <v>1</v>
      </c>
      <c r="AH220" s="62"/>
      <c r="AI220" s="47"/>
      <c r="AJ220" s="47"/>
      <c r="AK220" s="47"/>
      <c r="AL220" s="47"/>
      <c r="AM220" s="47"/>
      <c r="AN220" s="47"/>
      <c r="AO220" s="47"/>
      <c r="AP220" s="52"/>
      <c r="AQ220" s="62"/>
      <c r="AR220" s="62"/>
      <c r="AS220" s="62"/>
      <c r="AT220" s="54"/>
      <c r="AU220" s="54"/>
      <c r="AV220" s="54"/>
      <c r="AW220" s="54"/>
      <c r="AX220" s="54"/>
      <c r="AY220" s="54"/>
      <c r="AZ220" s="54"/>
      <c r="BA220" s="57"/>
      <c r="BB220" s="57"/>
      <c r="BC220" s="57"/>
      <c r="BD220" s="57"/>
      <c r="BE220" s="59"/>
      <c r="BF220" s="68"/>
      <c r="BG220" s="69"/>
      <c r="BH220" s="69"/>
      <c r="BI220" s="69"/>
      <c r="BJ220" s="69"/>
      <c r="BK220" s="62"/>
      <c r="BL220" s="54"/>
      <c r="BM220" s="54"/>
      <c r="BN220" s="54"/>
      <c r="BO220" s="54"/>
      <c r="BP220" s="54"/>
    </row>
    <row r="221">
      <c r="A221" s="47">
        <v>217.0</v>
      </c>
      <c r="B221" s="101" t="s">
        <v>266</v>
      </c>
      <c r="C221" s="49" t="s">
        <v>258</v>
      </c>
      <c r="D221" s="106">
        <v>3.67</v>
      </c>
      <c r="E221" s="106">
        <v>0.33</v>
      </c>
      <c r="F221" s="106">
        <v>0.0</v>
      </c>
      <c r="G221" s="106">
        <v>0.0</v>
      </c>
      <c r="H221" s="106">
        <v>0.0</v>
      </c>
      <c r="I221" s="106">
        <v>0.0</v>
      </c>
      <c r="J221" s="107"/>
      <c r="K221" s="107"/>
      <c r="L221" s="107"/>
      <c r="M221" s="107"/>
      <c r="N221" s="107"/>
      <c r="O221" s="107"/>
      <c r="P221" s="52">
        <v>1.0</v>
      </c>
      <c r="Q221" s="52">
        <v>1.0</v>
      </c>
      <c r="R221" s="62"/>
      <c r="S221" s="54"/>
      <c r="T221" s="54"/>
      <c r="U221" s="47"/>
      <c r="V221" s="54"/>
      <c r="W221" s="47">
        <v>0.017</v>
      </c>
      <c r="X221" s="54"/>
      <c r="Y221" s="54"/>
      <c r="Z221" s="62"/>
      <c r="AA221" s="54">
        <f t="shared" ref="AA221:AE221" si="433">ROUND(E221*0.5+K221*0.5-S221,2)</f>
        <v>0.17</v>
      </c>
      <c r="AB221" s="54">
        <f t="shared" si="433"/>
        <v>0</v>
      </c>
      <c r="AC221" s="54">
        <f t="shared" si="433"/>
        <v>0</v>
      </c>
      <c r="AD221" s="54">
        <f t="shared" si="433"/>
        <v>0</v>
      </c>
      <c r="AE221" s="54">
        <f t="shared" si="433"/>
        <v>-0.02</v>
      </c>
      <c r="AF221" s="54">
        <f t="shared" ref="AF221:AG221" si="434">ROUND(P221-X221,2)</f>
        <v>1</v>
      </c>
      <c r="AG221" s="54">
        <f t="shared" si="434"/>
        <v>1</v>
      </c>
      <c r="AH221" s="62"/>
      <c r="AI221" s="47"/>
      <c r="AJ221" s="47"/>
      <c r="AK221" s="47"/>
      <c r="AL221" s="47"/>
      <c r="AM221" s="47"/>
      <c r="AN221" s="47"/>
      <c r="AO221" s="47"/>
      <c r="AP221" s="52"/>
      <c r="AQ221" s="62"/>
      <c r="AR221" s="62"/>
      <c r="AS221" s="62"/>
      <c r="AT221" s="54"/>
      <c r="AU221" s="54"/>
      <c r="AV221" s="54"/>
      <c r="AW221" s="54"/>
      <c r="AX221" s="54"/>
      <c r="AY221" s="54"/>
      <c r="AZ221" s="54"/>
      <c r="BA221" s="57"/>
      <c r="BB221" s="57"/>
      <c r="BC221" s="57"/>
      <c r="BD221" s="57"/>
      <c r="BE221" s="59"/>
      <c r="BF221" s="68"/>
      <c r="BG221" s="69"/>
      <c r="BH221" s="69"/>
      <c r="BI221" s="69"/>
      <c r="BJ221" s="69"/>
      <c r="BK221" s="62"/>
      <c r="BL221" s="54"/>
      <c r="BM221" s="54"/>
      <c r="BN221" s="54"/>
      <c r="BO221" s="54"/>
      <c r="BP221" s="54"/>
    </row>
    <row r="222">
      <c r="A222" s="47">
        <v>218.0</v>
      </c>
      <c r="B222" s="101" t="s">
        <v>267</v>
      </c>
      <c r="C222" s="49" t="s">
        <v>258</v>
      </c>
      <c r="D222" s="106">
        <v>4.5</v>
      </c>
      <c r="E222" s="137"/>
      <c r="F222" s="106">
        <v>0.2</v>
      </c>
      <c r="G222" s="106">
        <v>0.0</v>
      </c>
      <c r="H222" s="106">
        <v>0.0</v>
      </c>
      <c r="I222" s="106">
        <v>0.0</v>
      </c>
      <c r="J222" s="107"/>
      <c r="K222" s="107"/>
      <c r="L222" s="107"/>
      <c r="M222" s="107"/>
      <c r="N222" s="107"/>
      <c r="O222" s="107"/>
      <c r="P222" s="52">
        <v>1.0</v>
      </c>
      <c r="Q222" s="52">
        <v>1.0</v>
      </c>
      <c r="R222" s="62"/>
      <c r="S222" s="54"/>
      <c r="T222" s="54"/>
      <c r="U222" s="47"/>
      <c r="V222" s="47">
        <v>0.05</v>
      </c>
      <c r="W222" s="54"/>
      <c r="X222" s="54"/>
      <c r="Y222" s="54"/>
      <c r="Z222" s="62"/>
      <c r="AA222" s="54">
        <f t="shared" ref="AA222:AE222" si="435">ROUND(E222*0.5+K222*0.5-S222,2)</f>
        <v>0</v>
      </c>
      <c r="AB222" s="54">
        <f t="shared" si="435"/>
        <v>0.1</v>
      </c>
      <c r="AC222" s="54">
        <f t="shared" si="435"/>
        <v>0</v>
      </c>
      <c r="AD222" s="54">
        <f t="shared" si="435"/>
        <v>-0.05</v>
      </c>
      <c r="AE222" s="54">
        <f t="shared" si="435"/>
        <v>0</v>
      </c>
      <c r="AF222" s="54">
        <f t="shared" ref="AF222:AG222" si="436">ROUND(P222-X222,2)</f>
        <v>1</v>
      </c>
      <c r="AG222" s="54">
        <f t="shared" si="436"/>
        <v>1</v>
      </c>
      <c r="AH222" s="62"/>
      <c r="AI222" s="47"/>
      <c r="AJ222" s="47"/>
      <c r="AK222" s="47"/>
      <c r="AL222" s="47"/>
      <c r="AM222" s="47"/>
      <c r="AN222" s="47"/>
      <c r="AO222" s="47"/>
      <c r="AP222" s="74"/>
      <c r="AQ222" s="62"/>
      <c r="AR222" s="62"/>
      <c r="AS222" s="62"/>
      <c r="AT222" s="54"/>
      <c r="AU222" s="54"/>
      <c r="AV222" s="54"/>
      <c r="AW222" s="54"/>
      <c r="AX222" s="54"/>
      <c r="AY222" s="54"/>
      <c r="AZ222" s="54"/>
      <c r="BA222" s="57"/>
      <c r="BB222" s="57"/>
      <c r="BC222" s="57"/>
      <c r="BD222" s="57"/>
      <c r="BE222" s="59"/>
      <c r="BF222" s="68"/>
      <c r="BG222" s="69"/>
      <c r="BH222" s="69"/>
      <c r="BI222" s="69"/>
      <c r="BJ222" s="69"/>
      <c r="BK222" s="62"/>
      <c r="BL222" s="54"/>
      <c r="BM222" s="54"/>
      <c r="BN222" s="54"/>
      <c r="BO222" s="54"/>
      <c r="BP222" s="54"/>
    </row>
    <row r="223">
      <c r="A223" s="47">
        <v>219.0</v>
      </c>
      <c r="B223" s="101" t="s">
        <v>268</v>
      </c>
      <c r="C223" s="49" t="s">
        <v>258</v>
      </c>
      <c r="D223" s="106">
        <v>3.33</v>
      </c>
      <c r="E223" s="106">
        <v>0.47</v>
      </c>
      <c r="F223" s="106">
        <v>0.2</v>
      </c>
      <c r="G223" s="106">
        <v>0.0</v>
      </c>
      <c r="H223" s="106">
        <v>0.0</v>
      </c>
      <c r="I223" s="106">
        <v>0.0</v>
      </c>
      <c r="J223" s="107"/>
      <c r="K223" s="107"/>
      <c r="L223" s="107"/>
      <c r="M223" s="107"/>
      <c r="N223" s="107"/>
      <c r="O223" s="107"/>
      <c r="P223" s="52">
        <v>1.0</v>
      </c>
      <c r="Q223" s="52">
        <v>1.0</v>
      </c>
      <c r="R223" s="62"/>
      <c r="S223" s="47">
        <v>0.19</v>
      </c>
      <c r="T223" s="54"/>
      <c r="U223" s="54"/>
      <c r="V223" s="54"/>
      <c r="W223" s="54"/>
      <c r="X223" s="54"/>
      <c r="Y223" s="54"/>
      <c r="Z223" s="62"/>
      <c r="AA223" s="54">
        <f t="shared" ref="AA223:AE223" si="437">ROUND(E223*0.5+K223*0.5-S223,2)</f>
        <v>0.05</v>
      </c>
      <c r="AB223" s="54">
        <f t="shared" si="437"/>
        <v>0.1</v>
      </c>
      <c r="AC223" s="54">
        <f t="shared" si="437"/>
        <v>0</v>
      </c>
      <c r="AD223" s="54">
        <f t="shared" si="437"/>
        <v>0</v>
      </c>
      <c r="AE223" s="54">
        <f t="shared" si="437"/>
        <v>0</v>
      </c>
      <c r="AF223" s="54">
        <f t="shared" ref="AF223:AG223" si="438">ROUND(P223-X223,2)</f>
        <v>1</v>
      </c>
      <c r="AG223" s="54">
        <f t="shared" si="438"/>
        <v>1</v>
      </c>
      <c r="AH223" s="62"/>
      <c r="AI223" s="47"/>
      <c r="AJ223" s="47"/>
      <c r="AK223" s="47"/>
      <c r="AL223" s="47"/>
      <c r="AM223" s="47"/>
      <c r="AN223" s="47"/>
      <c r="AO223" s="47"/>
      <c r="AP223" s="74"/>
      <c r="AQ223" s="62"/>
      <c r="AR223" s="62"/>
      <c r="AS223" s="62"/>
      <c r="AT223" s="54"/>
      <c r="AU223" s="54"/>
      <c r="AV223" s="54"/>
      <c r="AW223" s="54"/>
      <c r="AX223" s="54"/>
      <c r="AY223" s="54"/>
      <c r="AZ223" s="54"/>
      <c r="BA223" s="57"/>
      <c r="BB223" s="57"/>
      <c r="BC223" s="57"/>
      <c r="BD223" s="58"/>
      <c r="BE223" s="64"/>
      <c r="BF223" s="68"/>
      <c r="BG223" s="69"/>
      <c r="BH223" s="69"/>
      <c r="BI223" s="69"/>
      <c r="BJ223" s="69"/>
      <c r="BK223" s="62"/>
      <c r="BL223" s="54"/>
      <c r="BM223" s="54"/>
      <c r="BN223" s="54"/>
      <c r="BO223" s="54"/>
      <c r="BP223" s="54"/>
    </row>
    <row r="224">
      <c r="A224" s="47">
        <v>220.0</v>
      </c>
      <c r="B224" s="101" t="s">
        <v>269</v>
      </c>
      <c r="C224" s="49" t="s">
        <v>258</v>
      </c>
      <c r="D224" s="106">
        <v>3.0</v>
      </c>
      <c r="E224" s="106">
        <v>0.6</v>
      </c>
      <c r="F224" s="106">
        <v>0.0</v>
      </c>
      <c r="G224" s="106">
        <v>0.0</v>
      </c>
      <c r="H224" s="106">
        <v>0.2</v>
      </c>
      <c r="I224" s="106">
        <v>0.2</v>
      </c>
      <c r="J224" s="107"/>
      <c r="K224" s="107"/>
      <c r="L224" s="107"/>
      <c r="M224" s="107"/>
      <c r="N224" s="107"/>
      <c r="O224" s="107"/>
      <c r="P224" s="52">
        <v>1.0</v>
      </c>
      <c r="Q224" s="52">
        <v>1.0</v>
      </c>
      <c r="R224" s="62"/>
      <c r="S224" s="47">
        <v>0.49</v>
      </c>
      <c r="T224" s="54"/>
      <c r="U224" s="54"/>
      <c r="V224" s="47"/>
      <c r="W224" s="54"/>
      <c r="X224" s="47">
        <v>0.5</v>
      </c>
      <c r="Y224" s="47"/>
      <c r="Z224" s="62"/>
      <c r="AA224" s="54">
        <f t="shared" ref="AA224:AE224" si="439">ROUND(E224*0.5+K224*0.5-S224,2)</f>
        <v>-0.19</v>
      </c>
      <c r="AB224" s="54">
        <f t="shared" si="439"/>
        <v>0</v>
      </c>
      <c r="AC224" s="54">
        <f t="shared" si="439"/>
        <v>0</v>
      </c>
      <c r="AD224" s="54">
        <f t="shared" si="439"/>
        <v>0.1</v>
      </c>
      <c r="AE224" s="54">
        <f t="shared" si="439"/>
        <v>0.1</v>
      </c>
      <c r="AF224" s="54">
        <f t="shared" ref="AF224:AG224" si="440">ROUND(P224-X224,2)</f>
        <v>0.5</v>
      </c>
      <c r="AG224" s="54">
        <f t="shared" si="440"/>
        <v>1</v>
      </c>
      <c r="AH224" s="62"/>
      <c r="AI224" s="47"/>
      <c r="AJ224" s="47"/>
      <c r="AK224" s="47"/>
      <c r="AL224" s="47"/>
      <c r="AM224" s="47"/>
      <c r="AN224" s="47"/>
      <c r="AO224" s="47"/>
      <c r="AP224" s="52"/>
      <c r="AQ224" s="62"/>
      <c r="AR224" s="62"/>
      <c r="AS224" s="62"/>
      <c r="AT224" s="54"/>
      <c r="AU224" s="54"/>
      <c r="AV224" s="54"/>
      <c r="AW224" s="54"/>
      <c r="AX224" s="54"/>
      <c r="AY224" s="54"/>
      <c r="AZ224" s="54"/>
      <c r="BA224" s="57"/>
      <c r="BB224" s="57"/>
      <c r="BC224" s="57"/>
      <c r="BD224" s="58"/>
      <c r="BE224" s="64"/>
      <c r="BF224" s="68"/>
      <c r="BG224" s="69"/>
      <c r="BH224" s="69"/>
      <c r="BI224" s="69"/>
      <c r="BJ224" s="69"/>
      <c r="BK224" s="62"/>
      <c r="BL224" s="54"/>
      <c r="BM224" s="54"/>
      <c r="BN224" s="54"/>
      <c r="BO224" s="54"/>
      <c r="BP224" s="54"/>
    </row>
    <row r="225">
      <c r="A225" s="47">
        <v>221.0</v>
      </c>
      <c r="B225" s="138" t="s">
        <v>270</v>
      </c>
      <c r="C225" s="49" t="s">
        <v>258</v>
      </c>
      <c r="D225" s="106">
        <v>4.0</v>
      </c>
      <c r="E225" s="106">
        <v>0.47</v>
      </c>
      <c r="F225" s="106">
        <v>0.0</v>
      </c>
      <c r="G225" s="106">
        <v>0.2</v>
      </c>
      <c r="H225" s="106">
        <v>0.0</v>
      </c>
      <c r="I225" s="106">
        <v>0.0</v>
      </c>
      <c r="J225" s="107"/>
      <c r="K225" s="107"/>
      <c r="L225" s="107"/>
      <c r="M225" s="107"/>
      <c r="N225" s="107"/>
      <c r="O225" s="107"/>
      <c r="P225" s="52">
        <v>1.0</v>
      </c>
      <c r="Q225" s="52">
        <v>1.0</v>
      </c>
      <c r="R225" s="62"/>
      <c r="S225" s="54"/>
      <c r="T225" s="54"/>
      <c r="U225" s="47">
        <v>0.03</v>
      </c>
      <c r="V225" s="54"/>
      <c r="W225" s="54"/>
      <c r="X225" s="54"/>
      <c r="Y225" s="47"/>
      <c r="Z225" s="62"/>
      <c r="AA225" s="54">
        <f t="shared" ref="AA225:AE225" si="441">ROUND(E225*0.5+K225*0.5-S225,2)</f>
        <v>0.24</v>
      </c>
      <c r="AB225" s="54">
        <f t="shared" si="441"/>
        <v>0</v>
      </c>
      <c r="AC225" s="54">
        <f t="shared" si="441"/>
        <v>0.07</v>
      </c>
      <c r="AD225" s="54">
        <f t="shared" si="441"/>
        <v>0</v>
      </c>
      <c r="AE225" s="54">
        <f t="shared" si="441"/>
        <v>0</v>
      </c>
      <c r="AF225" s="54">
        <f t="shared" ref="AF225:AG225" si="442">ROUND(P225-X225,2)</f>
        <v>1</v>
      </c>
      <c r="AG225" s="54">
        <f t="shared" si="442"/>
        <v>1</v>
      </c>
      <c r="AH225" s="62"/>
      <c r="AI225" s="47"/>
      <c r="AJ225" s="47"/>
      <c r="AK225" s="47"/>
      <c r="AL225" s="47"/>
      <c r="AM225" s="47"/>
      <c r="AN225" s="47"/>
      <c r="AO225" s="47"/>
      <c r="AP225" s="52"/>
      <c r="AQ225" s="62"/>
      <c r="AR225" s="62"/>
      <c r="AS225" s="62"/>
      <c r="AT225" s="54"/>
      <c r="AU225" s="54"/>
      <c r="AV225" s="54"/>
      <c r="AW225" s="54"/>
      <c r="AX225" s="54"/>
      <c r="AY225" s="54"/>
      <c r="AZ225" s="54"/>
      <c r="BA225" s="57"/>
      <c r="BB225" s="57"/>
      <c r="BC225" s="57"/>
      <c r="BD225" s="57"/>
      <c r="BE225" s="59"/>
      <c r="BF225" s="68"/>
      <c r="BG225" s="69"/>
      <c r="BH225" s="69"/>
      <c r="BI225" s="69"/>
      <c r="BJ225" s="69"/>
      <c r="BK225" s="62"/>
      <c r="BL225" s="54"/>
      <c r="BM225" s="54"/>
      <c r="BN225" s="54"/>
      <c r="BO225" s="54"/>
      <c r="BP225" s="54"/>
    </row>
    <row r="226">
      <c r="A226" s="47">
        <v>222.0</v>
      </c>
      <c r="B226" s="123" t="s">
        <v>271</v>
      </c>
      <c r="C226" s="49" t="s">
        <v>258</v>
      </c>
      <c r="D226" s="106">
        <v>4.0</v>
      </c>
      <c r="E226" s="106">
        <v>0.0</v>
      </c>
      <c r="F226" s="106">
        <v>0.0</v>
      </c>
      <c r="G226" s="106">
        <v>0.0</v>
      </c>
      <c r="H226" s="106">
        <v>0.0</v>
      </c>
      <c r="I226" s="106">
        <v>0.0</v>
      </c>
      <c r="J226" s="107"/>
      <c r="K226" s="107"/>
      <c r="L226" s="107"/>
      <c r="M226" s="107"/>
      <c r="N226" s="107"/>
      <c r="O226" s="107"/>
      <c r="P226" s="52">
        <v>1.0</v>
      </c>
      <c r="Q226" s="52">
        <v>1.0</v>
      </c>
      <c r="R226" s="62"/>
      <c r="S226" s="54"/>
      <c r="T226" s="54"/>
      <c r="U226" s="47"/>
      <c r="V226" s="54"/>
      <c r="W226" s="54"/>
      <c r="X226" s="54"/>
      <c r="Y226" s="54"/>
      <c r="Z226" s="62"/>
      <c r="AA226" s="54">
        <f t="shared" ref="AA226:AE226" si="443">ROUND(E226*0.5+K226*0.5-S226,2)</f>
        <v>0</v>
      </c>
      <c r="AB226" s="54">
        <f t="shared" si="443"/>
        <v>0</v>
      </c>
      <c r="AC226" s="54">
        <f t="shared" si="443"/>
        <v>0</v>
      </c>
      <c r="AD226" s="54">
        <f t="shared" si="443"/>
        <v>0</v>
      </c>
      <c r="AE226" s="54">
        <f t="shared" si="443"/>
        <v>0</v>
      </c>
      <c r="AF226" s="54">
        <f t="shared" ref="AF226:AG226" si="444">ROUND(P226-X226,2)</f>
        <v>1</v>
      </c>
      <c r="AG226" s="54">
        <f t="shared" si="444"/>
        <v>1</v>
      </c>
      <c r="AH226" s="62"/>
      <c r="AI226" s="47"/>
      <c r="AJ226" s="47"/>
      <c r="AK226" s="47"/>
      <c r="AL226" s="47"/>
      <c r="AM226" s="47"/>
      <c r="AN226" s="47"/>
      <c r="AO226" s="47"/>
      <c r="AP226" s="52"/>
      <c r="AQ226" s="62"/>
      <c r="AR226" s="62"/>
      <c r="AS226" s="62"/>
      <c r="AT226" s="54"/>
      <c r="AU226" s="54"/>
      <c r="AV226" s="54"/>
      <c r="AW226" s="54"/>
      <c r="AX226" s="54"/>
      <c r="AY226" s="54"/>
      <c r="AZ226" s="54"/>
      <c r="BA226" s="57"/>
      <c r="BB226" s="57"/>
      <c r="BC226" s="57"/>
      <c r="BD226" s="58"/>
      <c r="BE226" s="64"/>
      <c r="BF226" s="68"/>
      <c r="BG226" s="69"/>
      <c r="BH226" s="69"/>
      <c r="BI226" s="69"/>
      <c r="BJ226" s="69"/>
      <c r="BK226" s="62"/>
      <c r="BL226" s="54"/>
      <c r="BM226" s="54"/>
      <c r="BN226" s="54"/>
      <c r="BO226" s="54"/>
      <c r="BP226" s="54"/>
    </row>
    <row r="227">
      <c r="A227" s="47">
        <v>223.0</v>
      </c>
      <c r="B227" s="101" t="s">
        <v>272</v>
      </c>
      <c r="C227" s="49" t="s">
        <v>258</v>
      </c>
      <c r="D227" s="106">
        <v>3.67</v>
      </c>
      <c r="E227" s="106">
        <v>0.47</v>
      </c>
      <c r="F227" s="106">
        <v>0.0</v>
      </c>
      <c r="G227" s="106">
        <v>0.2</v>
      </c>
      <c r="H227" s="106">
        <v>0.0</v>
      </c>
      <c r="I227" s="106">
        <v>0.0</v>
      </c>
      <c r="J227" s="107"/>
      <c r="K227" s="107"/>
      <c r="L227" s="107"/>
      <c r="M227" s="107"/>
      <c r="N227" s="107"/>
      <c r="O227" s="107"/>
      <c r="P227" s="52">
        <v>1.0</v>
      </c>
      <c r="Q227" s="52">
        <v>1.0</v>
      </c>
      <c r="R227" s="62"/>
      <c r="S227" s="47"/>
      <c r="T227" s="54"/>
      <c r="U227" s="47">
        <v>0.03</v>
      </c>
      <c r="V227" s="47"/>
      <c r="W227" s="54"/>
      <c r="X227" s="54"/>
      <c r="Y227" s="47"/>
      <c r="Z227" s="62"/>
      <c r="AA227" s="54">
        <f t="shared" ref="AA227:AE227" si="445">ROUND(E227*0.5+K227*0.5-S227,2)</f>
        <v>0.24</v>
      </c>
      <c r="AB227" s="54">
        <f t="shared" si="445"/>
        <v>0</v>
      </c>
      <c r="AC227" s="54">
        <f t="shared" si="445"/>
        <v>0.07</v>
      </c>
      <c r="AD227" s="54">
        <f t="shared" si="445"/>
        <v>0</v>
      </c>
      <c r="AE227" s="54">
        <f t="shared" si="445"/>
        <v>0</v>
      </c>
      <c r="AF227" s="54">
        <f t="shared" ref="AF227:AG227" si="446">ROUND(P227-X227,2)</f>
        <v>1</v>
      </c>
      <c r="AG227" s="54">
        <f t="shared" si="446"/>
        <v>1</v>
      </c>
      <c r="AH227" s="62"/>
      <c r="AI227" s="47"/>
      <c r="AJ227" s="47"/>
      <c r="AK227" s="47"/>
      <c r="AL227" s="47"/>
      <c r="AM227" s="47"/>
      <c r="AN227" s="47"/>
      <c r="AO227" s="47"/>
      <c r="AP227" s="52"/>
      <c r="AQ227" s="62"/>
      <c r="AR227" s="62"/>
      <c r="AS227" s="62"/>
      <c r="AT227" s="54"/>
      <c r="AU227" s="54"/>
      <c r="AV227" s="54"/>
      <c r="AW227" s="54"/>
      <c r="AX227" s="54"/>
      <c r="AY227" s="54"/>
      <c r="AZ227" s="54"/>
      <c r="BA227" s="57"/>
      <c r="BB227" s="58"/>
      <c r="BC227" s="57"/>
      <c r="BD227" s="57"/>
      <c r="BE227" s="59"/>
      <c r="BF227" s="60"/>
      <c r="BG227" s="61"/>
      <c r="BH227" s="61"/>
      <c r="BI227" s="61"/>
      <c r="BJ227" s="61"/>
      <c r="BK227" s="62"/>
      <c r="BL227" s="54"/>
      <c r="BM227" s="54"/>
      <c r="BN227" s="54"/>
      <c r="BO227" s="54"/>
      <c r="BP227" s="54"/>
    </row>
    <row r="228">
      <c r="A228" s="47">
        <v>224.0</v>
      </c>
      <c r="B228" s="139" t="s">
        <v>273</v>
      </c>
      <c r="C228" s="49" t="s">
        <v>274</v>
      </c>
      <c r="D228" s="140">
        <v>3.0</v>
      </c>
      <c r="E228" s="106">
        <v>0.0</v>
      </c>
      <c r="F228" s="106">
        <v>0.0</v>
      </c>
      <c r="G228" s="106">
        <v>0.0</v>
      </c>
      <c r="H228" s="106">
        <v>0.0</v>
      </c>
      <c r="I228" s="106">
        <v>0.0</v>
      </c>
      <c r="J228" s="107"/>
      <c r="K228" s="107"/>
      <c r="L228" s="107"/>
      <c r="M228" s="107"/>
      <c r="N228" s="107"/>
      <c r="O228" s="107"/>
      <c r="P228" s="52">
        <v>1.0</v>
      </c>
      <c r="Q228" s="52">
        <v>1.0</v>
      </c>
      <c r="R228" s="62"/>
      <c r="S228" s="54"/>
      <c r="T228" s="54"/>
      <c r="U228" s="54"/>
      <c r="V228" s="54"/>
      <c r="W228" s="54"/>
      <c r="X228" s="54"/>
      <c r="Y228" s="47"/>
      <c r="Z228" s="62"/>
      <c r="AA228" s="54">
        <f t="shared" ref="AA228:AE228" si="447">ROUND(E228*0.5+K228*0.5-S228,2)</f>
        <v>0</v>
      </c>
      <c r="AB228" s="54">
        <f t="shared" si="447"/>
        <v>0</v>
      </c>
      <c r="AC228" s="54">
        <f t="shared" si="447"/>
        <v>0</v>
      </c>
      <c r="AD228" s="54">
        <f t="shared" si="447"/>
        <v>0</v>
      </c>
      <c r="AE228" s="54">
        <f t="shared" si="447"/>
        <v>0</v>
      </c>
      <c r="AF228" s="54">
        <f t="shared" ref="AF228:AG228" si="448">ROUND(P228-X228,2)</f>
        <v>1</v>
      </c>
      <c r="AG228" s="54">
        <f t="shared" si="448"/>
        <v>1</v>
      </c>
      <c r="AH228" s="62"/>
      <c r="AI228" s="47"/>
      <c r="AJ228" s="47"/>
      <c r="AK228" s="47"/>
      <c r="AL228" s="47"/>
      <c r="AM228" s="47"/>
      <c r="AN228" s="47"/>
      <c r="AO228" s="47"/>
      <c r="AP228" s="52"/>
      <c r="AQ228" s="62"/>
      <c r="AR228" s="62"/>
      <c r="AS228" s="62"/>
      <c r="AT228" s="54"/>
      <c r="AU228" s="54"/>
      <c r="AV228" s="54"/>
      <c r="AW228" s="54"/>
      <c r="AX228" s="54"/>
      <c r="AY228" s="54"/>
      <c r="AZ228" s="54"/>
      <c r="BA228" s="57"/>
      <c r="BB228" s="58"/>
      <c r="BC228" s="57"/>
      <c r="BD228" s="57"/>
      <c r="BE228" s="59"/>
      <c r="BF228" s="60"/>
      <c r="BG228" s="61"/>
      <c r="BH228" s="61"/>
      <c r="BI228" s="61"/>
      <c r="BJ228" s="61"/>
      <c r="BK228" s="62"/>
      <c r="BL228" s="54"/>
      <c r="BM228" s="54"/>
      <c r="BN228" s="54"/>
      <c r="BO228" s="54"/>
      <c r="BP228" s="54"/>
    </row>
    <row r="229">
      <c r="A229" s="47">
        <v>225.0</v>
      </c>
      <c r="B229" s="139" t="s">
        <v>275</v>
      </c>
      <c r="C229" s="49" t="s">
        <v>274</v>
      </c>
      <c r="D229" s="106">
        <v>4.0</v>
      </c>
      <c r="E229" s="140">
        <v>0.4</v>
      </c>
      <c r="F229" s="137">
        <v>0.3</v>
      </c>
      <c r="G229" s="137">
        <v>0.3</v>
      </c>
      <c r="H229" s="106">
        <v>0.0</v>
      </c>
      <c r="I229" s="106">
        <v>0.0</v>
      </c>
      <c r="J229" s="107"/>
      <c r="K229" s="107"/>
      <c r="L229" s="107"/>
      <c r="M229" s="107"/>
      <c r="N229" s="107"/>
      <c r="O229" s="107"/>
      <c r="P229" s="52">
        <v>1.0</v>
      </c>
      <c r="Q229" s="52">
        <v>1.0</v>
      </c>
      <c r="R229" s="62"/>
      <c r="S229" s="54"/>
      <c r="T229" s="47">
        <v>0.1</v>
      </c>
      <c r="U229" s="54"/>
      <c r="V229" s="54"/>
      <c r="W229" s="54"/>
      <c r="X229" s="54"/>
      <c r="Y229" s="54"/>
      <c r="Z229" s="62"/>
      <c r="AA229" s="54">
        <f t="shared" ref="AA229:AE229" si="449">ROUND(E229*0.5+K229*0.5-S229,2)</f>
        <v>0.2</v>
      </c>
      <c r="AB229" s="54">
        <f t="shared" si="449"/>
        <v>0.05</v>
      </c>
      <c r="AC229" s="54">
        <f t="shared" si="449"/>
        <v>0.15</v>
      </c>
      <c r="AD229" s="54">
        <f t="shared" si="449"/>
        <v>0</v>
      </c>
      <c r="AE229" s="54">
        <f t="shared" si="449"/>
        <v>0</v>
      </c>
      <c r="AF229" s="54">
        <f t="shared" ref="AF229:AG229" si="450">ROUND(P229-X229,2)</f>
        <v>1</v>
      </c>
      <c r="AG229" s="54">
        <f t="shared" si="450"/>
        <v>1</v>
      </c>
      <c r="AH229" s="62"/>
      <c r="AI229" s="47"/>
      <c r="AJ229" s="47"/>
      <c r="AK229" s="47"/>
      <c r="AL229" s="47"/>
      <c r="AM229" s="47"/>
      <c r="AN229" s="47"/>
      <c r="AO229" s="47"/>
      <c r="AP229" s="52"/>
      <c r="AQ229" s="62"/>
      <c r="AR229" s="62"/>
      <c r="AS229" s="62"/>
      <c r="AT229" s="54"/>
      <c r="AU229" s="54"/>
      <c r="AV229" s="54"/>
      <c r="AW229" s="54"/>
      <c r="AX229" s="54"/>
      <c r="AY229" s="54"/>
      <c r="AZ229" s="54"/>
      <c r="BA229" s="57"/>
      <c r="BB229" s="58"/>
      <c r="BC229" s="57"/>
      <c r="BD229" s="57"/>
      <c r="BE229" s="59"/>
      <c r="BF229" s="60"/>
      <c r="BG229" s="61"/>
      <c r="BH229" s="61"/>
      <c r="BI229" s="61"/>
      <c r="BJ229" s="61"/>
      <c r="BK229" s="62"/>
      <c r="BL229" s="54"/>
      <c r="BM229" s="54"/>
      <c r="BN229" s="54"/>
      <c r="BO229" s="54"/>
      <c r="BP229" s="54"/>
    </row>
    <row r="230">
      <c r="A230" s="47">
        <v>226.0</v>
      </c>
      <c r="B230" s="139" t="s">
        <v>276</v>
      </c>
      <c r="C230" s="49" t="s">
        <v>274</v>
      </c>
      <c r="D230" s="106">
        <v>3.0</v>
      </c>
      <c r="E230" s="140">
        <v>0.45</v>
      </c>
      <c r="F230" s="137">
        <v>0.2</v>
      </c>
      <c r="G230" s="137">
        <v>0.2</v>
      </c>
      <c r="H230" s="137">
        <v>0.2</v>
      </c>
      <c r="I230" s="106">
        <v>0.0</v>
      </c>
      <c r="J230" s="107"/>
      <c r="K230" s="107"/>
      <c r="L230" s="107"/>
      <c r="M230" s="107"/>
      <c r="N230" s="107"/>
      <c r="O230" s="107"/>
      <c r="P230" s="52">
        <v>1.0</v>
      </c>
      <c r="Q230" s="52">
        <v>1.0</v>
      </c>
      <c r="R230" s="62"/>
      <c r="S230" s="54"/>
      <c r="T230" s="54"/>
      <c r="U230" s="54"/>
      <c r="V230" s="47">
        <v>0.14</v>
      </c>
      <c r="W230" s="54"/>
      <c r="X230" s="54"/>
      <c r="Y230" s="54"/>
      <c r="Z230" s="62"/>
      <c r="AA230" s="54">
        <f t="shared" ref="AA230:AE230" si="451">ROUND(E230*0.5+K230*0.5-S230,2)</f>
        <v>0.23</v>
      </c>
      <c r="AB230" s="54">
        <f t="shared" si="451"/>
        <v>0.1</v>
      </c>
      <c r="AC230" s="54">
        <f t="shared" si="451"/>
        <v>0.1</v>
      </c>
      <c r="AD230" s="54">
        <f t="shared" si="451"/>
        <v>-0.04</v>
      </c>
      <c r="AE230" s="54">
        <f t="shared" si="451"/>
        <v>0</v>
      </c>
      <c r="AF230" s="54">
        <f t="shared" ref="AF230:AG230" si="452">ROUND(P230-X230,2)</f>
        <v>1</v>
      </c>
      <c r="AG230" s="54">
        <f t="shared" si="452"/>
        <v>1</v>
      </c>
      <c r="AH230" s="62"/>
      <c r="AI230" s="47"/>
      <c r="AJ230" s="47"/>
      <c r="AK230" s="47"/>
      <c r="AL230" s="47"/>
      <c r="AM230" s="47"/>
      <c r="AN230" s="47"/>
      <c r="AO230" s="47"/>
      <c r="AP230" s="74"/>
      <c r="AQ230" s="62"/>
      <c r="AR230" s="62"/>
      <c r="AS230" s="62"/>
      <c r="AT230" s="54"/>
      <c r="AU230" s="54"/>
      <c r="AV230" s="54"/>
      <c r="AW230" s="54"/>
      <c r="AX230" s="54"/>
      <c r="AY230" s="54"/>
      <c r="AZ230" s="54"/>
      <c r="BA230" s="57"/>
      <c r="BB230" s="58"/>
      <c r="BC230" s="57"/>
      <c r="BD230" s="57"/>
      <c r="BE230" s="59"/>
      <c r="BF230" s="60"/>
      <c r="BG230" s="61"/>
      <c r="BH230" s="61"/>
      <c r="BI230" s="61"/>
      <c r="BJ230" s="61"/>
      <c r="BK230" s="62"/>
      <c r="BL230" s="54"/>
      <c r="BM230" s="54"/>
      <c r="BN230" s="54"/>
      <c r="BO230" s="54"/>
      <c r="BP230" s="54"/>
    </row>
    <row r="231">
      <c r="A231" s="47">
        <v>227.0</v>
      </c>
      <c r="B231" s="139" t="s">
        <v>277</v>
      </c>
      <c r="C231" s="49" t="s">
        <v>274</v>
      </c>
      <c r="D231" s="106">
        <v>3.3</v>
      </c>
      <c r="E231" s="140">
        <v>0.5</v>
      </c>
      <c r="F231" s="137">
        <v>0.2</v>
      </c>
      <c r="G231" s="106">
        <v>0.0</v>
      </c>
      <c r="H231" s="106">
        <v>0.0</v>
      </c>
      <c r="I231" s="106">
        <v>0.0</v>
      </c>
      <c r="J231" s="107"/>
      <c r="K231" s="107"/>
      <c r="L231" s="107"/>
      <c r="M231" s="107"/>
      <c r="N231" s="107"/>
      <c r="O231" s="107"/>
      <c r="P231" s="52">
        <v>1.0</v>
      </c>
      <c r="Q231" s="52">
        <v>1.0</v>
      </c>
      <c r="R231" s="62"/>
      <c r="S231" s="47">
        <v>0.11</v>
      </c>
      <c r="T231" s="54"/>
      <c r="U231" s="54"/>
      <c r="V231" s="47">
        <v>0.09</v>
      </c>
      <c r="W231" s="54"/>
      <c r="X231" s="54"/>
      <c r="Y231" s="47"/>
      <c r="Z231" s="62"/>
      <c r="AA231" s="54">
        <f t="shared" ref="AA231:AE231" si="453">ROUND(E231*0.5+K231*0.5-S231,2)</f>
        <v>0.14</v>
      </c>
      <c r="AB231" s="54">
        <f t="shared" si="453"/>
        <v>0.1</v>
      </c>
      <c r="AC231" s="54">
        <f t="shared" si="453"/>
        <v>0</v>
      </c>
      <c r="AD231" s="54">
        <f t="shared" si="453"/>
        <v>-0.09</v>
      </c>
      <c r="AE231" s="54">
        <f t="shared" si="453"/>
        <v>0</v>
      </c>
      <c r="AF231" s="54">
        <f t="shared" ref="AF231:AG231" si="454">ROUND(P231-X231,2)</f>
        <v>1</v>
      </c>
      <c r="AG231" s="54">
        <f t="shared" si="454"/>
        <v>1</v>
      </c>
      <c r="AH231" s="62"/>
      <c r="AI231" s="47"/>
      <c r="AJ231" s="47"/>
      <c r="AK231" s="47"/>
      <c r="AL231" s="47"/>
      <c r="AM231" s="47"/>
      <c r="AN231" s="47"/>
      <c r="AO231" s="47"/>
      <c r="AP231" s="74"/>
      <c r="AQ231" s="62"/>
      <c r="AR231" s="62"/>
      <c r="AS231" s="62"/>
      <c r="AT231" s="54"/>
      <c r="AU231" s="54"/>
      <c r="AV231" s="54"/>
      <c r="AW231" s="54"/>
      <c r="AX231" s="54"/>
      <c r="AY231" s="54"/>
      <c r="AZ231" s="54"/>
      <c r="BA231" s="57"/>
      <c r="BB231" s="57"/>
      <c r="BC231" s="57"/>
      <c r="BD231" s="57"/>
      <c r="BE231" s="59"/>
      <c r="BF231" s="60"/>
      <c r="BG231" s="61"/>
      <c r="BH231" s="61"/>
      <c r="BI231" s="61"/>
      <c r="BJ231" s="61"/>
      <c r="BK231" s="62"/>
      <c r="BL231" s="54"/>
      <c r="BM231" s="54"/>
      <c r="BN231" s="54"/>
      <c r="BO231" s="54"/>
      <c r="BP231" s="54"/>
    </row>
    <row r="232">
      <c r="A232" s="47">
        <v>228.0</v>
      </c>
      <c r="B232" s="139" t="s">
        <v>278</v>
      </c>
      <c r="C232" s="49" t="s">
        <v>274</v>
      </c>
      <c r="D232" s="106">
        <v>3.5</v>
      </c>
      <c r="E232" s="140">
        <v>0.35</v>
      </c>
      <c r="F232" s="106">
        <v>0.0</v>
      </c>
      <c r="G232" s="106">
        <v>0.0</v>
      </c>
      <c r="H232" s="106">
        <v>0.0</v>
      </c>
      <c r="I232" s="137">
        <v>0.15</v>
      </c>
      <c r="J232" s="107"/>
      <c r="K232" s="107"/>
      <c r="L232" s="107"/>
      <c r="M232" s="107"/>
      <c r="N232" s="107"/>
      <c r="O232" s="107"/>
      <c r="P232" s="52">
        <v>1.0</v>
      </c>
      <c r="Q232" s="52">
        <v>1.0</v>
      </c>
      <c r="R232" s="62"/>
      <c r="S232" s="47">
        <v>0.19</v>
      </c>
      <c r="T232" s="54"/>
      <c r="U232" s="54"/>
      <c r="V232" s="47">
        <v>0.01</v>
      </c>
      <c r="W232" s="54"/>
      <c r="X232" s="54"/>
      <c r="Y232" s="54"/>
      <c r="Z232" s="62"/>
      <c r="AA232" s="54">
        <f t="shared" ref="AA232:AE232" si="455">ROUND(E232*0.5+K232*0.5-S232,2)</f>
        <v>-0.02</v>
      </c>
      <c r="AB232" s="54">
        <f t="shared" si="455"/>
        <v>0</v>
      </c>
      <c r="AC232" s="54">
        <f t="shared" si="455"/>
        <v>0</v>
      </c>
      <c r="AD232" s="54">
        <f t="shared" si="455"/>
        <v>-0.01</v>
      </c>
      <c r="AE232" s="54">
        <f t="shared" si="455"/>
        <v>0.08</v>
      </c>
      <c r="AF232" s="54">
        <f t="shared" ref="AF232:AG232" si="456">ROUND(P232-X232,2)</f>
        <v>1</v>
      </c>
      <c r="AG232" s="54">
        <f t="shared" si="456"/>
        <v>1</v>
      </c>
      <c r="AH232" s="62"/>
      <c r="AI232" s="47"/>
      <c r="AJ232" s="47"/>
      <c r="AK232" s="47"/>
      <c r="AL232" s="47"/>
      <c r="AM232" s="47"/>
      <c r="AN232" s="47"/>
      <c r="AO232" s="47"/>
      <c r="AP232" s="52"/>
      <c r="AQ232" s="62"/>
      <c r="AR232" s="62"/>
      <c r="AS232" s="62"/>
      <c r="AT232" s="54"/>
      <c r="AU232" s="54"/>
      <c r="AV232" s="54"/>
      <c r="AW232" s="54"/>
      <c r="AX232" s="54"/>
      <c r="AY232" s="54"/>
      <c r="AZ232" s="54"/>
      <c r="BA232" s="57"/>
      <c r="BB232" s="58"/>
      <c r="BC232" s="57"/>
      <c r="BD232" s="57"/>
      <c r="BE232" s="59"/>
      <c r="BF232" s="68"/>
      <c r="BG232" s="69"/>
      <c r="BH232" s="69"/>
      <c r="BI232" s="69"/>
      <c r="BJ232" s="69"/>
      <c r="BK232" s="62"/>
      <c r="BL232" s="54"/>
      <c r="BM232" s="54"/>
      <c r="BN232" s="54"/>
      <c r="BO232" s="54"/>
      <c r="BP232" s="54"/>
    </row>
    <row r="233">
      <c r="A233" s="47">
        <v>229.0</v>
      </c>
      <c r="B233" s="139" t="s">
        <v>279</v>
      </c>
      <c r="C233" s="49" t="s">
        <v>274</v>
      </c>
      <c r="D233" s="141">
        <v>3.415</v>
      </c>
      <c r="E233" s="140">
        <v>0.8</v>
      </c>
      <c r="F233" s="106">
        <v>0.0</v>
      </c>
      <c r="G233" s="137">
        <v>0.2</v>
      </c>
      <c r="H233" s="137">
        <v>0.33</v>
      </c>
      <c r="I233" s="106">
        <v>0.0</v>
      </c>
      <c r="J233" s="107"/>
      <c r="K233" s="107"/>
      <c r="L233" s="107"/>
      <c r="M233" s="107"/>
      <c r="N233" s="107"/>
      <c r="O233" s="107"/>
      <c r="P233" s="52">
        <v>1.0</v>
      </c>
      <c r="Q233" s="52">
        <v>1.0</v>
      </c>
      <c r="R233" s="62"/>
      <c r="S233" s="47">
        <v>0.92</v>
      </c>
      <c r="T233" s="54"/>
      <c r="U233" s="54"/>
      <c r="V233" s="47">
        <v>0.01</v>
      </c>
      <c r="W233" s="54"/>
      <c r="X233" s="54"/>
      <c r="Y233" s="54"/>
      <c r="Z233" s="62"/>
      <c r="AA233" s="54">
        <f t="shared" ref="AA233:AE233" si="457">ROUND(E233*0.5+K233*0.5-S233,2)</f>
        <v>-0.52</v>
      </c>
      <c r="AB233" s="54">
        <f t="shared" si="457"/>
        <v>0</v>
      </c>
      <c r="AC233" s="54">
        <f t="shared" si="457"/>
        <v>0.1</v>
      </c>
      <c r="AD233" s="54">
        <f t="shared" si="457"/>
        <v>0.16</v>
      </c>
      <c r="AE233" s="54">
        <f t="shared" si="457"/>
        <v>0</v>
      </c>
      <c r="AF233" s="54">
        <f t="shared" ref="AF233:AG233" si="458">ROUND(P233-X233,2)</f>
        <v>1</v>
      </c>
      <c r="AG233" s="54">
        <f t="shared" si="458"/>
        <v>1</v>
      </c>
      <c r="AH233" s="62"/>
      <c r="AI233" s="47"/>
      <c r="AJ233" s="47"/>
      <c r="AK233" s="47"/>
      <c r="AL233" s="47"/>
      <c r="AM233" s="47"/>
      <c r="AN233" s="47"/>
      <c r="AO233" s="47"/>
      <c r="AP233" s="52"/>
      <c r="AQ233" s="62"/>
      <c r="AR233" s="62"/>
      <c r="AS233" s="62"/>
      <c r="AT233" s="54"/>
      <c r="AU233" s="54"/>
      <c r="AV233" s="54"/>
      <c r="AW233" s="54"/>
      <c r="AX233" s="54"/>
      <c r="AY233" s="54"/>
      <c r="AZ233" s="54"/>
      <c r="BA233" s="57"/>
      <c r="BB233" s="58"/>
      <c r="BC233" s="57"/>
      <c r="BD233" s="57"/>
      <c r="BE233" s="59"/>
      <c r="BF233" s="68"/>
      <c r="BG233" s="69"/>
      <c r="BH233" s="69"/>
      <c r="BI233" s="69"/>
      <c r="BJ233" s="69"/>
      <c r="BK233" s="62"/>
      <c r="BL233" s="54"/>
      <c r="BM233" s="54"/>
      <c r="BN233" s="54"/>
      <c r="BO233" s="54"/>
      <c r="BP233" s="54"/>
    </row>
    <row r="234">
      <c r="A234" s="47">
        <v>230.0</v>
      </c>
      <c r="B234" s="139" t="s">
        <v>280</v>
      </c>
      <c r="C234" s="49" t="s">
        <v>274</v>
      </c>
      <c r="D234" s="106">
        <v>3.5</v>
      </c>
      <c r="E234" s="140">
        <v>0.3</v>
      </c>
      <c r="F234" s="106">
        <v>0.0</v>
      </c>
      <c r="G234" s="106">
        <v>0.0</v>
      </c>
      <c r="H234" s="106">
        <v>0.0</v>
      </c>
      <c r="I234" s="137">
        <v>0.2</v>
      </c>
      <c r="J234" s="107"/>
      <c r="K234" s="107"/>
      <c r="L234" s="107"/>
      <c r="M234" s="107"/>
      <c r="N234" s="107"/>
      <c r="O234" s="107"/>
      <c r="P234" s="52">
        <v>1.0</v>
      </c>
      <c r="Q234" s="52">
        <v>1.0</v>
      </c>
      <c r="R234" s="62"/>
      <c r="S234" s="54"/>
      <c r="T234" s="54"/>
      <c r="U234" s="54"/>
      <c r="V234" s="54"/>
      <c r="W234" s="54"/>
      <c r="X234" s="54"/>
      <c r="Y234" s="54"/>
      <c r="Z234" s="62"/>
      <c r="AA234" s="54">
        <f t="shared" ref="AA234:AE234" si="459">ROUND(E234*0.5+K234*0.5-S234,2)</f>
        <v>0.15</v>
      </c>
      <c r="AB234" s="54">
        <f t="shared" si="459"/>
        <v>0</v>
      </c>
      <c r="AC234" s="54">
        <f t="shared" si="459"/>
        <v>0</v>
      </c>
      <c r="AD234" s="54">
        <f t="shared" si="459"/>
        <v>0</v>
      </c>
      <c r="AE234" s="54">
        <f t="shared" si="459"/>
        <v>0.1</v>
      </c>
      <c r="AF234" s="54">
        <f t="shared" ref="AF234:AG234" si="460">ROUND(P234-X234,2)</f>
        <v>1</v>
      </c>
      <c r="AG234" s="54">
        <f t="shared" si="460"/>
        <v>1</v>
      </c>
      <c r="AH234" s="62"/>
      <c r="AI234" s="47"/>
      <c r="AJ234" s="47"/>
      <c r="AK234" s="47"/>
      <c r="AL234" s="47"/>
      <c r="AM234" s="47"/>
      <c r="AN234" s="47"/>
      <c r="AO234" s="47"/>
      <c r="AP234" s="52"/>
      <c r="AQ234" s="62"/>
      <c r="AR234" s="62"/>
      <c r="AS234" s="62"/>
      <c r="AT234" s="54"/>
      <c r="AU234" s="54"/>
      <c r="AV234" s="54"/>
      <c r="AW234" s="54"/>
      <c r="AX234" s="54"/>
      <c r="AY234" s="54"/>
      <c r="AZ234" s="54"/>
      <c r="BA234" s="57"/>
      <c r="BB234" s="58"/>
      <c r="BC234" s="57"/>
      <c r="BD234" s="57"/>
      <c r="BE234" s="59"/>
      <c r="BF234" s="60"/>
      <c r="BG234" s="61"/>
      <c r="BH234" s="61"/>
      <c r="BI234" s="61"/>
      <c r="BJ234" s="61"/>
      <c r="BK234" s="62"/>
      <c r="BL234" s="54"/>
      <c r="BM234" s="54"/>
      <c r="BN234" s="54"/>
      <c r="BO234" s="54"/>
      <c r="BP234" s="54"/>
    </row>
    <row r="235">
      <c r="A235" s="47">
        <v>231.0</v>
      </c>
      <c r="B235" s="123" t="s">
        <v>281</v>
      </c>
      <c r="C235" s="49" t="s">
        <v>282</v>
      </c>
      <c r="D235" s="106">
        <v>2.66</v>
      </c>
      <c r="E235" s="106">
        <v>0.0</v>
      </c>
      <c r="F235" s="106">
        <v>0.0</v>
      </c>
      <c r="G235" s="106">
        <v>0.0</v>
      </c>
      <c r="H235" s="106">
        <v>0.34</v>
      </c>
      <c r="I235" s="106">
        <v>0.0</v>
      </c>
      <c r="J235" s="107"/>
      <c r="K235" s="107"/>
      <c r="L235" s="107"/>
      <c r="M235" s="107"/>
      <c r="N235" s="107"/>
      <c r="O235" s="107"/>
      <c r="P235" s="52">
        <v>1.0</v>
      </c>
      <c r="Q235" s="52">
        <v>1.0</v>
      </c>
      <c r="R235" s="62"/>
      <c r="S235" s="54"/>
      <c r="T235" s="54"/>
      <c r="U235" s="54"/>
      <c r="V235" s="54"/>
      <c r="W235" s="54"/>
      <c r="X235" s="54"/>
      <c r="Y235" s="54"/>
      <c r="Z235" s="62"/>
      <c r="AA235" s="54">
        <f t="shared" ref="AA235:AE235" si="461">ROUND(E235*0.5+K235*0.5-S235,2)</f>
        <v>0</v>
      </c>
      <c r="AB235" s="54">
        <f t="shared" si="461"/>
        <v>0</v>
      </c>
      <c r="AC235" s="54">
        <f t="shared" si="461"/>
        <v>0</v>
      </c>
      <c r="AD235" s="54">
        <f t="shared" si="461"/>
        <v>0.17</v>
      </c>
      <c r="AE235" s="54">
        <f t="shared" si="461"/>
        <v>0</v>
      </c>
      <c r="AF235" s="54">
        <f t="shared" ref="AF235:AG235" si="462">ROUND(P235-X235,2)</f>
        <v>1</v>
      </c>
      <c r="AG235" s="54">
        <f t="shared" si="462"/>
        <v>1</v>
      </c>
      <c r="AH235" s="62"/>
      <c r="AI235" s="47"/>
      <c r="AJ235" s="47"/>
      <c r="AK235" s="47"/>
      <c r="AL235" s="47"/>
      <c r="AM235" s="47"/>
      <c r="AN235" s="47"/>
      <c r="AO235" s="47"/>
      <c r="AP235" s="74"/>
      <c r="AQ235" s="62"/>
      <c r="AR235" s="62"/>
      <c r="AS235" s="62"/>
      <c r="AT235" s="54"/>
      <c r="AU235" s="54"/>
      <c r="AV235" s="54"/>
      <c r="AW235" s="54"/>
      <c r="AX235" s="54"/>
      <c r="AY235" s="54"/>
      <c r="AZ235" s="54"/>
      <c r="BA235" s="57"/>
      <c r="BB235" s="58"/>
      <c r="BC235" s="57"/>
      <c r="BD235" s="57"/>
      <c r="BE235" s="59"/>
      <c r="BF235" s="60"/>
      <c r="BG235" s="61"/>
      <c r="BH235" s="61"/>
      <c r="BI235" s="61"/>
      <c r="BJ235" s="61"/>
      <c r="BK235" s="62"/>
      <c r="BL235" s="54"/>
      <c r="BM235" s="54"/>
      <c r="BN235" s="54"/>
      <c r="BO235" s="54"/>
      <c r="BP235" s="54"/>
    </row>
    <row r="236">
      <c r="A236" s="47">
        <v>232.0</v>
      </c>
      <c r="B236" s="138" t="s">
        <v>283</v>
      </c>
      <c r="C236" s="49" t="s">
        <v>282</v>
      </c>
      <c r="D236" s="106">
        <v>3.0</v>
      </c>
      <c r="E236" s="106">
        <v>0.8</v>
      </c>
      <c r="F236" s="106">
        <v>0.2</v>
      </c>
      <c r="G236" s="106">
        <v>0.0</v>
      </c>
      <c r="H236" s="106">
        <v>0.0</v>
      </c>
      <c r="I236" s="106">
        <v>0.0</v>
      </c>
      <c r="J236" s="107"/>
      <c r="K236" s="107"/>
      <c r="L236" s="107"/>
      <c r="M236" s="107"/>
      <c r="N236" s="107"/>
      <c r="O236" s="107"/>
      <c r="P236" s="52">
        <v>1.0</v>
      </c>
      <c r="Q236" s="52">
        <v>1.0</v>
      </c>
      <c r="R236" s="62"/>
      <c r="S236" s="54"/>
      <c r="T236" s="54"/>
      <c r="U236" s="47">
        <v>0.06</v>
      </c>
      <c r="V236" s="47">
        <v>0.07</v>
      </c>
      <c r="X236" s="54"/>
      <c r="Y236" s="54"/>
      <c r="Z236" s="62"/>
      <c r="AA236" s="54">
        <f t="shared" ref="AA236:AE236" si="463">ROUND(E236*0.5+K236*0.5-S236,2)</f>
        <v>0.4</v>
      </c>
      <c r="AB236" s="54">
        <f t="shared" si="463"/>
        <v>0.1</v>
      </c>
      <c r="AC236" s="54">
        <f t="shared" si="463"/>
        <v>-0.06</v>
      </c>
      <c r="AD236" s="54">
        <f t="shared" si="463"/>
        <v>-0.07</v>
      </c>
      <c r="AE236" s="54">
        <f t="shared" si="463"/>
        <v>0</v>
      </c>
      <c r="AF236" s="54">
        <f t="shared" ref="AF236:AG236" si="464">ROUND(P236-X236,2)</f>
        <v>1</v>
      </c>
      <c r="AG236" s="54">
        <f t="shared" si="464"/>
        <v>1</v>
      </c>
      <c r="AH236" s="62"/>
      <c r="AI236" s="47"/>
      <c r="AJ236" s="47"/>
      <c r="AK236" s="47"/>
      <c r="AL236" s="47"/>
      <c r="AM236" s="47"/>
      <c r="AN236" s="47"/>
      <c r="AO236" s="47"/>
      <c r="AP236" s="52"/>
      <c r="AQ236" s="62"/>
      <c r="AR236" s="62"/>
      <c r="AS236" s="62"/>
      <c r="AT236" s="54"/>
      <c r="AU236" s="54"/>
      <c r="AV236" s="54"/>
      <c r="AW236" s="54"/>
      <c r="AX236" s="54"/>
      <c r="AY236" s="54"/>
      <c r="AZ236" s="54"/>
      <c r="BA236" s="57"/>
      <c r="BB236" s="58"/>
      <c r="BC236" s="57"/>
      <c r="BD236" s="57"/>
      <c r="BE236" s="59"/>
      <c r="BF236" s="60"/>
      <c r="BG236" s="61"/>
      <c r="BH236" s="61"/>
      <c r="BI236" s="61"/>
      <c r="BJ236" s="61"/>
      <c r="BK236" s="62"/>
      <c r="BL236" s="54"/>
      <c r="BM236" s="54"/>
      <c r="BN236" s="54"/>
      <c r="BO236" s="54"/>
      <c r="BP236" s="54"/>
    </row>
    <row r="237">
      <c r="A237" s="47">
        <v>233.0</v>
      </c>
      <c r="B237" s="123" t="s">
        <v>284</v>
      </c>
      <c r="C237" s="49" t="s">
        <v>282</v>
      </c>
      <c r="D237" s="106">
        <v>3.33</v>
      </c>
      <c r="E237" s="106">
        <v>0.67</v>
      </c>
      <c r="F237" s="106">
        <v>0.0</v>
      </c>
      <c r="G237" s="106">
        <v>0.0</v>
      </c>
      <c r="H237" s="106">
        <v>0.0</v>
      </c>
      <c r="I237" s="106">
        <v>0.0</v>
      </c>
      <c r="J237" s="107"/>
      <c r="K237" s="107"/>
      <c r="L237" s="107"/>
      <c r="M237" s="107"/>
      <c r="N237" s="107"/>
      <c r="O237" s="107"/>
      <c r="P237" s="52">
        <v>1.0</v>
      </c>
      <c r="Q237" s="52">
        <v>1.0</v>
      </c>
      <c r="R237" s="62"/>
      <c r="S237" s="47">
        <v>0.17</v>
      </c>
      <c r="T237" s="54"/>
      <c r="U237" s="54"/>
      <c r="V237" s="54"/>
      <c r="W237" s="54"/>
      <c r="X237" s="54"/>
      <c r="Y237" s="54"/>
      <c r="Z237" s="62"/>
      <c r="AA237" s="54">
        <f t="shared" ref="AA237:AE237" si="465">ROUND(E237*0.5+K237*0.5-S237,2)</f>
        <v>0.17</v>
      </c>
      <c r="AB237" s="54">
        <f t="shared" si="465"/>
        <v>0</v>
      </c>
      <c r="AC237" s="54">
        <f t="shared" si="465"/>
        <v>0</v>
      </c>
      <c r="AD237" s="54">
        <f t="shared" si="465"/>
        <v>0</v>
      </c>
      <c r="AE237" s="54">
        <f t="shared" si="465"/>
        <v>0</v>
      </c>
      <c r="AF237" s="54">
        <f t="shared" ref="AF237:AG237" si="466">ROUND(P237-X237,2)</f>
        <v>1</v>
      </c>
      <c r="AG237" s="54">
        <f t="shared" si="466"/>
        <v>1</v>
      </c>
      <c r="AH237" s="62"/>
      <c r="AI237" s="47"/>
      <c r="AJ237" s="47"/>
      <c r="AK237" s="47"/>
      <c r="AL237" s="47"/>
      <c r="AM237" s="47"/>
      <c r="AN237" s="47"/>
      <c r="AO237" s="47"/>
      <c r="AP237" s="52"/>
      <c r="AQ237" s="62"/>
      <c r="AR237" s="62"/>
      <c r="AS237" s="62"/>
      <c r="AT237" s="54"/>
      <c r="AU237" s="54"/>
      <c r="AV237" s="54"/>
      <c r="AW237" s="54"/>
      <c r="AX237" s="54"/>
      <c r="AY237" s="54"/>
      <c r="AZ237" s="54"/>
      <c r="BA237" s="57"/>
      <c r="BB237" s="58"/>
      <c r="BC237" s="57"/>
      <c r="BD237" s="57"/>
      <c r="BE237" s="59"/>
      <c r="BF237" s="60"/>
      <c r="BG237" s="61"/>
      <c r="BH237" s="61"/>
      <c r="BI237" s="61"/>
      <c r="BJ237" s="61"/>
      <c r="BK237" s="62"/>
      <c r="BL237" s="54"/>
      <c r="BM237" s="54"/>
      <c r="BN237" s="54"/>
      <c r="BO237" s="54"/>
      <c r="BP237" s="54"/>
    </row>
    <row r="238">
      <c r="A238" s="47">
        <v>234.0</v>
      </c>
      <c r="B238" s="123" t="s">
        <v>285</v>
      </c>
      <c r="C238" s="49" t="s">
        <v>282</v>
      </c>
      <c r="D238" s="106">
        <v>3.5</v>
      </c>
      <c r="E238" s="106">
        <v>0.0</v>
      </c>
      <c r="F238" s="106">
        <v>0.0</v>
      </c>
      <c r="G238" s="106">
        <v>0.0</v>
      </c>
      <c r="H238" s="106">
        <v>0.6</v>
      </c>
      <c r="I238" s="106">
        <v>0.4</v>
      </c>
      <c r="J238" s="107"/>
      <c r="K238" s="107"/>
      <c r="L238" s="107"/>
      <c r="M238" s="107"/>
      <c r="N238" s="107"/>
      <c r="O238" s="107"/>
      <c r="P238" s="52">
        <v>1.0</v>
      </c>
      <c r="Q238" s="52">
        <v>1.0</v>
      </c>
      <c r="R238" s="62"/>
      <c r="S238" s="47"/>
      <c r="T238" s="54"/>
      <c r="U238" s="54"/>
      <c r="V238" s="54"/>
      <c r="W238" s="54"/>
      <c r="X238" s="47"/>
      <c r="Y238" s="54"/>
      <c r="Z238" s="62"/>
      <c r="AA238" s="54">
        <f t="shared" ref="AA238:AE238" si="467">ROUND(E238*0.5+K238*0.5-S238,2)</f>
        <v>0</v>
      </c>
      <c r="AB238" s="54">
        <f t="shared" si="467"/>
        <v>0</v>
      </c>
      <c r="AC238" s="54">
        <f t="shared" si="467"/>
        <v>0</v>
      </c>
      <c r="AD238" s="54">
        <f t="shared" si="467"/>
        <v>0.3</v>
      </c>
      <c r="AE238" s="54">
        <f t="shared" si="467"/>
        <v>0.2</v>
      </c>
      <c r="AF238" s="54">
        <f t="shared" ref="AF238:AG238" si="468">ROUND(P238-X238,2)</f>
        <v>1</v>
      </c>
      <c r="AG238" s="54">
        <f t="shared" si="468"/>
        <v>1</v>
      </c>
      <c r="AH238" s="62"/>
      <c r="AI238" s="47"/>
      <c r="AJ238" s="47"/>
      <c r="AK238" s="47"/>
      <c r="AL238" s="47"/>
      <c r="AM238" s="47"/>
      <c r="AN238" s="47"/>
      <c r="AO238" s="47"/>
      <c r="AP238" s="52"/>
      <c r="AQ238" s="62"/>
      <c r="AR238" s="62"/>
      <c r="AS238" s="62"/>
      <c r="AT238" s="54"/>
      <c r="AU238" s="54"/>
      <c r="AV238" s="54"/>
      <c r="AW238" s="54"/>
      <c r="AX238" s="54"/>
      <c r="AY238" s="54"/>
      <c r="AZ238" s="54"/>
      <c r="BA238" s="57"/>
      <c r="BB238" s="58"/>
      <c r="BC238" s="57"/>
      <c r="BD238" s="58"/>
      <c r="BE238" s="64"/>
      <c r="BF238" s="60"/>
      <c r="BG238" s="61"/>
      <c r="BH238" s="61"/>
      <c r="BI238" s="61"/>
      <c r="BJ238" s="61"/>
      <c r="BK238" s="62"/>
      <c r="BL238" s="54"/>
      <c r="BM238" s="54"/>
      <c r="BN238" s="54"/>
      <c r="BO238" s="54"/>
      <c r="BP238" s="54"/>
    </row>
    <row r="239">
      <c r="A239" s="47">
        <v>235.0</v>
      </c>
      <c r="B239" s="123" t="s">
        <v>286</v>
      </c>
      <c r="C239" s="49" t="s">
        <v>282</v>
      </c>
      <c r="D239" s="106">
        <v>3.56</v>
      </c>
      <c r="E239" s="106">
        <v>0.0</v>
      </c>
      <c r="F239" s="106">
        <v>0.24</v>
      </c>
      <c r="G239" s="106">
        <v>0.2</v>
      </c>
      <c r="H239" s="106">
        <v>0.0</v>
      </c>
      <c r="I239" s="106">
        <v>0.0</v>
      </c>
      <c r="J239" s="107"/>
      <c r="K239" s="107"/>
      <c r="L239" s="107"/>
      <c r="M239" s="107"/>
      <c r="N239" s="107"/>
      <c r="O239" s="107"/>
      <c r="P239" s="52">
        <v>1.0</v>
      </c>
      <c r="Q239" s="52">
        <v>1.0</v>
      </c>
      <c r="R239" s="62"/>
      <c r="S239" s="54"/>
      <c r="T239" s="54"/>
      <c r="U239" s="54"/>
      <c r="V239" s="54"/>
      <c r="W239" s="54"/>
      <c r="X239" s="54"/>
      <c r="Y239" s="54"/>
      <c r="Z239" s="62"/>
      <c r="AA239" s="54">
        <f t="shared" ref="AA239:AE239" si="469">ROUND(E239*0.5+K239*0.5-S239,2)</f>
        <v>0</v>
      </c>
      <c r="AB239" s="54">
        <f t="shared" si="469"/>
        <v>0.12</v>
      </c>
      <c r="AC239" s="54">
        <f t="shared" si="469"/>
        <v>0.1</v>
      </c>
      <c r="AD239" s="54">
        <f t="shared" si="469"/>
        <v>0</v>
      </c>
      <c r="AE239" s="54">
        <f t="shared" si="469"/>
        <v>0</v>
      </c>
      <c r="AF239" s="54">
        <f t="shared" ref="AF239:AG239" si="470">ROUND(P239-X239,2)</f>
        <v>1</v>
      </c>
      <c r="AG239" s="54">
        <f t="shared" si="470"/>
        <v>1</v>
      </c>
      <c r="AH239" s="62"/>
      <c r="AI239" s="47"/>
      <c r="AJ239" s="47"/>
      <c r="AK239" s="47"/>
      <c r="AL239" s="47"/>
      <c r="AM239" s="47"/>
      <c r="AN239" s="47"/>
      <c r="AO239" s="47"/>
      <c r="AP239" s="52"/>
      <c r="AQ239" s="62"/>
      <c r="AR239" s="62"/>
      <c r="AS239" s="62"/>
      <c r="AT239" s="54"/>
      <c r="AU239" s="54"/>
      <c r="AV239" s="54"/>
      <c r="AW239" s="54"/>
      <c r="AX239" s="54"/>
      <c r="AY239" s="54"/>
      <c r="AZ239" s="54"/>
      <c r="BA239" s="57"/>
      <c r="BB239" s="58"/>
      <c r="BC239" s="57"/>
      <c r="BD239" s="57"/>
      <c r="BE239" s="59"/>
      <c r="BF239" s="60"/>
      <c r="BG239" s="61"/>
      <c r="BH239" s="61"/>
      <c r="BI239" s="61"/>
      <c r="BJ239" s="61"/>
      <c r="BK239" s="62"/>
      <c r="BL239" s="54"/>
      <c r="BM239" s="54"/>
      <c r="BN239" s="54"/>
      <c r="BO239" s="54"/>
      <c r="BP239" s="54"/>
    </row>
    <row r="240">
      <c r="A240" s="47">
        <v>236.0</v>
      </c>
      <c r="B240" s="123" t="s">
        <v>287</v>
      </c>
      <c r="C240" s="49" t="s">
        <v>282</v>
      </c>
      <c r="D240" s="106">
        <v>3.33</v>
      </c>
      <c r="E240" s="106">
        <v>0.27</v>
      </c>
      <c r="F240" s="106">
        <v>0.2</v>
      </c>
      <c r="G240" s="106">
        <v>0.2</v>
      </c>
      <c r="H240" s="106">
        <v>0.0</v>
      </c>
      <c r="I240" s="106">
        <v>0.0</v>
      </c>
      <c r="J240" s="107"/>
      <c r="K240" s="107"/>
      <c r="L240" s="107"/>
      <c r="M240" s="107"/>
      <c r="N240" s="107"/>
      <c r="O240" s="107"/>
      <c r="P240" s="52">
        <v>1.0</v>
      </c>
      <c r="Q240" s="52">
        <v>1.0</v>
      </c>
      <c r="R240" s="62"/>
      <c r="S240" s="47">
        <v>0.7</v>
      </c>
      <c r="T240" s="54"/>
      <c r="U240" s="54"/>
      <c r="V240" s="47">
        <v>0.16</v>
      </c>
      <c r="W240" s="54"/>
      <c r="X240" s="54"/>
      <c r="Y240" s="47">
        <v>1.0</v>
      </c>
      <c r="Z240" s="62"/>
      <c r="AA240" s="54">
        <f t="shared" ref="AA240:AE240" si="471">ROUND(E240*0.5+K240*0.5-S240,2)</f>
        <v>-0.57</v>
      </c>
      <c r="AB240" s="54">
        <f t="shared" si="471"/>
        <v>0.1</v>
      </c>
      <c r="AC240" s="54">
        <f t="shared" si="471"/>
        <v>0.1</v>
      </c>
      <c r="AD240" s="54">
        <f t="shared" si="471"/>
        <v>-0.16</v>
      </c>
      <c r="AE240" s="54">
        <f t="shared" si="471"/>
        <v>0</v>
      </c>
      <c r="AF240" s="54">
        <f t="shared" ref="AF240:AG240" si="472">ROUND(P240-X240,2)</f>
        <v>1</v>
      </c>
      <c r="AG240" s="54">
        <f t="shared" si="472"/>
        <v>0</v>
      </c>
      <c r="AH240" s="62"/>
      <c r="AI240" s="47"/>
      <c r="AJ240" s="47"/>
      <c r="AK240" s="47"/>
      <c r="AL240" s="47"/>
      <c r="AM240" s="47"/>
      <c r="AN240" s="47"/>
      <c r="AO240" s="47"/>
      <c r="AP240" s="52"/>
      <c r="AQ240" s="62"/>
      <c r="AR240" s="62"/>
      <c r="AS240" s="62"/>
      <c r="AT240" s="54"/>
      <c r="AU240" s="54"/>
      <c r="AV240" s="54"/>
      <c r="AW240" s="54"/>
      <c r="AX240" s="54"/>
      <c r="AY240" s="54"/>
      <c r="AZ240" s="54"/>
      <c r="BA240" s="57"/>
      <c r="BB240" s="58"/>
      <c r="BC240" s="57"/>
      <c r="BD240" s="57"/>
      <c r="BE240" s="59"/>
      <c r="BF240" s="60"/>
      <c r="BG240" s="61"/>
      <c r="BH240" s="61"/>
      <c r="BI240" s="61"/>
      <c r="BJ240" s="61"/>
      <c r="BK240" s="62"/>
      <c r="BL240" s="54"/>
      <c r="BM240" s="54"/>
      <c r="BN240" s="54"/>
      <c r="BO240" s="54"/>
      <c r="BP240" s="54"/>
    </row>
    <row r="241">
      <c r="A241" s="47">
        <v>237.0</v>
      </c>
      <c r="B241" s="123" t="s">
        <v>288</v>
      </c>
      <c r="C241" s="49" t="s">
        <v>282</v>
      </c>
      <c r="D241" s="106">
        <v>3.33</v>
      </c>
      <c r="E241" s="106">
        <v>0.67</v>
      </c>
      <c r="F241" s="106">
        <v>0.0</v>
      </c>
      <c r="G241" s="106">
        <v>0.0</v>
      </c>
      <c r="H241" s="106">
        <v>0.0</v>
      </c>
      <c r="I241" s="106">
        <v>0.0</v>
      </c>
      <c r="J241" s="107"/>
      <c r="K241" s="107"/>
      <c r="L241" s="107"/>
      <c r="M241" s="107"/>
      <c r="N241" s="107"/>
      <c r="O241" s="107"/>
      <c r="P241" s="52">
        <v>1.0</v>
      </c>
      <c r="Q241" s="52">
        <v>1.0</v>
      </c>
      <c r="R241" s="142"/>
      <c r="S241" s="54"/>
      <c r="T241" s="54"/>
      <c r="U241" s="54"/>
      <c r="V241" s="54"/>
      <c r="W241" s="54"/>
      <c r="X241" s="47"/>
      <c r="Y241" s="47">
        <v>0.33</v>
      </c>
      <c r="Z241" s="62"/>
      <c r="AA241" s="54">
        <f t="shared" ref="AA241:AE241" si="473">ROUND(E241*0.5+K241*0.5-S241,2)</f>
        <v>0.34</v>
      </c>
      <c r="AB241" s="54">
        <f t="shared" si="473"/>
        <v>0</v>
      </c>
      <c r="AC241" s="54">
        <f t="shared" si="473"/>
        <v>0</v>
      </c>
      <c r="AD241" s="54">
        <f t="shared" si="473"/>
        <v>0</v>
      </c>
      <c r="AE241" s="54">
        <f t="shared" si="473"/>
        <v>0</v>
      </c>
      <c r="AF241" s="54">
        <f t="shared" ref="AF241:AG241" si="474">ROUND(P241-X241,2)</f>
        <v>1</v>
      </c>
      <c r="AG241" s="54">
        <f t="shared" si="474"/>
        <v>0.67</v>
      </c>
      <c r="AH241" s="62"/>
      <c r="AI241" s="47"/>
      <c r="AJ241" s="47"/>
      <c r="AK241" s="47"/>
      <c r="AL241" s="47"/>
      <c r="AM241" s="47"/>
      <c r="AN241" s="47"/>
      <c r="AO241" s="47"/>
      <c r="AP241" s="52"/>
      <c r="AQ241" s="62"/>
      <c r="AR241" s="62"/>
      <c r="AS241" s="62"/>
      <c r="AT241" s="54"/>
      <c r="AU241" s="54"/>
      <c r="AV241" s="54"/>
      <c r="AW241" s="54"/>
      <c r="AX241" s="54"/>
      <c r="AY241" s="54"/>
      <c r="AZ241" s="54"/>
      <c r="BA241" s="57"/>
      <c r="BB241" s="58"/>
      <c r="BC241" s="57"/>
      <c r="BD241" s="57"/>
      <c r="BE241" s="59"/>
      <c r="BF241" s="68"/>
      <c r="BG241" s="69"/>
      <c r="BH241" s="69"/>
      <c r="BI241" s="69"/>
      <c r="BJ241" s="69"/>
      <c r="BK241" s="142"/>
      <c r="BL241" s="54"/>
      <c r="BM241" s="54"/>
      <c r="BN241" s="54"/>
      <c r="BO241" s="54"/>
      <c r="BP241" s="54"/>
    </row>
    <row r="242">
      <c r="A242" s="47">
        <v>238.0</v>
      </c>
      <c r="B242" s="143" t="s">
        <v>289</v>
      </c>
      <c r="C242" s="49" t="s">
        <v>282</v>
      </c>
      <c r="D242" s="106">
        <v>2.33</v>
      </c>
      <c r="E242" s="106">
        <v>1.07</v>
      </c>
      <c r="F242" s="106">
        <v>0.2</v>
      </c>
      <c r="G242" s="106">
        <v>0.4</v>
      </c>
      <c r="H242" s="106">
        <v>0.0</v>
      </c>
      <c r="I242" s="106">
        <v>0.0</v>
      </c>
      <c r="J242" s="107"/>
      <c r="K242" s="107"/>
      <c r="L242" s="107"/>
      <c r="M242" s="107"/>
      <c r="N242" s="107"/>
      <c r="O242" s="107"/>
      <c r="P242" s="52">
        <v>1.0</v>
      </c>
      <c r="Q242" s="52">
        <v>1.0</v>
      </c>
      <c r="R242" s="96"/>
      <c r="S242" s="54"/>
      <c r="T242" s="54"/>
      <c r="U242" s="54"/>
      <c r="V242" s="54"/>
      <c r="W242" s="54"/>
      <c r="X242" s="54"/>
      <c r="Y242" s="47">
        <v>1.0</v>
      </c>
      <c r="Z242" s="142"/>
      <c r="AA242" s="54">
        <f t="shared" ref="AA242:AE242" si="475">ROUND(E242*0.5+K242*0.5-S242,2)</f>
        <v>0.54</v>
      </c>
      <c r="AB242" s="54">
        <f t="shared" si="475"/>
        <v>0.1</v>
      </c>
      <c r="AC242" s="54">
        <f t="shared" si="475"/>
        <v>0.2</v>
      </c>
      <c r="AD242" s="54">
        <f t="shared" si="475"/>
        <v>0</v>
      </c>
      <c r="AE242" s="54">
        <f t="shared" si="475"/>
        <v>0</v>
      </c>
      <c r="AF242" s="54">
        <f t="shared" ref="AF242:AG242" si="476">ROUND(P242-X242,2)</f>
        <v>1</v>
      </c>
      <c r="AG242" s="54">
        <f t="shared" si="476"/>
        <v>0</v>
      </c>
      <c r="AH242" s="142"/>
      <c r="AI242" s="54"/>
      <c r="AJ242" s="54"/>
      <c r="AK242" s="54"/>
      <c r="AL242" s="54"/>
      <c r="AM242" s="54"/>
      <c r="AN242" s="54"/>
      <c r="AO242" s="54"/>
      <c r="AP242" s="144"/>
      <c r="AQ242" s="142"/>
      <c r="AR242" s="142"/>
      <c r="AS242" s="142"/>
      <c r="AT242" s="54"/>
      <c r="AU242" s="54"/>
      <c r="AV242" s="54"/>
      <c r="AW242" s="54"/>
      <c r="AX242" s="54"/>
      <c r="AY242" s="54"/>
      <c r="AZ242" s="54"/>
      <c r="BA242" s="57"/>
      <c r="BB242" s="57"/>
      <c r="BC242" s="57"/>
      <c r="BD242" s="57"/>
      <c r="BE242" s="59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</row>
    <row r="243">
      <c r="A243" s="96"/>
      <c r="B243" s="145"/>
      <c r="C243" s="146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8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148"/>
      <c r="AQ243" s="96"/>
      <c r="AR243" s="149"/>
      <c r="AS243" s="59"/>
      <c r="AT243" s="96"/>
      <c r="AU243" s="96"/>
      <c r="AV243" s="96"/>
      <c r="AW243" s="96"/>
      <c r="AX243" s="96"/>
      <c r="AY243" s="96"/>
      <c r="AZ243" s="96"/>
      <c r="BA243" s="59"/>
      <c r="BB243" s="59"/>
      <c r="BC243" s="59"/>
      <c r="BD243" s="59"/>
      <c r="BE243" s="59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</row>
    <row r="244">
      <c r="A244" s="96"/>
      <c r="B244" s="145"/>
      <c r="C244" s="146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8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148"/>
      <c r="AQ244" s="96"/>
      <c r="AR244" s="149"/>
      <c r="AS244" s="59"/>
      <c r="AT244" s="96"/>
      <c r="AU244" s="96"/>
      <c r="AV244" s="96"/>
      <c r="AW244" s="96"/>
      <c r="AX244" s="96"/>
      <c r="AY244" s="96"/>
      <c r="AZ244" s="96"/>
      <c r="BA244" s="59"/>
      <c r="BB244" s="59"/>
      <c r="BC244" s="59"/>
      <c r="BD244" s="59"/>
      <c r="BE244" s="59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</row>
    <row r="245">
      <c r="A245" s="96"/>
      <c r="B245" s="145"/>
      <c r="C245" s="146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8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148"/>
      <c r="AQ245" s="96"/>
      <c r="AR245" s="149"/>
      <c r="AS245" s="59"/>
      <c r="AT245" s="96"/>
      <c r="AU245" s="96"/>
      <c r="AV245" s="96"/>
      <c r="AW245" s="96"/>
      <c r="AX245" s="96"/>
      <c r="AY245" s="96"/>
      <c r="AZ245" s="96"/>
      <c r="BA245" s="59"/>
      <c r="BB245" s="59"/>
      <c r="BC245" s="59"/>
      <c r="BD245" s="59"/>
      <c r="BE245" s="59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</row>
    <row r="246">
      <c r="A246" s="96"/>
      <c r="B246" s="145"/>
      <c r="C246" s="146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8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148"/>
      <c r="AQ246" s="96"/>
      <c r="AR246" s="149"/>
      <c r="AS246" s="59"/>
      <c r="AT246" s="96"/>
      <c r="AU246" s="96"/>
      <c r="AV246" s="96"/>
      <c r="AW246" s="96"/>
      <c r="AX246" s="96"/>
      <c r="AY246" s="96"/>
      <c r="AZ246" s="96"/>
      <c r="BA246" s="59"/>
      <c r="BB246" s="59"/>
      <c r="BC246" s="59"/>
      <c r="BD246" s="59"/>
      <c r="BE246" s="59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</row>
    <row r="247">
      <c r="A247" s="96"/>
      <c r="B247" s="145"/>
      <c r="C247" s="146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8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148"/>
      <c r="AQ247" s="96"/>
      <c r="AR247" s="149"/>
      <c r="AS247" s="59"/>
      <c r="AT247" s="96"/>
      <c r="AU247" s="96"/>
      <c r="AV247" s="96"/>
      <c r="AW247" s="96"/>
      <c r="AX247" s="96"/>
      <c r="AY247" s="96"/>
      <c r="AZ247" s="96"/>
      <c r="BA247" s="59"/>
      <c r="BB247" s="59"/>
      <c r="BC247" s="59"/>
      <c r="BD247" s="59"/>
      <c r="BE247" s="59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</row>
    <row r="248">
      <c r="A248" s="96"/>
      <c r="B248" s="145"/>
      <c r="C248" s="146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8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148"/>
      <c r="AQ248" s="96"/>
      <c r="AR248" s="149"/>
      <c r="AS248" s="59"/>
      <c r="AT248" s="96"/>
      <c r="AU248" s="96"/>
      <c r="AV248" s="96"/>
      <c r="AW248" s="96"/>
      <c r="AX248" s="96"/>
      <c r="AY248" s="96"/>
      <c r="AZ248" s="96"/>
      <c r="BA248" s="59"/>
      <c r="BB248" s="59"/>
      <c r="BC248" s="59"/>
      <c r="BD248" s="59"/>
      <c r="BE248" s="59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</row>
    <row r="249">
      <c r="A249" s="96"/>
      <c r="B249" s="145"/>
      <c r="C249" s="146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8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148"/>
      <c r="AQ249" s="96"/>
      <c r="AR249" s="149"/>
      <c r="AS249" s="59"/>
      <c r="AT249" s="96"/>
      <c r="AU249" s="96"/>
      <c r="AV249" s="96"/>
      <c r="AW249" s="96"/>
      <c r="AX249" s="96"/>
      <c r="AY249" s="96"/>
      <c r="AZ249" s="96"/>
      <c r="BA249" s="59"/>
      <c r="BB249" s="59"/>
      <c r="BC249" s="59"/>
      <c r="BD249" s="59"/>
      <c r="BE249" s="59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</row>
    <row r="250">
      <c r="A250" s="96"/>
      <c r="B250" s="145"/>
      <c r="C250" s="146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8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148"/>
      <c r="AQ250" s="96"/>
      <c r="AR250" s="149"/>
      <c r="AS250" s="59"/>
      <c r="AT250" s="96"/>
      <c r="AU250" s="96"/>
      <c r="AV250" s="96"/>
      <c r="AW250" s="96"/>
      <c r="AX250" s="96"/>
      <c r="AY250" s="96"/>
      <c r="AZ250" s="96"/>
      <c r="BA250" s="59"/>
      <c r="BB250" s="59"/>
      <c r="BC250" s="59"/>
      <c r="BD250" s="59"/>
      <c r="BE250" s="59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</row>
    <row r="251">
      <c r="A251" s="96"/>
      <c r="B251" s="145"/>
      <c r="C251" s="146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8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148"/>
      <c r="AQ251" s="96"/>
      <c r="AR251" s="149"/>
      <c r="AS251" s="59"/>
      <c r="AT251" s="96"/>
      <c r="AU251" s="96"/>
      <c r="AV251" s="96"/>
      <c r="AW251" s="96"/>
      <c r="AX251" s="96"/>
      <c r="AY251" s="96"/>
      <c r="AZ251" s="96"/>
      <c r="BA251" s="59"/>
      <c r="BB251" s="59"/>
      <c r="BC251" s="59"/>
      <c r="BD251" s="59"/>
      <c r="BE251" s="59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</row>
    <row r="252">
      <c r="A252" s="96"/>
      <c r="B252" s="145"/>
      <c r="C252" s="146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8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148"/>
      <c r="AQ252" s="96"/>
      <c r="AR252" s="149"/>
      <c r="AS252" s="59"/>
      <c r="AT252" s="96"/>
      <c r="AU252" s="96"/>
      <c r="AV252" s="96"/>
      <c r="AW252" s="96"/>
      <c r="AX252" s="96"/>
      <c r="AY252" s="96"/>
      <c r="AZ252" s="96"/>
      <c r="BA252" s="59"/>
      <c r="BB252" s="59"/>
      <c r="BC252" s="59"/>
      <c r="BD252" s="59"/>
      <c r="BE252" s="59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</row>
    <row r="253">
      <c r="A253" s="96"/>
      <c r="B253" s="145"/>
      <c r="C253" s="146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8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148"/>
      <c r="AQ253" s="96"/>
      <c r="AR253" s="149"/>
      <c r="AS253" s="59"/>
      <c r="AT253" s="96"/>
      <c r="AU253" s="96"/>
      <c r="AV253" s="96"/>
      <c r="AW253" s="96"/>
      <c r="AX253" s="96"/>
      <c r="AY253" s="96"/>
      <c r="AZ253" s="96"/>
      <c r="BA253" s="59"/>
      <c r="BB253" s="59"/>
      <c r="BC253" s="59"/>
      <c r="BD253" s="59"/>
      <c r="BE253" s="59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</row>
    <row r="254">
      <c r="A254" s="96"/>
      <c r="B254" s="145"/>
      <c r="C254" s="146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8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148"/>
      <c r="AQ254" s="96"/>
      <c r="AR254" s="149"/>
      <c r="AS254" s="59"/>
      <c r="AT254" s="96"/>
      <c r="AU254" s="96"/>
      <c r="AV254" s="96"/>
      <c r="AW254" s="96"/>
      <c r="AX254" s="96"/>
      <c r="AY254" s="96"/>
      <c r="AZ254" s="96"/>
      <c r="BA254" s="59"/>
      <c r="BB254" s="59"/>
      <c r="BC254" s="59"/>
      <c r="BD254" s="59"/>
      <c r="BE254" s="59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</row>
    <row r="255">
      <c r="A255" s="96"/>
      <c r="B255" s="145"/>
      <c r="C255" s="146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8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148"/>
      <c r="AQ255" s="96"/>
      <c r="AR255" s="149"/>
      <c r="AS255" s="59"/>
      <c r="AT255" s="96"/>
      <c r="AU255" s="96"/>
      <c r="AV255" s="96"/>
      <c r="AW255" s="96"/>
      <c r="AX255" s="96"/>
      <c r="AY255" s="96"/>
      <c r="AZ255" s="96"/>
      <c r="BA255" s="59"/>
      <c r="BB255" s="59"/>
      <c r="BC255" s="59"/>
      <c r="BD255" s="59"/>
      <c r="BE255" s="59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</row>
    <row r="256">
      <c r="A256" s="96"/>
      <c r="B256" s="145"/>
      <c r="C256" s="146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8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148"/>
      <c r="AQ256" s="96"/>
      <c r="AR256" s="149"/>
      <c r="AS256" s="59"/>
      <c r="AT256" s="96"/>
      <c r="AU256" s="96"/>
      <c r="AV256" s="96"/>
      <c r="AW256" s="96"/>
      <c r="AX256" s="96"/>
      <c r="AY256" s="96"/>
      <c r="AZ256" s="96"/>
      <c r="BA256" s="59"/>
      <c r="BB256" s="59"/>
      <c r="BC256" s="59"/>
      <c r="BD256" s="59"/>
      <c r="BE256" s="59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</row>
    <row r="257">
      <c r="A257" s="96"/>
      <c r="B257" s="145"/>
      <c r="C257" s="146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8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148"/>
      <c r="AQ257" s="96"/>
      <c r="AR257" s="149"/>
      <c r="AS257" s="59"/>
      <c r="AT257" s="96"/>
      <c r="AU257" s="96"/>
      <c r="AV257" s="96"/>
      <c r="AW257" s="96"/>
      <c r="AX257" s="96"/>
      <c r="AY257" s="96"/>
      <c r="AZ257" s="96"/>
      <c r="BA257" s="59"/>
      <c r="BB257" s="59"/>
      <c r="BC257" s="59"/>
      <c r="BD257" s="59"/>
      <c r="BE257" s="59"/>
      <c r="BF257" s="96"/>
      <c r="BG257" s="96"/>
      <c r="BH257" s="96"/>
      <c r="BI257" s="96"/>
      <c r="BJ257" s="96"/>
      <c r="BK257" s="96"/>
      <c r="BL257" s="96"/>
      <c r="BM257" s="96"/>
      <c r="BN257" s="96"/>
      <c r="BO257" s="96"/>
      <c r="BP257" s="96"/>
    </row>
    <row r="258">
      <c r="A258" s="96"/>
      <c r="B258" s="145"/>
      <c r="C258" s="146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8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148"/>
      <c r="AQ258" s="96"/>
      <c r="AR258" s="149"/>
      <c r="AS258" s="59"/>
      <c r="AT258" s="96"/>
      <c r="AU258" s="96"/>
      <c r="AV258" s="96"/>
      <c r="AW258" s="96"/>
      <c r="AX258" s="96"/>
      <c r="AY258" s="96"/>
      <c r="AZ258" s="96"/>
      <c r="BA258" s="59"/>
      <c r="BB258" s="59"/>
      <c r="BC258" s="59"/>
      <c r="BD258" s="59"/>
      <c r="BE258" s="59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</row>
    <row r="259">
      <c r="A259" s="96"/>
      <c r="B259" s="145"/>
      <c r="C259" s="146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8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148"/>
      <c r="AQ259" s="96"/>
      <c r="AR259" s="149"/>
      <c r="AS259" s="59"/>
      <c r="AT259" s="96"/>
      <c r="AU259" s="96"/>
      <c r="AV259" s="96"/>
      <c r="AW259" s="96"/>
      <c r="AX259" s="96"/>
      <c r="AY259" s="96"/>
      <c r="AZ259" s="96"/>
      <c r="BA259" s="59"/>
      <c r="BB259" s="59"/>
      <c r="BC259" s="59"/>
      <c r="BD259" s="59"/>
      <c r="BE259" s="59"/>
      <c r="BF259" s="96"/>
      <c r="BG259" s="96"/>
      <c r="BH259" s="96"/>
      <c r="BI259" s="96"/>
      <c r="BJ259" s="96"/>
      <c r="BK259" s="96"/>
      <c r="BL259" s="96"/>
      <c r="BM259" s="96"/>
      <c r="BN259" s="96"/>
      <c r="BO259" s="96"/>
      <c r="BP259" s="96"/>
    </row>
    <row r="260">
      <c r="A260" s="96"/>
      <c r="B260" s="145"/>
      <c r="C260" s="146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8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148"/>
      <c r="AQ260" s="96"/>
      <c r="AR260" s="149"/>
      <c r="AS260" s="59"/>
      <c r="AT260" s="96"/>
      <c r="AU260" s="96"/>
      <c r="AV260" s="96"/>
      <c r="AW260" s="96"/>
      <c r="AX260" s="96"/>
      <c r="AY260" s="96"/>
      <c r="AZ260" s="96"/>
      <c r="BA260" s="59"/>
      <c r="BB260" s="59"/>
      <c r="BC260" s="59"/>
      <c r="BD260" s="59"/>
      <c r="BE260" s="59"/>
      <c r="BF260" s="96"/>
      <c r="BG260" s="96"/>
      <c r="BH260" s="96"/>
      <c r="BI260" s="96"/>
      <c r="BJ260" s="96"/>
      <c r="BK260" s="96"/>
      <c r="BL260" s="96"/>
      <c r="BM260" s="96"/>
      <c r="BN260" s="96"/>
      <c r="BO260" s="96"/>
      <c r="BP260" s="96"/>
    </row>
    <row r="261">
      <c r="A261" s="96"/>
      <c r="B261" s="145"/>
      <c r="C261" s="146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8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148"/>
      <c r="AQ261" s="96"/>
      <c r="AR261" s="149"/>
      <c r="AS261" s="59"/>
      <c r="AT261" s="96"/>
      <c r="AU261" s="96"/>
      <c r="AV261" s="96"/>
      <c r="AW261" s="96"/>
      <c r="AX261" s="96"/>
      <c r="AY261" s="96"/>
      <c r="AZ261" s="96"/>
      <c r="BA261" s="59"/>
      <c r="BB261" s="59"/>
      <c r="BC261" s="59"/>
      <c r="BD261" s="59"/>
      <c r="BE261" s="59"/>
      <c r="BF261" s="96"/>
      <c r="BG261" s="96"/>
      <c r="BH261" s="96"/>
      <c r="BI261" s="96"/>
      <c r="BJ261" s="96"/>
      <c r="BK261" s="96"/>
      <c r="BL261" s="96"/>
      <c r="BM261" s="96"/>
      <c r="BN261" s="96"/>
      <c r="BO261" s="96"/>
      <c r="BP261" s="96"/>
    </row>
    <row r="262">
      <c r="A262" s="96"/>
      <c r="B262" s="145"/>
      <c r="C262" s="146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8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148"/>
      <c r="AQ262" s="96"/>
      <c r="AR262" s="149"/>
      <c r="AS262" s="59"/>
      <c r="AT262" s="96"/>
      <c r="AU262" s="96"/>
      <c r="AV262" s="96"/>
      <c r="AW262" s="96"/>
      <c r="AX262" s="96"/>
      <c r="AY262" s="96"/>
      <c r="AZ262" s="96"/>
      <c r="BA262" s="59"/>
      <c r="BB262" s="59"/>
      <c r="BC262" s="59"/>
      <c r="BD262" s="59"/>
      <c r="BE262" s="59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</row>
    <row r="263">
      <c r="A263" s="96"/>
      <c r="B263" s="145"/>
      <c r="C263" s="146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8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148"/>
      <c r="AQ263" s="96"/>
      <c r="AR263" s="149"/>
      <c r="AS263" s="59"/>
      <c r="AT263" s="96"/>
      <c r="AU263" s="96"/>
      <c r="AV263" s="96"/>
      <c r="AW263" s="96"/>
      <c r="AX263" s="96"/>
      <c r="AY263" s="96"/>
      <c r="AZ263" s="96"/>
      <c r="BA263" s="59"/>
      <c r="BB263" s="59"/>
      <c r="BC263" s="59"/>
      <c r="BD263" s="59"/>
      <c r="BE263" s="59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</row>
    <row r="264">
      <c r="A264" s="96"/>
      <c r="B264" s="145"/>
      <c r="C264" s="146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8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148"/>
      <c r="AQ264" s="96"/>
      <c r="AR264" s="149"/>
      <c r="AS264" s="59"/>
      <c r="AT264" s="96"/>
      <c r="AU264" s="96"/>
      <c r="AV264" s="96"/>
      <c r="AW264" s="96"/>
      <c r="AX264" s="96"/>
      <c r="AY264" s="96"/>
      <c r="AZ264" s="96"/>
      <c r="BA264" s="59"/>
      <c r="BB264" s="59"/>
      <c r="BC264" s="59"/>
      <c r="BD264" s="59"/>
      <c r="BE264" s="59"/>
      <c r="BF264" s="96"/>
      <c r="BG264" s="96"/>
      <c r="BH264" s="96"/>
      <c r="BI264" s="96"/>
      <c r="BJ264" s="96"/>
      <c r="BK264" s="96"/>
      <c r="BL264" s="96"/>
      <c r="BM264" s="96"/>
      <c r="BN264" s="96"/>
      <c r="BO264" s="96"/>
      <c r="BP264" s="96"/>
    </row>
    <row r="265">
      <c r="A265" s="96"/>
      <c r="B265" s="145"/>
      <c r="C265" s="146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8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148"/>
      <c r="AQ265" s="96"/>
      <c r="AR265" s="149"/>
      <c r="AS265" s="59"/>
      <c r="AT265" s="96"/>
      <c r="AU265" s="96"/>
      <c r="AV265" s="96"/>
      <c r="AW265" s="96"/>
      <c r="AX265" s="96"/>
      <c r="AY265" s="96"/>
      <c r="AZ265" s="96"/>
      <c r="BA265" s="59"/>
      <c r="BB265" s="59"/>
      <c r="BC265" s="59"/>
      <c r="BD265" s="59"/>
      <c r="BE265" s="59"/>
      <c r="BF265" s="96"/>
      <c r="BG265" s="96"/>
      <c r="BH265" s="96"/>
      <c r="BI265" s="96"/>
      <c r="BJ265" s="96"/>
      <c r="BK265" s="96"/>
      <c r="BL265" s="96"/>
      <c r="BM265" s="96"/>
      <c r="BN265" s="96"/>
      <c r="BO265" s="96"/>
      <c r="BP265" s="96"/>
    </row>
    <row r="266">
      <c r="A266" s="96"/>
      <c r="B266" s="145"/>
      <c r="C266" s="146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8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148"/>
      <c r="AQ266" s="96"/>
      <c r="AR266" s="149"/>
      <c r="AS266" s="59"/>
      <c r="AT266" s="96"/>
      <c r="AU266" s="96"/>
      <c r="AV266" s="96"/>
      <c r="AW266" s="96"/>
      <c r="AX266" s="96"/>
      <c r="AY266" s="96"/>
      <c r="AZ266" s="96"/>
      <c r="BA266" s="59"/>
      <c r="BB266" s="59"/>
      <c r="BC266" s="59"/>
      <c r="BD266" s="59"/>
      <c r="BE266" s="59"/>
      <c r="BF266" s="96"/>
      <c r="BG266" s="96"/>
      <c r="BH266" s="96"/>
      <c r="BI266" s="96"/>
      <c r="BJ266" s="96"/>
      <c r="BK266" s="96"/>
      <c r="BL266" s="96"/>
      <c r="BM266" s="96"/>
      <c r="BN266" s="96"/>
      <c r="BO266" s="96"/>
      <c r="BP266" s="96"/>
    </row>
    <row r="267">
      <c r="A267" s="96"/>
      <c r="B267" s="145"/>
      <c r="C267" s="146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8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148"/>
      <c r="AQ267" s="96"/>
      <c r="AR267" s="149"/>
      <c r="AS267" s="59"/>
      <c r="AT267" s="96"/>
      <c r="AU267" s="96"/>
      <c r="AV267" s="96"/>
      <c r="AW267" s="96"/>
      <c r="AX267" s="96"/>
      <c r="AY267" s="96"/>
      <c r="AZ267" s="96"/>
      <c r="BA267" s="59"/>
      <c r="BB267" s="59"/>
      <c r="BC267" s="59"/>
      <c r="BD267" s="59"/>
      <c r="BE267" s="59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/>
      <c r="BP267" s="96"/>
    </row>
    <row r="268">
      <c r="A268" s="96"/>
      <c r="B268" s="145"/>
      <c r="C268" s="146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8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148"/>
      <c r="AQ268" s="96"/>
      <c r="AR268" s="149"/>
      <c r="AS268" s="59"/>
      <c r="AT268" s="96"/>
      <c r="AU268" s="96"/>
      <c r="AV268" s="96"/>
      <c r="AW268" s="96"/>
      <c r="AX268" s="96"/>
      <c r="AY268" s="96"/>
      <c r="AZ268" s="96"/>
      <c r="BA268" s="59"/>
      <c r="BB268" s="59"/>
      <c r="BC268" s="59"/>
      <c r="BD268" s="59"/>
      <c r="BE268" s="59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</row>
    <row r="269">
      <c r="A269" s="96"/>
      <c r="B269" s="145"/>
      <c r="C269" s="146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8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148"/>
      <c r="AQ269" s="96"/>
      <c r="AR269" s="149"/>
      <c r="AS269" s="59"/>
      <c r="AT269" s="96"/>
      <c r="AU269" s="96"/>
      <c r="AV269" s="96"/>
      <c r="AW269" s="96"/>
      <c r="AX269" s="96"/>
      <c r="AY269" s="96"/>
      <c r="AZ269" s="96"/>
      <c r="BA269" s="59"/>
      <c r="BB269" s="59"/>
      <c r="BC269" s="59"/>
      <c r="BD269" s="59"/>
      <c r="BE269" s="59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</row>
    <row r="270">
      <c r="A270" s="96"/>
      <c r="B270" s="145"/>
      <c r="C270" s="146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8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148"/>
      <c r="AQ270" s="96"/>
      <c r="AR270" s="149"/>
      <c r="AS270" s="59"/>
      <c r="AT270" s="96"/>
      <c r="AU270" s="96"/>
      <c r="AV270" s="96"/>
      <c r="AW270" s="96"/>
      <c r="AX270" s="96"/>
      <c r="AY270" s="96"/>
      <c r="AZ270" s="96"/>
      <c r="BA270" s="59"/>
      <c r="BB270" s="59"/>
      <c r="BC270" s="59"/>
      <c r="BD270" s="59"/>
      <c r="BE270" s="59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</row>
    <row r="271">
      <c r="A271" s="96"/>
      <c r="B271" s="145"/>
      <c r="C271" s="146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8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148"/>
      <c r="AQ271" s="96"/>
      <c r="AR271" s="149"/>
      <c r="AS271" s="59"/>
      <c r="AT271" s="96"/>
      <c r="AU271" s="96"/>
      <c r="AV271" s="96"/>
      <c r="AW271" s="96"/>
      <c r="AX271" s="96"/>
      <c r="AY271" s="96"/>
      <c r="AZ271" s="96"/>
      <c r="BA271" s="59"/>
      <c r="BB271" s="59"/>
      <c r="BC271" s="59"/>
      <c r="BD271" s="59"/>
      <c r="BE271" s="59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</row>
    <row r="272">
      <c r="A272" s="96"/>
      <c r="B272" s="145"/>
      <c r="C272" s="146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8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148"/>
      <c r="AQ272" s="96"/>
      <c r="AR272" s="149"/>
      <c r="AS272" s="59"/>
      <c r="AT272" s="96"/>
      <c r="AU272" s="96"/>
      <c r="AV272" s="96"/>
      <c r="AW272" s="96"/>
      <c r="AX272" s="96"/>
      <c r="AY272" s="96"/>
      <c r="AZ272" s="96"/>
      <c r="BA272" s="59"/>
      <c r="BB272" s="59"/>
      <c r="BC272" s="59"/>
      <c r="BD272" s="59"/>
      <c r="BE272" s="59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</row>
    <row r="273">
      <c r="A273" s="96"/>
      <c r="B273" s="145"/>
      <c r="C273" s="146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8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148"/>
      <c r="AQ273" s="96"/>
      <c r="AR273" s="149"/>
      <c r="AS273" s="59"/>
      <c r="AT273" s="96"/>
      <c r="AU273" s="96"/>
      <c r="AV273" s="96"/>
      <c r="AW273" s="96"/>
      <c r="AX273" s="96"/>
      <c r="AY273" s="96"/>
      <c r="AZ273" s="96"/>
      <c r="BA273" s="59"/>
      <c r="BB273" s="59"/>
      <c r="BC273" s="59"/>
      <c r="BD273" s="59"/>
      <c r="BE273" s="59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</row>
    <row r="274">
      <c r="A274" s="96"/>
      <c r="B274" s="145"/>
      <c r="C274" s="146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8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148"/>
      <c r="AQ274" s="96"/>
      <c r="AR274" s="149"/>
      <c r="AS274" s="59"/>
      <c r="AT274" s="96"/>
      <c r="AU274" s="96"/>
      <c r="AV274" s="96"/>
      <c r="AW274" s="96"/>
      <c r="AX274" s="96"/>
      <c r="AY274" s="96"/>
      <c r="AZ274" s="96"/>
      <c r="BA274" s="59"/>
      <c r="BB274" s="59"/>
      <c r="BC274" s="59"/>
      <c r="BD274" s="59"/>
      <c r="BE274" s="59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</row>
    <row r="275">
      <c r="A275" s="96"/>
      <c r="B275" s="145"/>
      <c r="C275" s="146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8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148"/>
      <c r="AQ275" s="96"/>
      <c r="AR275" s="149"/>
      <c r="AS275" s="59"/>
      <c r="AT275" s="96"/>
      <c r="AU275" s="96"/>
      <c r="AV275" s="96"/>
      <c r="AW275" s="96"/>
      <c r="AX275" s="96"/>
      <c r="AY275" s="96"/>
      <c r="AZ275" s="96"/>
      <c r="BA275" s="59"/>
      <c r="BB275" s="59"/>
      <c r="BC275" s="59"/>
      <c r="BD275" s="59"/>
      <c r="BE275" s="59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</row>
    <row r="276">
      <c r="A276" s="96"/>
      <c r="B276" s="145"/>
      <c r="C276" s="146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8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148"/>
      <c r="AQ276" s="96"/>
      <c r="AR276" s="149"/>
      <c r="AS276" s="59"/>
      <c r="AT276" s="96"/>
      <c r="AU276" s="96"/>
      <c r="AV276" s="96"/>
      <c r="AW276" s="96"/>
      <c r="AX276" s="96"/>
      <c r="AY276" s="96"/>
      <c r="AZ276" s="96"/>
      <c r="BA276" s="59"/>
      <c r="BB276" s="59"/>
      <c r="BC276" s="59"/>
      <c r="BD276" s="59"/>
      <c r="BE276" s="59"/>
      <c r="BF276" s="96"/>
      <c r="BG276" s="96"/>
      <c r="BH276" s="96"/>
      <c r="BI276" s="96"/>
      <c r="BJ276" s="96"/>
      <c r="BK276" s="96"/>
      <c r="BL276" s="96"/>
      <c r="BM276" s="96"/>
      <c r="BN276" s="96"/>
      <c r="BO276" s="96"/>
      <c r="BP276" s="96"/>
    </row>
    <row r="277">
      <c r="A277" s="96"/>
      <c r="B277" s="145"/>
      <c r="C277" s="146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8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148"/>
      <c r="AQ277" s="96"/>
      <c r="AR277" s="149"/>
      <c r="AS277" s="59"/>
      <c r="AT277" s="96"/>
      <c r="AU277" s="96"/>
      <c r="AV277" s="96"/>
      <c r="AW277" s="96"/>
      <c r="AX277" s="96"/>
      <c r="AY277" s="96"/>
      <c r="AZ277" s="96"/>
      <c r="BA277" s="59"/>
      <c r="BB277" s="59"/>
      <c r="BC277" s="59"/>
      <c r="BD277" s="59"/>
      <c r="BE277" s="59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</row>
    <row r="278">
      <c r="A278" s="96"/>
      <c r="B278" s="145"/>
      <c r="C278" s="146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8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148"/>
      <c r="AQ278" s="96"/>
      <c r="AR278" s="149"/>
      <c r="AS278" s="59"/>
      <c r="AT278" s="96"/>
      <c r="AU278" s="96"/>
      <c r="AV278" s="96"/>
      <c r="AW278" s="96"/>
      <c r="AX278" s="96"/>
      <c r="AY278" s="96"/>
      <c r="AZ278" s="96"/>
      <c r="BA278" s="59"/>
      <c r="BB278" s="59"/>
      <c r="BC278" s="59"/>
      <c r="BD278" s="59"/>
      <c r="BE278" s="59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</row>
    <row r="279">
      <c r="A279" s="96"/>
      <c r="B279" s="145"/>
      <c r="C279" s="146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8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148"/>
      <c r="AQ279" s="96"/>
      <c r="AR279" s="149"/>
      <c r="AS279" s="59"/>
      <c r="AT279" s="96"/>
      <c r="AU279" s="96"/>
      <c r="AV279" s="96"/>
      <c r="AW279" s="96"/>
      <c r="AX279" s="96"/>
      <c r="AY279" s="96"/>
      <c r="AZ279" s="96"/>
      <c r="BA279" s="59"/>
      <c r="BB279" s="59"/>
      <c r="BC279" s="59"/>
      <c r="BD279" s="59"/>
      <c r="BE279" s="59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</row>
    <row r="280">
      <c r="A280" s="96"/>
      <c r="B280" s="145"/>
      <c r="C280" s="146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8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148"/>
      <c r="AQ280" s="96"/>
      <c r="AR280" s="149"/>
      <c r="AS280" s="59"/>
      <c r="AT280" s="96"/>
      <c r="AU280" s="96"/>
      <c r="AV280" s="96"/>
      <c r="AW280" s="96"/>
      <c r="AX280" s="96"/>
      <c r="AY280" s="96"/>
      <c r="AZ280" s="96"/>
      <c r="BA280" s="59"/>
      <c r="BB280" s="59"/>
      <c r="BC280" s="59"/>
      <c r="BD280" s="59"/>
      <c r="BE280" s="59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</row>
    <row r="281">
      <c r="A281" s="96"/>
      <c r="B281" s="145"/>
      <c r="C281" s="146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8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148"/>
      <c r="AQ281" s="96"/>
      <c r="AR281" s="149"/>
      <c r="AS281" s="59"/>
      <c r="AT281" s="96"/>
      <c r="AU281" s="96"/>
      <c r="AV281" s="96"/>
      <c r="AW281" s="96"/>
      <c r="AX281" s="96"/>
      <c r="AY281" s="96"/>
      <c r="AZ281" s="96"/>
      <c r="BA281" s="59"/>
      <c r="BB281" s="59"/>
      <c r="BC281" s="59"/>
      <c r="BD281" s="59"/>
      <c r="BE281" s="59"/>
      <c r="BF281" s="96"/>
      <c r="BG281" s="96"/>
      <c r="BH281" s="96"/>
      <c r="BI281" s="96"/>
      <c r="BJ281" s="96"/>
      <c r="BK281" s="96"/>
      <c r="BL281" s="96"/>
      <c r="BM281" s="96"/>
      <c r="BN281" s="96"/>
      <c r="BO281" s="96"/>
      <c r="BP281" s="96"/>
    </row>
    <row r="282">
      <c r="A282" s="96"/>
      <c r="B282" s="145"/>
      <c r="C282" s="146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8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148"/>
      <c r="AQ282" s="96"/>
      <c r="AR282" s="149"/>
      <c r="AS282" s="59"/>
      <c r="AT282" s="96"/>
      <c r="AU282" s="96"/>
      <c r="AV282" s="96"/>
      <c r="AW282" s="96"/>
      <c r="AX282" s="96"/>
      <c r="AY282" s="96"/>
      <c r="AZ282" s="96"/>
      <c r="BA282" s="59"/>
      <c r="BB282" s="59"/>
      <c r="BC282" s="59"/>
      <c r="BD282" s="59"/>
      <c r="BE282" s="59"/>
      <c r="BF282" s="96"/>
      <c r="BG282" s="96"/>
      <c r="BH282" s="96"/>
      <c r="BI282" s="96"/>
      <c r="BJ282" s="96"/>
      <c r="BK282" s="96"/>
      <c r="BL282" s="96"/>
      <c r="BM282" s="96"/>
      <c r="BN282" s="96"/>
      <c r="BO282" s="96"/>
      <c r="BP282" s="96"/>
    </row>
    <row r="283">
      <c r="A283" s="96"/>
      <c r="B283" s="145"/>
      <c r="C283" s="146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8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148"/>
      <c r="AQ283" s="96"/>
      <c r="AR283" s="149"/>
      <c r="AS283" s="59"/>
      <c r="AT283" s="96"/>
      <c r="AU283" s="96"/>
      <c r="AV283" s="96"/>
      <c r="AW283" s="96"/>
      <c r="AX283" s="96"/>
      <c r="AY283" s="96"/>
      <c r="AZ283" s="96"/>
      <c r="BA283" s="59"/>
      <c r="BB283" s="59"/>
      <c r="BC283" s="59"/>
      <c r="BD283" s="59"/>
      <c r="BE283" s="59"/>
      <c r="BF283" s="96"/>
      <c r="BG283" s="96"/>
      <c r="BH283" s="96"/>
      <c r="BI283" s="96"/>
      <c r="BJ283" s="96"/>
      <c r="BK283" s="96"/>
      <c r="BL283" s="96"/>
      <c r="BM283" s="96"/>
      <c r="BN283" s="96"/>
      <c r="BO283" s="96"/>
      <c r="BP283" s="96"/>
    </row>
    <row r="284">
      <c r="A284" s="96"/>
      <c r="B284" s="145"/>
      <c r="C284" s="146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8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148"/>
      <c r="AQ284" s="96"/>
      <c r="AR284" s="149"/>
      <c r="AS284" s="59"/>
      <c r="AT284" s="96"/>
      <c r="AU284" s="96"/>
      <c r="AV284" s="96"/>
      <c r="AW284" s="96"/>
      <c r="AX284" s="96"/>
      <c r="AY284" s="96"/>
      <c r="AZ284" s="96"/>
      <c r="BA284" s="59"/>
      <c r="BB284" s="59"/>
      <c r="BC284" s="59"/>
      <c r="BD284" s="59"/>
      <c r="BE284" s="59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</row>
    <row r="285">
      <c r="A285" s="96"/>
      <c r="B285" s="145"/>
      <c r="C285" s="146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8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148"/>
      <c r="AQ285" s="96"/>
      <c r="AR285" s="149"/>
      <c r="AS285" s="59"/>
      <c r="AT285" s="96"/>
      <c r="AU285" s="96"/>
      <c r="AV285" s="96"/>
      <c r="AW285" s="96"/>
      <c r="AX285" s="96"/>
      <c r="AY285" s="96"/>
      <c r="AZ285" s="96"/>
      <c r="BA285" s="59"/>
      <c r="BB285" s="59"/>
      <c r="BC285" s="59"/>
      <c r="BD285" s="59"/>
      <c r="BE285" s="59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</row>
    <row r="286">
      <c r="A286" s="96"/>
      <c r="B286" s="145"/>
      <c r="C286" s="146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8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148"/>
      <c r="AQ286" s="96"/>
      <c r="AR286" s="149"/>
      <c r="AS286" s="59"/>
      <c r="AT286" s="96"/>
      <c r="AU286" s="96"/>
      <c r="AV286" s="96"/>
      <c r="AW286" s="96"/>
      <c r="AX286" s="96"/>
      <c r="AY286" s="96"/>
      <c r="AZ286" s="96"/>
      <c r="BA286" s="59"/>
      <c r="BB286" s="59"/>
      <c r="BC286" s="59"/>
      <c r="BD286" s="59"/>
      <c r="BE286" s="59"/>
      <c r="BF286" s="96"/>
      <c r="BG286" s="96"/>
      <c r="BH286" s="96"/>
      <c r="BI286" s="96"/>
      <c r="BJ286" s="96"/>
      <c r="BK286" s="96"/>
      <c r="BL286" s="96"/>
      <c r="BM286" s="96"/>
      <c r="BN286" s="96"/>
      <c r="BO286" s="96"/>
      <c r="BP286" s="96"/>
    </row>
    <row r="287">
      <c r="A287" s="96"/>
      <c r="B287" s="145"/>
      <c r="C287" s="146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8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148"/>
      <c r="AQ287" s="96"/>
      <c r="AR287" s="149"/>
      <c r="AS287" s="59"/>
      <c r="AT287" s="96"/>
      <c r="AU287" s="96"/>
      <c r="AV287" s="96"/>
      <c r="AW287" s="96"/>
      <c r="AX287" s="96"/>
      <c r="AY287" s="96"/>
      <c r="AZ287" s="96"/>
      <c r="BA287" s="59"/>
      <c r="BB287" s="59"/>
      <c r="BC287" s="59"/>
      <c r="BD287" s="59"/>
      <c r="BE287" s="59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</row>
    <row r="288">
      <c r="A288" s="96"/>
      <c r="B288" s="145"/>
      <c r="C288" s="146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8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148"/>
      <c r="AQ288" s="96"/>
      <c r="AR288" s="149"/>
      <c r="AS288" s="59"/>
      <c r="AT288" s="96"/>
      <c r="AU288" s="96"/>
      <c r="AV288" s="96"/>
      <c r="AW288" s="96"/>
      <c r="AX288" s="96"/>
      <c r="AY288" s="96"/>
      <c r="AZ288" s="96"/>
      <c r="BA288" s="59"/>
      <c r="BB288" s="59"/>
      <c r="BC288" s="59"/>
      <c r="BD288" s="59"/>
      <c r="BE288" s="59"/>
      <c r="BF288" s="96"/>
      <c r="BG288" s="96"/>
      <c r="BH288" s="96"/>
      <c r="BI288" s="96"/>
      <c r="BJ288" s="96"/>
      <c r="BK288" s="96"/>
      <c r="BL288" s="96"/>
      <c r="BM288" s="96"/>
      <c r="BN288" s="96"/>
      <c r="BO288" s="96"/>
      <c r="BP288" s="96"/>
    </row>
    <row r="289">
      <c r="A289" s="96"/>
      <c r="B289" s="145"/>
      <c r="C289" s="146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8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148"/>
      <c r="AQ289" s="96"/>
      <c r="AR289" s="149"/>
      <c r="AS289" s="59"/>
      <c r="AT289" s="96"/>
      <c r="AU289" s="96"/>
      <c r="AV289" s="96"/>
      <c r="AW289" s="96"/>
      <c r="AX289" s="96"/>
      <c r="AY289" s="96"/>
      <c r="AZ289" s="96"/>
      <c r="BA289" s="59"/>
      <c r="BB289" s="59"/>
      <c r="BC289" s="59"/>
      <c r="BD289" s="59"/>
      <c r="BE289" s="59"/>
      <c r="BF289" s="96"/>
      <c r="BG289" s="96"/>
      <c r="BH289" s="96"/>
      <c r="BI289" s="96"/>
      <c r="BJ289" s="96"/>
      <c r="BK289" s="96"/>
      <c r="BL289" s="96"/>
      <c r="BM289" s="96"/>
      <c r="BN289" s="96"/>
      <c r="BO289" s="96"/>
      <c r="BP289" s="96"/>
    </row>
    <row r="290">
      <c r="A290" s="96"/>
      <c r="B290" s="145"/>
      <c r="C290" s="146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8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148"/>
      <c r="AQ290" s="96"/>
      <c r="AR290" s="149"/>
      <c r="AS290" s="59"/>
      <c r="AT290" s="96"/>
      <c r="AU290" s="96"/>
      <c r="AV290" s="96"/>
      <c r="AW290" s="96"/>
      <c r="AX290" s="96"/>
      <c r="AY290" s="96"/>
      <c r="AZ290" s="96"/>
      <c r="BA290" s="59"/>
      <c r="BB290" s="59"/>
      <c r="BC290" s="59"/>
      <c r="BD290" s="59"/>
      <c r="BE290" s="59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</row>
    <row r="291">
      <c r="A291" s="96"/>
      <c r="B291" s="145"/>
      <c r="C291" s="146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8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148"/>
      <c r="AQ291" s="96"/>
      <c r="AR291" s="149"/>
      <c r="AS291" s="59"/>
      <c r="AT291" s="96"/>
      <c r="AU291" s="96"/>
      <c r="AV291" s="96"/>
      <c r="AW291" s="96"/>
      <c r="AX291" s="96"/>
      <c r="AY291" s="96"/>
      <c r="AZ291" s="96"/>
      <c r="BA291" s="59"/>
      <c r="BB291" s="59"/>
      <c r="BC291" s="59"/>
      <c r="BD291" s="59"/>
      <c r="BE291" s="59"/>
      <c r="BF291" s="96"/>
      <c r="BG291" s="96"/>
      <c r="BH291" s="96"/>
      <c r="BI291" s="96"/>
      <c r="BJ291" s="96"/>
      <c r="BK291" s="96"/>
      <c r="BL291" s="96"/>
      <c r="BM291" s="96"/>
      <c r="BN291" s="96"/>
      <c r="BO291" s="96"/>
      <c r="BP291" s="96"/>
    </row>
    <row r="292">
      <c r="A292" s="96"/>
      <c r="B292" s="145"/>
      <c r="C292" s="146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8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148"/>
      <c r="AQ292" s="96"/>
      <c r="AR292" s="149"/>
      <c r="AS292" s="59"/>
      <c r="AT292" s="96"/>
      <c r="AU292" s="96"/>
      <c r="AV292" s="96"/>
      <c r="AW292" s="96"/>
      <c r="AX292" s="96"/>
      <c r="AY292" s="96"/>
      <c r="AZ292" s="96"/>
      <c r="BA292" s="59"/>
      <c r="BB292" s="59"/>
      <c r="BC292" s="59"/>
      <c r="BD292" s="59"/>
      <c r="BE292" s="59"/>
      <c r="BF292" s="96"/>
      <c r="BG292" s="96"/>
      <c r="BH292" s="96"/>
      <c r="BI292" s="96"/>
      <c r="BJ292" s="96"/>
      <c r="BK292" s="96"/>
      <c r="BL292" s="96"/>
      <c r="BM292" s="96"/>
      <c r="BN292" s="96"/>
      <c r="BO292" s="96"/>
      <c r="BP292" s="96"/>
    </row>
    <row r="293">
      <c r="A293" s="96"/>
      <c r="B293" s="145"/>
      <c r="C293" s="146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8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148"/>
      <c r="AQ293" s="96"/>
      <c r="AR293" s="149"/>
      <c r="AS293" s="59"/>
      <c r="AT293" s="96"/>
      <c r="AU293" s="96"/>
      <c r="AV293" s="96"/>
      <c r="AW293" s="96"/>
      <c r="AX293" s="96"/>
      <c r="AY293" s="96"/>
      <c r="AZ293" s="96"/>
      <c r="BA293" s="59"/>
      <c r="BB293" s="59"/>
      <c r="BC293" s="59"/>
      <c r="BD293" s="59"/>
      <c r="BE293" s="59"/>
      <c r="BF293" s="96"/>
      <c r="BG293" s="96"/>
      <c r="BH293" s="96"/>
      <c r="BI293" s="96"/>
      <c r="BJ293" s="96"/>
      <c r="BK293" s="96"/>
      <c r="BL293" s="96"/>
      <c r="BM293" s="96"/>
      <c r="BN293" s="96"/>
      <c r="BO293" s="96"/>
      <c r="BP293" s="96"/>
    </row>
    <row r="294">
      <c r="A294" s="5"/>
      <c r="B294" s="150"/>
      <c r="C294" s="151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6"/>
      <c r="AQ294" s="5"/>
      <c r="AR294" s="7"/>
      <c r="AT294" s="96"/>
      <c r="AU294" s="96"/>
      <c r="AV294" s="96"/>
      <c r="AW294" s="96"/>
      <c r="AX294" s="96"/>
      <c r="AY294" s="96"/>
      <c r="AZ294" s="96"/>
      <c r="BA294" s="59"/>
      <c r="BB294" s="59"/>
      <c r="BC294" s="59"/>
      <c r="BD294" s="59"/>
      <c r="BE294" s="59"/>
      <c r="BF294" s="96"/>
      <c r="BG294" s="96"/>
      <c r="BH294" s="96"/>
      <c r="BI294" s="96"/>
      <c r="BJ294" s="96"/>
      <c r="BK294" s="5"/>
      <c r="BL294" s="5"/>
      <c r="BM294" s="5"/>
      <c r="BN294" s="5"/>
      <c r="BO294" s="5"/>
      <c r="BP294" s="5"/>
    </row>
    <row r="295">
      <c r="A295" s="5"/>
      <c r="B295" s="150"/>
      <c r="C295" s="151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6"/>
      <c r="AQ295" s="5"/>
      <c r="AR295" s="7"/>
      <c r="AT295" s="96"/>
      <c r="AU295" s="96"/>
      <c r="AV295" s="96"/>
      <c r="AW295" s="96"/>
      <c r="AX295" s="96"/>
      <c r="AY295" s="96"/>
      <c r="AZ295" s="96"/>
      <c r="BA295" s="59"/>
      <c r="BB295" s="59"/>
      <c r="BC295" s="59"/>
      <c r="BD295" s="59"/>
      <c r="BE295" s="59"/>
      <c r="BF295" s="96"/>
      <c r="BG295" s="96"/>
      <c r="BH295" s="96"/>
      <c r="BI295" s="96"/>
      <c r="BJ295" s="96"/>
      <c r="BK295" s="5"/>
      <c r="BL295" s="5"/>
      <c r="BM295" s="5"/>
      <c r="BN295" s="5"/>
      <c r="BO295" s="5"/>
      <c r="BP295" s="5"/>
    </row>
    <row r="296">
      <c r="A296" s="5"/>
      <c r="B296" s="150"/>
      <c r="C296" s="151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6"/>
      <c r="AQ296" s="5"/>
      <c r="AR296" s="7"/>
      <c r="AT296" s="96"/>
      <c r="AU296" s="96"/>
      <c r="AV296" s="96"/>
      <c r="AW296" s="96"/>
      <c r="AX296" s="96"/>
      <c r="AY296" s="96"/>
      <c r="AZ296" s="96"/>
      <c r="BA296" s="59"/>
      <c r="BB296" s="59"/>
      <c r="BC296" s="59"/>
      <c r="BD296" s="59"/>
      <c r="BE296" s="59"/>
      <c r="BF296" s="96"/>
      <c r="BG296" s="96"/>
      <c r="BH296" s="96"/>
      <c r="BI296" s="96"/>
      <c r="BJ296" s="96"/>
      <c r="BK296" s="5"/>
      <c r="BL296" s="5"/>
      <c r="BM296" s="5"/>
      <c r="BN296" s="5"/>
      <c r="BO296" s="5"/>
      <c r="BP296" s="5"/>
    </row>
    <row r="297">
      <c r="A297" s="5"/>
      <c r="B297" s="150"/>
      <c r="C297" s="151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6"/>
      <c r="AQ297" s="5"/>
      <c r="AR297" s="7"/>
      <c r="AT297" s="96"/>
      <c r="AU297" s="96"/>
      <c r="AV297" s="96"/>
      <c r="AW297" s="96"/>
      <c r="AX297" s="96"/>
      <c r="AY297" s="96"/>
      <c r="AZ297" s="96"/>
      <c r="BA297" s="59"/>
      <c r="BB297" s="59"/>
      <c r="BC297" s="59"/>
      <c r="BD297" s="59"/>
      <c r="BE297" s="59"/>
      <c r="BF297" s="96"/>
      <c r="BG297" s="96"/>
      <c r="BH297" s="96"/>
      <c r="BI297" s="96"/>
      <c r="BJ297" s="96"/>
      <c r="BK297" s="5"/>
      <c r="BL297" s="5"/>
      <c r="BM297" s="5"/>
      <c r="BN297" s="5"/>
      <c r="BO297" s="5"/>
      <c r="BP297" s="5"/>
    </row>
    <row r="298">
      <c r="A298" s="5"/>
      <c r="B298" s="150"/>
      <c r="C298" s="151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6"/>
      <c r="AQ298" s="5"/>
      <c r="AR298" s="7"/>
      <c r="AT298" s="96"/>
      <c r="AU298" s="96"/>
      <c r="AV298" s="96"/>
      <c r="AW298" s="96"/>
      <c r="AX298" s="96"/>
      <c r="AY298" s="96"/>
      <c r="AZ298" s="96"/>
      <c r="BA298" s="59"/>
      <c r="BB298" s="59"/>
      <c r="BC298" s="59"/>
      <c r="BD298" s="59"/>
      <c r="BE298" s="59"/>
      <c r="BF298" s="96"/>
      <c r="BG298" s="96"/>
      <c r="BH298" s="96"/>
      <c r="BI298" s="96"/>
      <c r="BJ298" s="96"/>
      <c r="BK298" s="5"/>
      <c r="BL298" s="5"/>
      <c r="BM298" s="5"/>
      <c r="BN298" s="5"/>
      <c r="BO298" s="5"/>
      <c r="BP298" s="5"/>
    </row>
    <row r="299">
      <c r="A299" s="5"/>
      <c r="B299" s="150"/>
      <c r="C299" s="151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6"/>
      <c r="AQ299" s="5"/>
      <c r="AR299" s="7"/>
      <c r="AT299" s="96"/>
      <c r="AU299" s="96"/>
      <c r="AV299" s="96"/>
      <c r="AW299" s="96"/>
      <c r="AX299" s="96"/>
      <c r="AY299" s="96"/>
      <c r="AZ299" s="96"/>
      <c r="BA299" s="59"/>
      <c r="BB299" s="59"/>
      <c r="BC299" s="59"/>
      <c r="BD299" s="59"/>
      <c r="BE299" s="59"/>
      <c r="BF299" s="96"/>
      <c r="BG299" s="96"/>
      <c r="BH299" s="96"/>
      <c r="BI299" s="96"/>
      <c r="BJ299" s="96"/>
      <c r="BK299" s="5"/>
      <c r="BL299" s="5"/>
      <c r="BM299" s="5"/>
      <c r="BN299" s="5"/>
      <c r="BO299" s="5"/>
      <c r="BP299" s="5"/>
    </row>
    <row r="300">
      <c r="A300" s="5"/>
      <c r="B300" s="150"/>
      <c r="C300" s="151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6"/>
      <c r="AQ300" s="5"/>
      <c r="AR300" s="7"/>
      <c r="AT300" s="96"/>
      <c r="AU300" s="96"/>
      <c r="AV300" s="96"/>
      <c r="AW300" s="96"/>
      <c r="AX300" s="96"/>
      <c r="AY300" s="96"/>
      <c r="AZ300" s="96"/>
      <c r="BA300" s="59"/>
      <c r="BB300" s="59"/>
      <c r="BC300" s="59"/>
      <c r="BD300" s="59"/>
      <c r="BE300" s="59"/>
      <c r="BF300" s="96"/>
      <c r="BG300" s="96"/>
      <c r="BH300" s="96"/>
      <c r="BI300" s="96"/>
      <c r="BJ300" s="96"/>
      <c r="BK300" s="5"/>
      <c r="BL300" s="5"/>
      <c r="BM300" s="5"/>
      <c r="BN300" s="5"/>
      <c r="BO300" s="5"/>
      <c r="BP300" s="5"/>
    </row>
    <row r="301">
      <c r="A301" s="5"/>
      <c r="B301" s="150"/>
      <c r="C301" s="151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6"/>
      <c r="AQ301" s="5"/>
      <c r="AR301" s="7"/>
      <c r="AT301" s="96"/>
      <c r="AU301" s="96"/>
      <c r="AV301" s="96"/>
      <c r="AW301" s="96"/>
      <c r="AX301" s="96"/>
      <c r="AY301" s="96"/>
      <c r="AZ301" s="96"/>
      <c r="BA301" s="59"/>
      <c r="BB301" s="59"/>
      <c r="BC301" s="59"/>
      <c r="BD301" s="59"/>
      <c r="BE301" s="59"/>
      <c r="BF301" s="96"/>
      <c r="BG301" s="96"/>
      <c r="BH301" s="96"/>
      <c r="BI301" s="96"/>
      <c r="BJ301" s="96"/>
      <c r="BK301" s="5"/>
      <c r="BL301" s="5"/>
      <c r="BM301" s="5"/>
      <c r="BN301" s="5"/>
      <c r="BO301" s="5"/>
      <c r="BP301" s="5"/>
    </row>
    <row r="302">
      <c r="A302" s="5"/>
      <c r="B302" s="150"/>
      <c r="C302" s="151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6"/>
      <c r="AQ302" s="5"/>
      <c r="AR302" s="7"/>
      <c r="AT302" s="96"/>
      <c r="AU302" s="96"/>
      <c r="AV302" s="96"/>
      <c r="AW302" s="96"/>
      <c r="AX302" s="96"/>
      <c r="AY302" s="96"/>
      <c r="AZ302" s="96"/>
      <c r="BA302" s="59"/>
      <c r="BB302" s="59"/>
      <c r="BC302" s="59"/>
      <c r="BD302" s="59"/>
      <c r="BE302" s="59"/>
      <c r="BF302" s="96"/>
      <c r="BG302" s="96"/>
      <c r="BH302" s="96"/>
      <c r="BI302" s="96"/>
      <c r="BJ302" s="96"/>
      <c r="BK302" s="5"/>
      <c r="BL302" s="5"/>
      <c r="BM302" s="5"/>
      <c r="BN302" s="5"/>
      <c r="BO302" s="5"/>
      <c r="BP302" s="5"/>
    </row>
    <row r="303">
      <c r="A303" s="5"/>
      <c r="B303" s="150"/>
      <c r="C303" s="151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6"/>
      <c r="AQ303" s="5"/>
      <c r="AR303" s="7"/>
      <c r="AT303" s="96"/>
      <c r="AU303" s="96"/>
      <c r="AV303" s="96"/>
      <c r="AW303" s="96"/>
      <c r="AX303" s="96"/>
      <c r="AY303" s="96"/>
      <c r="AZ303" s="96"/>
      <c r="BA303" s="59"/>
      <c r="BB303" s="59"/>
      <c r="BC303" s="59"/>
      <c r="BD303" s="59"/>
      <c r="BE303" s="59"/>
      <c r="BF303" s="96"/>
      <c r="BG303" s="96"/>
      <c r="BH303" s="96"/>
      <c r="BI303" s="96"/>
      <c r="BJ303" s="96"/>
      <c r="BK303" s="5"/>
      <c r="BL303" s="5"/>
      <c r="BM303" s="5"/>
      <c r="BN303" s="5"/>
      <c r="BO303" s="5"/>
      <c r="BP303" s="5"/>
    </row>
    <row r="304">
      <c r="A304" s="5"/>
      <c r="B304" s="150"/>
      <c r="C304" s="151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6"/>
      <c r="AQ304" s="5"/>
      <c r="AR304" s="7"/>
      <c r="AT304" s="96"/>
      <c r="AU304" s="96"/>
      <c r="AV304" s="96"/>
      <c r="AW304" s="96"/>
      <c r="AX304" s="96"/>
      <c r="AY304" s="96"/>
      <c r="AZ304" s="96"/>
      <c r="BA304" s="59"/>
      <c r="BB304" s="59"/>
      <c r="BC304" s="59"/>
      <c r="BD304" s="59"/>
      <c r="BE304" s="59"/>
      <c r="BF304" s="96"/>
      <c r="BG304" s="96"/>
      <c r="BH304" s="96"/>
      <c r="BI304" s="96"/>
      <c r="BJ304" s="96"/>
      <c r="BK304" s="5"/>
      <c r="BL304" s="5"/>
      <c r="BM304" s="5"/>
      <c r="BN304" s="5"/>
      <c r="BO304" s="5"/>
      <c r="BP304" s="5"/>
    </row>
    <row r="305">
      <c r="A305" s="5"/>
      <c r="B305" s="150"/>
      <c r="C305" s="151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6"/>
      <c r="AQ305" s="5"/>
      <c r="AR305" s="7"/>
      <c r="AT305" s="96"/>
      <c r="AU305" s="96"/>
      <c r="AV305" s="96"/>
      <c r="AW305" s="96"/>
      <c r="AX305" s="96"/>
      <c r="AY305" s="96"/>
      <c r="AZ305" s="96"/>
      <c r="BA305" s="59"/>
      <c r="BB305" s="59"/>
      <c r="BC305" s="59"/>
      <c r="BD305" s="59"/>
      <c r="BE305" s="59"/>
      <c r="BF305" s="96"/>
      <c r="BG305" s="96"/>
      <c r="BH305" s="96"/>
      <c r="BI305" s="96"/>
      <c r="BJ305" s="96"/>
      <c r="BK305" s="5"/>
      <c r="BL305" s="5"/>
      <c r="BM305" s="5"/>
      <c r="BN305" s="5"/>
      <c r="BO305" s="5"/>
      <c r="BP305" s="5"/>
    </row>
    <row r="306">
      <c r="A306" s="5"/>
      <c r="B306" s="150"/>
      <c r="C306" s="151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6"/>
      <c r="AQ306" s="5"/>
      <c r="AR306" s="7"/>
      <c r="AT306" s="96"/>
      <c r="AU306" s="96"/>
      <c r="AV306" s="96"/>
      <c r="AW306" s="96"/>
      <c r="AX306" s="96"/>
      <c r="AY306" s="96"/>
      <c r="AZ306" s="96"/>
      <c r="BA306" s="59"/>
      <c r="BB306" s="59"/>
      <c r="BC306" s="59"/>
      <c r="BD306" s="59"/>
      <c r="BE306" s="59"/>
      <c r="BF306" s="96"/>
      <c r="BG306" s="96"/>
      <c r="BH306" s="96"/>
      <c r="BI306" s="96"/>
      <c r="BJ306" s="96"/>
      <c r="BK306" s="5"/>
      <c r="BL306" s="5"/>
      <c r="BM306" s="5"/>
      <c r="BN306" s="5"/>
      <c r="BO306" s="5"/>
      <c r="BP306" s="5"/>
    </row>
    <row r="307">
      <c r="A307" s="5"/>
      <c r="B307" s="150"/>
      <c r="C307" s="151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6"/>
      <c r="AQ307" s="5"/>
      <c r="AR307" s="7"/>
      <c r="AT307" s="96"/>
      <c r="AU307" s="96"/>
      <c r="AV307" s="96"/>
      <c r="AW307" s="96"/>
      <c r="AX307" s="96"/>
      <c r="AY307" s="96"/>
      <c r="AZ307" s="96"/>
      <c r="BA307" s="59"/>
      <c r="BB307" s="59"/>
      <c r="BC307" s="59"/>
      <c r="BD307" s="59"/>
      <c r="BE307" s="59"/>
      <c r="BF307" s="96"/>
      <c r="BG307" s="96"/>
      <c r="BH307" s="96"/>
      <c r="BI307" s="96"/>
      <c r="BJ307" s="96"/>
      <c r="BK307" s="5"/>
      <c r="BL307" s="5"/>
      <c r="BM307" s="5"/>
      <c r="BN307" s="5"/>
      <c r="BO307" s="5"/>
      <c r="BP307" s="5"/>
    </row>
    <row r="308">
      <c r="A308" s="5"/>
      <c r="B308" s="150"/>
      <c r="C308" s="151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6"/>
      <c r="AQ308" s="5"/>
      <c r="AR308" s="7"/>
      <c r="AT308" s="96"/>
      <c r="AU308" s="96"/>
      <c r="AV308" s="96"/>
      <c r="AW308" s="96"/>
      <c r="AX308" s="96"/>
      <c r="AY308" s="96"/>
      <c r="AZ308" s="96"/>
      <c r="BA308" s="59"/>
      <c r="BB308" s="59"/>
      <c r="BC308" s="59"/>
      <c r="BD308" s="59"/>
      <c r="BE308" s="59"/>
      <c r="BF308" s="96"/>
      <c r="BG308" s="96"/>
      <c r="BH308" s="96"/>
      <c r="BI308" s="96"/>
      <c r="BJ308" s="96"/>
      <c r="BK308" s="5"/>
      <c r="BL308" s="5"/>
      <c r="BM308" s="5"/>
      <c r="BN308" s="5"/>
      <c r="BO308" s="5"/>
      <c r="BP308" s="5"/>
    </row>
    <row r="309">
      <c r="A309" s="5"/>
      <c r="B309" s="150"/>
      <c r="C309" s="151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6"/>
      <c r="AQ309" s="5"/>
      <c r="AR309" s="7"/>
      <c r="AT309" s="96"/>
      <c r="AU309" s="96"/>
      <c r="AV309" s="96"/>
      <c r="AW309" s="96"/>
      <c r="AX309" s="96"/>
      <c r="AY309" s="96"/>
      <c r="AZ309" s="96"/>
      <c r="BA309" s="59"/>
      <c r="BB309" s="59"/>
      <c r="BC309" s="59"/>
      <c r="BD309" s="59"/>
      <c r="BE309" s="59"/>
      <c r="BF309" s="96"/>
      <c r="BG309" s="96"/>
      <c r="BH309" s="96"/>
      <c r="BI309" s="96"/>
      <c r="BJ309" s="96"/>
      <c r="BK309" s="5"/>
      <c r="BL309" s="5"/>
      <c r="BM309" s="5"/>
      <c r="BN309" s="5"/>
      <c r="BO309" s="5"/>
      <c r="BP309" s="5"/>
    </row>
    <row r="310">
      <c r="A310" s="5"/>
      <c r="B310" s="150"/>
      <c r="C310" s="151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6"/>
      <c r="AQ310" s="5"/>
      <c r="AR310" s="7"/>
      <c r="AT310" s="96"/>
      <c r="AU310" s="96"/>
      <c r="AV310" s="96"/>
      <c r="AW310" s="96"/>
      <c r="AX310" s="96"/>
      <c r="AY310" s="96"/>
      <c r="AZ310" s="96"/>
      <c r="BA310" s="59"/>
      <c r="BB310" s="59"/>
      <c r="BC310" s="59"/>
      <c r="BD310" s="59"/>
      <c r="BE310" s="59"/>
      <c r="BF310" s="96"/>
      <c r="BG310" s="96"/>
      <c r="BH310" s="96"/>
      <c r="BI310" s="96"/>
      <c r="BJ310" s="96"/>
      <c r="BK310" s="5"/>
      <c r="BL310" s="5"/>
      <c r="BM310" s="5"/>
      <c r="BN310" s="5"/>
      <c r="BO310" s="5"/>
      <c r="BP310" s="5"/>
    </row>
    <row r="311">
      <c r="A311" s="5"/>
      <c r="B311" s="150"/>
      <c r="C311" s="151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6"/>
      <c r="AQ311" s="5"/>
      <c r="AR311" s="7"/>
      <c r="AT311" s="96"/>
      <c r="AU311" s="96"/>
      <c r="AV311" s="96"/>
      <c r="AW311" s="96"/>
      <c r="AX311" s="96"/>
      <c r="AY311" s="96"/>
      <c r="AZ311" s="96"/>
      <c r="BA311" s="59"/>
      <c r="BB311" s="59"/>
      <c r="BC311" s="59"/>
      <c r="BD311" s="59"/>
      <c r="BE311" s="59"/>
      <c r="BF311" s="96"/>
      <c r="BG311" s="96"/>
      <c r="BH311" s="96"/>
      <c r="BI311" s="96"/>
      <c r="BJ311" s="96"/>
      <c r="BK311" s="5"/>
      <c r="BL311" s="5"/>
      <c r="BM311" s="5"/>
      <c r="BN311" s="5"/>
      <c r="BO311" s="5"/>
      <c r="BP311" s="5"/>
    </row>
    <row r="312">
      <c r="A312" s="5"/>
      <c r="B312" s="150"/>
      <c r="C312" s="151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6"/>
      <c r="AQ312" s="5"/>
      <c r="AR312" s="7"/>
      <c r="AT312" s="96"/>
      <c r="AU312" s="96"/>
      <c r="AV312" s="96"/>
      <c r="AW312" s="96"/>
      <c r="AX312" s="96"/>
      <c r="AY312" s="96"/>
      <c r="AZ312" s="96"/>
      <c r="BA312" s="59"/>
      <c r="BB312" s="59"/>
      <c r="BC312" s="59"/>
      <c r="BD312" s="59"/>
      <c r="BE312" s="59"/>
      <c r="BF312" s="96"/>
      <c r="BG312" s="96"/>
      <c r="BH312" s="96"/>
      <c r="BI312" s="96"/>
      <c r="BJ312" s="96"/>
      <c r="BK312" s="5"/>
      <c r="BL312" s="5"/>
      <c r="BM312" s="5"/>
      <c r="BN312" s="5"/>
      <c r="BO312" s="5"/>
      <c r="BP312" s="5"/>
    </row>
    <row r="313">
      <c r="A313" s="5"/>
      <c r="B313" s="150"/>
      <c r="C313" s="151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6"/>
      <c r="AQ313" s="5"/>
      <c r="AR313" s="7"/>
      <c r="AT313" s="96"/>
      <c r="AU313" s="96"/>
      <c r="AV313" s="96"/>
      <c r="AW313" s="96"/>
      <c r="AX313" s="96"/>
      <c r="AY313" s="96"/>
      <c r="AZ313" s="96"/>
      <c r="BA313" s="59"/>
      <c r="BB313" s="59"/>
      <c r="BC313" s="59"/>
      <c r="BD313" s="59"/>
      <c r="BE313" s="59"/>
      <c r="BF313" s="96"/>
      <c r="BG313" s="96"/>
      <c r="BH313" s="96"/>
      <c r="BI313" s="96"/>
      <c r="BJ313" s="96"/>
      <c r="BK313" s="5"/>
      <c r="BL313" s="5"/>
      <c r="BM313" s="5"/>
      <c r="BN313" s="5"/>
      <c r="BO313" s="5"/>
      <c r="BP313" s="5"/>
    </row>
    <row r="314">
      <c r="A314" s="5"/>
      <c r="B314" s="150"/>
      <c r="C314" s="151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6"/>
      <c r="AQ314" s="5"/>
      <c r="AR314" s="7"/>
      <c r="AT314" s="96"/>
      <c r="AU314" s="96"/>
      <c r="AV314" s="96"/>
      <c r="AW314" s="96"/>
      <c r="AX314" s="96"/>
      <c r="AY314" s="96"/>
      <c r="AZ314" s="96"/>
      <c r="BA314" s="59"/>
      <c r="BB314" s="59"/>
      <c r="BC314" s="59"/>
      <c r="BD314" s="59"/>
      <c r="BE314" s="59"/>
      <c r="BF314" s="96"/>
      <c r="BG314" s="96"/>
      <c r="BH314" s="96"/>
      <c r="BI314" s="96"/>
      <c r="BJ314" s="96"/>
      <c r="BK314" s="5"/>
      <c r="BL314" s="5"/>
      <c r="BM314" s="5"/>
      <c r="BN314" s="5"/>
      <c r="BO314" s="5"/>
      <c r="BP314" s="5"/>
    </row>
    <row r="315">
      <c r="A315" s="5"/>
      <c r="B315" s="150"/>
      <c r="C315" s="151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6"/>
      <c r="AQ315" s="5"/>
      <c r="AR315" s="7"/>
      <c r="AT315" s="96"/>
      <c r="AU315" s="96"/>
      <c r="AV315" s="96"/>
      <c r="AW315" s="96"/>
      <c r="AX315" s="96"/>
      <c r="AY315" s="96"/>
      <c r="AZ315" s="96"/>
      <c r="BA315" s="59"/>
      <c r="BB315" s="59"/>
      <c r="BC315" s="59"/>
      <c r="BD315" s="59"/>
      <c r="BE315" s="59"/>
      <c r="BF315" s="96"/>
      <c r="BG315" s="96"/>
      <c r="BH315" s="96"/>
      <c r="BI315" s="96"/>
      <c r="BJ315" s="96"/>
      <c r="BK315" s="5"/>
      <c r="BL315" s="5"/>
      <c r="BM315" s="5"/>
      <c r="BN315" s="5"/>
      <c r="BO315" s="5"/>
      <c r="BP315" s="5"/>
    </row>
    <row r="316">
      <c r="A316" s="5"/>
      <c r="B316" s="150"/>
      <c r="C316" s="151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6"/>
      <c r="AQ316" s="5"/>
      <c r="AR316" s="7"/>
      <c r="AT316" s="96"/>
      <c r="AU316" s="96"/>
      <c r="AV316" s="96"/>
      <c r="AW316" s="96"/>
      <c r="AX316" s="96"/>
      <c r="AY316" s="96"/>
      <c r="AZ316" s="96"/>
      <c r="BA316" s="59"/>
      <c r="BB316" s="59"/>
      <c r="BC316" s="59"/>
      <c r="BD316" s="59"/>
      <c r="BE316" s="59"/>
      <c r="BF316" s="96"/>
      <c r="BG316" s="96"/>
      <c r="BH316" s="96"/>
      <c r="BI316" s="96"/>
      <c r="BJ316" s="96"/>
      <c r="BK316" s="5"/>
      <c r="BL316" s="5"/>
      <c r="BM316" s="5"/>
      <c r="BN316" s="5"/>
      <c r="BO316" s="5"/>
      <c r="BP316" s="5"/>
    </row>
    <row r="317">
      <c r="A317" s="5"/>
      <c r="B317" s="150"/>
      <c r="C317" s="151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6"/>
      <c r="AQ317" s="5"/>
      <c r="AR317" s="7"/>
      <c r="AT317" s="96"/>
      <c r="AU317" s="96"/>
      <c r="AV317" s="96"/>
      <c r="AW317" s="96"/>
      <c r="AX317" s="96"/>
      <c r="AY317" s="96"/>
      <c r="AZ317" s="96"/>
      <c r="BA317" s="59"/>
      <c r="BB317" s="59"/>
      <c r="BC317" s="59"/>
      <c r="BD317" s="59"/>
      <c r="BE317" s="59"/>
      <c r="BF317" s="96"/>
      <c r="BG317" s="96"/>
      <c r="BH317" s="96"/>
      <c r="BI317" s="96"/>
      <c r="BJ317" s="96"/>
      <c r="BK317" s="5"/>
      <c r="BL317" s="5"/>
      <c r="BM317" s="5"/>
      <c r="BN317" s="5"/>
      <c r="BO317" s="5"/>
      <c r="BP317" s="5"/>
    </row>
    <row r="318">
      <c r="A318" s="5"/>
      <c r="B318" s="150"/>
      <c r="C318" s="151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6"/>
      <c r="AQ318" s="5"/>
      <c r="AR318" s="7"/>
      <c r="AT318" s="96"/>
      <c r="AU318" s="96"/>
      <c r="AV318" s="96"/>
      <c r="AW318" s="96"/>
      <c r="AX318" s="96"/>
      <c r="AY318" s="96"/>
      <c r="AZ318" s="96"/>
      <c r="BA318" s="59"/>
      <c r="BB318" s="59"/>
      <c r="BC318" s="59"/>
      <c r="BD318" s="59"/>
      <c r="BE318" s="59"/>
      <c r="BF318" s="96"/>
      <c r="BG318" s="96"/>
      <c r="BH318" s="96"/>
      <c r="BI318" s="96"/>
      <c r="BJ318" s="96"/>
      <c r="BK318" s="5"/>
      <c r="BL318" s="5"/>
      <c r="BM318" s="5"/>
      <c r="BN318" s="5"/>
      <c r="BO318" s="5"/>
      <c r="BP318" s="5"/>
    </row>
    <row r="319">
      <c r="A319" s="5"/>
      <c r="B319" s="150"/>
      <c r="C319" s="151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6"/>
      <c r="AQ319" s="5"/>
      <c r="AR319" s="7"/>
      <c r="AT319" s="96"/>
      <c r="AU319" s="96"/>
      <c r="AV319" s="96"/>
      <c r="AW319" s="96"/>
      <c r="AX319" s="96"/>
      <c r="AY319" s="96"/>
      <c r="AZ319" s="96"/>
      <c r="BA319" s="59"/>
      <c r="BB319" s="59"/>
      <c r="BC319" s="59"/>
      <c r="BD319" s="59"/>
      <c r="BE319" s="59"/>
      <c r="BF319" s="96"/>
      <c r="BG319" s="96"/>
      <c r="BH319" s="96"/>
      <c r="BI319" s="96"/>
      <c r="BJ319" s="96"/>
      <c r="BK319" s="5"/>
      <c r="BL319" s="5"/>
      <c r="BM319" s="5"/>
      <c r="BN319" s="5"/>
      <c r="BO319" s="5"/>
      <c r="BP319" s="5"/>
    </row>
    <row r="320">
      <c r="A320" s="5"/>
      <c r="B320" s="150"/>
      <c r="C320" s="151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6"/>
      <c r="AQ320" s="5"/>
      <c r="AR320" s="7"/>
      <c r="AT320" s="96"/>
      <c r="AU320" s="96"/>
      <c r="AV320" s="96"/>
      <c r="AW320" s="96"/>
      <c r="AX320" s="96"/>
      <c r="AY320" s="96"/>
      <c r="AZ320" s="96"/>
      <c r="BA320" s="59"/>
      <c r="BB320" s="59"/>
      <c r="BC320" s="59"/>
      <c r="BD320" s="59"/>
      <c r="BE320" s="59"/>
      <c r="BF320" s="96"/>
      <c r="BG320" s="96"/>
      <c r="BH320" s="96"/>
      <c r="BI320" s="96"/>
      <c r="BJ320" s="96"/>
      <c r="BK320" s="5"/>
      <c r="BL320" s="5"/>
      <c r="BM320" s="5"/>
      <c r="BN320" s="5"/>
      <c r="BO320" s="5"/>
      <c r="BP320" s="5"/>
    </row>
    <row r="321">
      <c r="A321" s="5"/>
      <c r="B321" s="150"/>
      <c r="C321" s="151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6"/>
      <c r="AQ321" s="5"/>
      <c r="AR321" s="7"/>
      <c r="AT321" s="96"/>
      <c r="AU321" s="96"/>
      <c r="AV321" s="96"/>
      <c r="AW321" s="96"/>
      <c r="AX321" s="96"/>
      <c r="AY321" s="96"/>
      <c r="AZ321" s="96"/>
      <c r="BA321" s="59"/>
      <c r="BB321" s="59"/>
      <c r="BC321" s="59"/>
      <c r="BD321" s="59"/>
      <c r="BE321" s="59"/>
      <c r="BF321" s="96"/>
      <c r="BG321" s="96"/>
      <c r="BH321" s="96"/>
      <c r="BI321" s="96"/>
      <c r="BJ321" s="96"/>
      <c r="BK321" s="5"/>
      <c r="BL321" s="5"/>
      <c r="BM321" s="5"/>
      <c r="BN321" s="5"/>
      <c r="BO321" s="5"/>
      <c r="BP321" s="5"/>
    </row>
    <row r="322">
      <c r="A322" s="5"/>
      <c r="B322" s="150"/>
      <c r="C322" s="151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6"/>
      <c r="AQ322" s="5"/>
      <c r="AR322" s="7"/>
      <c r="AT322" s="96"/>
      <c r="AU322" s="96"/>
      <c r="AV322" s="96"/>
      <c r="AW322" s="96"/>
      <c r="AX322" s="96"/>
      <c r="AY322" s="96"/>
      <c r="AZ322" s="96"/>
      <c r="BA322" s="59"/>
      <c r="BB322" s="59"/>
      <c r="BC322" s="59"/>
      <c r="BD322" s="59"/>
      <c r="BE322" s="59"/>
      <c r="BF322" s="96"/>
      <c r="BG322" s="96"/>
      <c r="BH322" s="96"/>
      <c r="BI322" s="96"/>
      <c r="BJ322" s="96"/>
      <c r="BK322" s="5"/>
      <c r="BL322" s="5"/>
      <c r="BM322" s="5"/>
      <c r="BN322" s="5"/>
      <c r="BO322" s="5"/>
      <c r="BP322" s="5"/>
    </row>
    <row r="323">
      <c r="A323" s="5"/>
      <c r="B323" s="150"/>
      <c r="C323" s="151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6"/>
      <c r="AQ323" s="5"/>
      <c r="AR323" s="7"/>
      <c r="AT323" s="96"/>
      <c r="AU323" s="96"/>
      <c r="AV323" s="96"/>
      <c r="AW323" s="96"/>
      <c r="AX323" s="96"/>
      <c r="AY323" s="96"/>
      <c r="AZ323" s="96"/>
      <c r="BA323" s="59"/>
      <c r="BB323" s="59"/>
      <c r="BC323" s="59"/>
      <c r="BD323" s="59"/>
      <c r="BE323" s="59"/>
      <c r="BF323" s="96"/>
      <c r="BG323" s="96"/>
      <c r="BH323" s="96"/>
      <c r="BI323" s="96"/>
      <c r="BJ323" s="96"/>
      <c r="BK323" s="5"/>
      <c r="BL323" s="5"/>
      <c r="BM323" s="5"/>
      <c r="BN323" s="5"/>
      <c r="BO323" s="5"/>
      <c r="BP323" s="5"/>
    </row>
    <row r="324">
      <c r="A324" s="5"/>
      <c r="B324" s="150"/>
      <c r="C324" s="151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6"/>
      <c r="AQ324" s="5"/>
      <c r="AR324" s="7"/>
      <c r="AT324" s="96"/>
      <c r="AU324" s="96"/>
      <c r="AV324" s="96"/>
      <c r="AW324" s="96"/>
      <c r="AX324" s="96"/>
      <c r="AY324" s="96"/>
      <c r="AZ324" s="96"/>
      <c r="BA324" s="59"/>
      <c r="BB324" s="59"/>
      <c r="BC324" s="59"/>
      <c r="BD324" s="59"/>
      <c r="BE324" s="59"/>
      <c r="BF324" s="96"/>
      <c r="BG324" s="96"/>
      <c r="BH324" s="96"/>
      <c r="BI324" s="96"/>
      <c r="BJ324" s="96"/>
      <c r="BK324" s="5"/>
      <c r="BL324" s="5"/>
      <c r="BM324" s="5"/>
      <c r="BN324" s="5"/>
      <c r="BO324" s="5"/>
      <c r="BP324" s="5"/>
    </row>
    <row r="325">
      <c r="A325" s="5"/>
      <c r="B325" s="150"/>
      <c r="C325" s="151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6"/>
      <c r="AQ325" s="5"/>
      <c r="AR325" s="7"/>
      <c r="AT325" s="96"/>
      <c r="AU325" s="96"/>
      <c r="AV325" s="96"/>
      <c r="AW325" s="96"/>
      <c r="AX325" s="96"/>
      <c r="AY325" s="96"/>
      <c r="AZ325" s="96"/>
      <c r="BA325" s="59"/>
      <c r="BB325" s="59"/>
      <c r="BC325" s="59"/>
      <c r="BD325" s="59"/>
      <c r="BE325" s="59"/>
      <c r="BF325" s="96"/>
      <c r="BG325" s="96"/>
      <c r="BH325" s="96"/>
      <c r="BI325" s="96"/>
      <c r="BJ325" s="96"/>
      <c r="BK325" s="5"/>
      <c r="BL325" s="5"/>
      <c r="BM325" s="5"/>
      <c r="BN325" s="5"/>
      <c r="BO325" s="5"/>
      <c r="BP325" s="5"/>
    </row>
    <row r="326">
      <c r="A326" s="5"/>
      <c r="B326" s="150"/>
      <c r="C326" s="151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6"/>
      <c r="AQ326" s="5"/>
      <c r="AR326" s="7"/>
      <c r="AT326" s="96"/>
      <c r="AU326" s="96"/>
      <c r="AV326" s="96"/>
      <c r="AW326" s="96"/>
      <c r="AX326" s="96"/>
      <c r="AY326" s="96"/>
      <c r="AZ326" s="96"/>
      <c r="BA326" s="59"/>
      <c r="BB326" s="59"/>
      <c r="BC326" s="59"/>
      <c r="BD326" s="59"/>
      <c r="BE326" s="59"/>
      <c r="BF326" s="96"/>
      <c r="BG326" s="96"/>
      <c r="BH326" s="96"/>
      <c r="BI326" s="96"/>
      <c r="BJ326" s="96"/>
      <c r="BK326" s="5"/>
      <c r="BL326" s="5"/>
      <c r="BM326" s="5"/>
      <c r="BN326" s="5"/>
      <c r="BO326" s="5"/>
      <c r="BP326" s="5"/>
    </row>
    <row r="327">
      <c r="A327" s="5"/>
      <c r="B327" s="150"/>
      <c r="C327" s="151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6"/>
      <c r="AQ327" s="5"/>
      <c r="AR327" s="7"/>
      <c r="AT327" s="96"/>
      <c r="AU327" s="96"/>
      <c r="AV327" s="96"/>
      <c r="AW327" s="96"/>
      <c r="AX327" s="96"/>
      <c r="AY327" s="96"/>
      <c r="AZ327" s="96"/>
      <c r="BA327" s="59"/>
      <c r="BB327" s="59"/>
      <c r="BC327" s="59"/>
      <c r="BD327" s="59"/>
      <c r="BE327" s="59"/>
      <c r="BF327" s="96"/>
      <c r="BG327" s="96"/>
      <c r="BH327" s="96"/>
      <c r="BI327" s="96"/>
      <c r="BJ327" s="96"/>
      <c r="BK327" s="5"/>
      <c r="BL327" s="5"/>
      <c r="BM327" s="5"/>
      <c r="BN327" s="5"/>
      <c r="BO327" s="5"/>
      <c r="BP327" s="5"/>
    </row>
    <row r="328">
      <c r="A328" s="5"/>
      <c r="B328" s="150"/>
      <c r="C328" s="151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6"/>
      <c r="AQ328" s="5"/>
      <c r="AR328" s="7"/>
      <c r="AT328" s="96"/>
      <c r="AU328" s="96"/>
      <c r="AV328" s="96"/>
      <c r="AW328" s="96"/>
      <c r="AX328" s="96"/>
      <c r="AY328" s="96"/>
      <c r="AZ328" s="96"/>
      <c r="BA328" s="59"/>
      <c r="BB328" s="59"/>
      <c r="BC328" s="59"/>
      <c r="BD328" s="59"/>
      <c r="BE328" s="59"/>
      <c r="BF328" s="96"/>
      <c r="BG328" s="96"/>
      <c r="BH328" s="96"/>
      <c r="BI328" s="96"/>
      <c r="BJ328" s="96"/>
      <c r="BK328" s="5"/>
      <c r="BL328" s="5"/>
      <c r="BM328" s="5"/>
      <c r="BN328" s="5"/>
      <c r="BO328" s="5"/>
      <c r="BP328" s="5"/>
    </row>
    <row r="329">
      <c r="A329" s="5"/>
      <c r="B329" s="150"/>
      <c r="C329" s="151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6"/>
      <c r="AQ329" s="5"/>
      <c r="AR329" s="7"/>
      <c r="AT329" s="96"/>
      <c r="AU329" s="96"/>
      <c r="AV329" s="96"/>
      <c r="AW329" s="96"/>
      <c r="AX329" s="96"/>
      <c r="AY329" s="96"/>
      <c r="AZ329" s="96"/>
      <c r="BA329" s="59"/>
      <c r="BB329" s="59"/>
      <c r="BC329" s="59"/>
      <c r="BD329" s="59"/>
      <c r="BE329" s="59"/>
      <c r="BF329" s="96"/>
      <c r="BG329" s="96"/>
      <c r="BH329" s="96"/>
      <c r="BI329" s="96"/>
      <c r="BJ329" s="96"/>
      <c r="BK329" s="5"/>
      <c r="BL329" s="5"/>
      <c r="BM329" s="5"/>
      <c r="BN329" s="5"/>
      <c r="BO329" s="5"/>
      <c r="BP329" s="5"/>
    </row>
    <row r="330">
      <c r="A330" s="5"/>
      <c r="B330" s="150"/>
      <c r="C330" s="151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6"/>
      <c r="AQ330" s="5"/>
      <c r="AR330" s="7"/>
      <c r="AT330" s="96"/>
      <c r="AU330" s="96"/>
      <c r="AV330" s="96"/>
      <c r="AW330" s="96"/>
      <c r="AX330" s="96"/>
      <c r="AY330" s="96"/>
      <c r="AZ330" s="96"/>
      <c r="BA330" s="59"/>
      <c r="BB330" s="59"/>
      <c r="BC330" s="59"/>
      <c r="BD330" s="59"/>
      <c r="BE330" s="59"/>
      <c r="BF330" s="96"/>
      <c r="BG330" s="96"/>
      <c r="BH330" s="96"/>
      <c r="BI330" s="96"/>
      <c r="BJ330" s="96"/>
      <c r="BK330" s="5"/>
      <c r="BL330" s="5"/>
      <c r="BM330" s="5"/>
      <c r="BN330" s="5"/>
      <c r="BO330" s="5"/>
      <c r="BP330" s="5"/>
    </row>
    <row r="331">
      <c r="A331" s="5"/>
      <c r="B331" s="150"/>
      <c r="C331" s="151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6"/>
      <c r="AQ331" s="5"/>
      <c r="AR331" s="7"/>
      <c r="AT331" s="96"/>
      <c r="AU331" s="96"/>
      <c r="AV331" s="96"/>
      <c r="AW331" s="96"/>
      <c r="AX331" s="96"/>
      <c r="AY331" s="96"/>
      <c r="AZ331" s="96"/>
      <c r="BA331" s="59"/>
      <c r="BB331" s="59"/>
      <c r="BC331" s="59"/>
      <c r="BD331" s="59"/>
      <c r="BE331" s="59"/>
      <c r="BF331" s="96"/>
      <c r="BG331" s="96"/>
      <c r="BH331" s="96"/>
      <c r="BI331" s="96"/>
      <c r="BJ331" s="96"/>
      <c r="BK331" s="5"/>
      <c r="BL331" s="5"/>
      <c r="BM331" s="5"/>
      <c r="BN331" s="5"/>
      <c r="BO331" s="5"/>
      <c r="BP331" s="5"/>
    </row>
    <row r="332">
      <c r="A332" s="5"/>
      <c r="B332" s="150"/>
      <c r="C332" s="151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6"/>
      <c r="AQ332" s="5"/>
      <c r="AR332" s="7"/>
      <c r="AT332" s="96"/>
      <c r="AU332" s="96"/>
      <c r="AV332" s="96"/>
      <c r="AW332" s="96"/>
      <c r="AX332" s="96"/>
      <c r="AY332" s="96"/>
      <c r="AZ332" s="96"/>
      <c r="BA332" s="59"/>
      <c r="BB332" s="59"/>
      <c r="BC332" s="59"/>
      <c r="BD332" s="59"/>
      <c r="BE332" s="59"/>
      <c r="BF332" s="96"/>
      <c r="BG332" s="96"/>
      <c r="BH332" s="96"/>
      <c r="BI332" s="96"/>
      <c r="BJ332" s="96"/>
      <c r="BK332" s="5"/>
      <c r="BL332" s="5"/>
      <c r="BM332" s="5"/>
      <c r="BN332" s="5"/>
      <c r="BO332" s="5"/>
      <c r="BP332" s="5"/>
    </row>
    <row r="333">
      <c r="A333" s="5"/>
      <c r="B333" s="150"/>
      <c r="C333" s="151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6"/>
      <c r="AQ333" s="5"/>
      <c r="AR333" s="7"/>
      <c r="AT333" s="96"/>
      <c r="AU333" s="96"/>
      <c r="AV333" s="96"/>
      <c r="AW333" s="96"/>
      <c r="AX333" s="96"/>
      <c r="AY333" s="96"/>
      <c r="AZ333" s="96"/>
      <c r="BA333" s="59"/>
      <c r="BB333" s="59"/>
      <c r="BC333" s="59"/>
      <c r="BD333" s="59"/>
      <c r="BE333" s="59"/>
      <c r="BF333" s="96"/>
      <c r="BG333" s="96"/>
      <c r="BH333" s="96"/>
      <c r="BI333" s="96"/>
      <c r="BJ333" s="96"/>
      <c r="BK333" s="5"/>
      <c r="BL333" s="5"/>
      <c r="BM333" s="5"/>
      <c r="BN333" s="5"/>
      <c r="BO333" s="5"/>
      <c r="BP333" s="5"/>
    </row>
    <row r="334">
      <c r="A334" s="5"/>
      <c r="B334" s="150"/>
      <c r="C334" s="151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6"/>
      <c r="AQ334" s="5"/>
      <c r="AR334" s="7"/>
      <c r="AT334" s="96"/>
      <c r="AU334" s="96"/>
      <c r="AV334" s="96"/>
      <c r="AW334" s="96"/>
      <c r="AX334" s="96"/>
      <c r="AY334" s="96"/>
      <c r="AZ334" s="96"/>
      <c r="BA334" s="59"/>
      <c r="BB334" s="59"/>
      <c r="BC334" s="59"/>
      <c r="BD334" s="59"/>
      <c r="BE334" s="59"/>
      <c r="BF334" s="96"/>
      <c r="BG334" s="96"/>
      <c r="BH334" s="96"/>
      <c r="BI334" s="96"/>
      <c r="BJ334" s="96"/>
      <c r="BK334" s="5"/>
      <c r="BL334" s="5"/>
      <c r="BM334" s="5"/>
      <c r="BN334" s="5"/>
      <c r="BO334" s="5"/>
      <c r="BP334" s="5"/>
    </row>
    <row r="335">
      <c r="A335" s="5"/>
      <c r="B335" s="150"/>
      <c r="C335" s="151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6"/>
      <c r="AQ335" s="5"/>
      <c r="AR335" s="7"/>
      <c r="AT335" s="96"/>
      <c r="AU335" s="96"/>
      <c r="AV335" s="96"/>
      <c r="AW335" s="96"/>
      <c r="AX335" s="96"/>
      <c r="AY335" s="96"/>
      <c r="AZ335" s="96"/>
      <c r="BA335" s="59"/>
      <c r="BB335" s="59"/>
      <c r="BC335" s="59"/>
      <c r="BD335" s="59"/>
      <c r="BE335" s="59"/>
      <c r="BF335" s="96"/>
      <c r="BG335" s="96"/>
      <c r="BH335" s="96"/>
      <c r="BI335" s="96"/>
      <c r="BJ335" s="96"/>
      <c r="BK335" s="5"/>
      <c r="BL335" s="5"/>
      <c r="BM335" s="5"/>
      <c r="BN335" s="5"/>
      <c r="BO335" s="5"/>
      <c r="BP335" s="5"/>
    </row>
    <row r="336">
      <c r="A336" s="5"/>
      <c r="B336" s="150"/>
      <c r="C336" s="151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6"/>
      <c r="AQ336" s="5"/>
      <c r="AR336" s="7"/>
      <c r="AT336" s="96"/>
      <c r="AU336" s="96"/>
      <c r="AV336" s="96"/>
      <c r="AW336" s="96"/>
      <c r="AX336" s="96"/>
      <c r="AY336" s="96"/>
      <c r="AZ336" s="96"/>
      <c r="BA336" s="59"/>
      <c r="BB336" s="59"/>
      <c r="BC336" s="59"/>
      <c r="BD336" s="59"/>
      <c r="BE336" s="59"/>
      <c r="BF336" s="96"/>
      <c r="BG336" s="96"/>
      <c r="BH336" s="96"/>
      <c r="BI336" s="96"/>
      <c r="BJ336" s="96"/>
      <c r="BK336" s="5"/>
      <c r="BL336" s="5"/>
      <c r="BM336" s="5"/>
      <c r="BN336" s="5"/>
      <c r="BO336" s="5"/>
      <c r="BP336" s="5"/>
    </row>
    <row r="337">
      <c r="A337" s="5"/>
      <c r="B337" s="150"/>
      <c r="C337" s="151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6"/>
      <c r="AQ337" s="5"/>
      <c r="AR337" s="7"/>
      <c r="AT337" s="96"/>
      <c r="AU337" s="96"/>
      <c r="AV337" s="96"/>
      <c r="AW337" s="96"/>
      <c r="AX337" s="96"/>
      <c r="AY337" s="96"/>
      <c r="AZ337" s="96"/>
      <c r="BA337" s="59"/>
      <c r="BB337" s="59"/>
      <c r="BC337" s="59"/>
      <c r="BD337" s="59"/>
      <c r="BE337" s="59"/>
      <c r="BF337" s="96"/>
      <c r="BG337" s="96"/>
      <c r="BH337" s="96"/>
      <c r="BI337" s="96"/>
      <c r="BJ337" s="96"/>
      <c r="BK337" s="5"/>
      <c r="BL337" s="5"/>
      <c r="BM337" s="5"/>
      <c r="BN337" s="5"/>
      <c r="BO337" s="5"/>
      <c r="BP337" s="5"/>
    </row>
    <row r="338">
      <c r="A338" s="5"/>
      <c r="B338" s="150"/>
      <c r="C338" s="151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6"/>
      <c r="AQ338" s="5"/>
      <c r="AR338" s="7"/>
      <c r="AT338" s="5"/>
      <c r="AU338" s="5"/>
      <c r="AV338" s="5"/>
      <c r="AW338" s="5"/>
      <c r="AX338" s="5"/>
      <c r="AY338" s="5"/>
      <c r="AZ338" s="5"/>
      <c r="BF338" s="96"/>
      <c r="BG338" s="96"/>
      <c r="BH338" s="96"/>
      <c r="BI338" s="96"/>
      <c r="BJ338" s="96"/>
      <c r="BK338" s="5"/>
      <c r="BL338" s="5"/>
      <c r="BM338" s="5"/>
      <c r="BN338" s="5"/>
      <c r="BO338" s="5"/>
      <c r="BP338" s="5"/>
    </row>
    <row r="339">
      <c r="A339" s="5"/>
      <c r="B339" s="150"/>
      <c r="C339" s="151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6"/>
      <c r="AQ339" s="5"/>
      <c r="AR339" s="7"/>
      <c r="AT339" s="5"/>
      <c r="AU339" s="5"/>
      <c r="AV339" s="5"/>
      <c r="AW339" s="5"/>
      <c r="AX339" s="5"/>
      <c r="AY339" s="5"/>
      <c r="AZ339" s="5"/>
      <c r="BF339" s="96"/>
      <c r="BG339" s="96"/>
      <c r="BH339" s="96"/>
      <c r="BI339" s="96"/>
      <c r="BJ339" s="96"/>
      <c r="BK339" s="5"/>
      <c r="BL339" s="5"/>
      <c r="BM339" s="5"/>
      <c r="BN339" s="5"/>
      <c r="BO339" s="5"/>
      <c r="BP339" s="5"/>
    </row>
    <row r="340">
      <c r="A340" s="5"/>
      <c r="B340" s="150"/>
      <c r="C340" s="151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6"/>
      <c r="AQ340" s="5"/>
      <c r="AR340" s="7"/>
      <c r="AT340" s="5"/>
      <c r="AU340" s="5"/>
      <c r="AV340" s="5"/>
      <c r="AW340" s="5"/>
      <c r="AX340" s="5"/>
      <c r="AY340" s="5"/>
      <c r="AZ340" s="5"/>
      <c r="BF340" s="96"/>
      <c r="BG340" s="96"/>
      <c r="BH340" s="96"/>
      <c r="BI340" s="96"/>
      <c r="BJ340" s="96"/>
      <c r="BK340" s="5"/>
      <c r="BL340" s="5"/>
      <c r="BM340" s="5"/>
      <c r="BN340" s="5"/>
      <c r="BO340" s="5"/>
      <c r="BP340" s="5"/>
    </row>
    <row r="341">
      <c r="A341" s="5"/>
      <c r="B341" s="150"/>
      <c r="C341" s="151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6"/>
      <c r="AQ341" s="5"/>
      <c r="AR341" s="7"/>
      <c r="AT341" s="5"/>
      <c r="AU341" s="5"/>
      <c r="AV341" s="5"/>
      <c r="AW341" s="5"/>
      <c r="AX341" s="5"/>
      <c r="AY341" s="5"/>
      <c r="AZ341" s="5"/>
      <c r="BF341" s="96"/>
      <c r="BG341" s="96"/>
      <c r="BH341" s="96"/>
      <c r="BI341" s="96"/>
      <c r="BJ341" s="96"/>
      <c r="BK341" s="5"/>
      <c r="BL341" s="5"/>
      <c r="BM341" s="5"/>
      <c r="BN341" s="5"/>
      <c r="BO341" s="5"/>
      <c r="BP341" s="5"/>
    </row>
    <row r="342">
      <c r="A342" s="5"/>
      <c r="B342" s="150"/>
      <c r="C342" s="151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6"/>
      <c r="AQ342" s="5"/>
      <c r="AR342" s="7"/>
      <c r="AT342" s="5"/>
      <c r="AU342" s="5"/>
      <c r="AV342" s="5"/>
      <c r="AW342" s="5"/>
      <c r="AX342" s="5"/>
      <c r="AY342" s="5"/>
      <c r="AZ342" s="5"/>
      <c r="BF342" s="96"/>
      <c r="BG342" s="96"/>
      <c r="BH342" s="96"/>
      <c r="BI342" s="96"/>
      <c r="BJ342" s="96"/>
      <c r="BK342" s="5"/>
      <c r="BL342" s="5"/>
      <c r="BM342" s="5"/>
      <c r="BN342" s="5"/>
      <c r="BO342" s="5"/>
      <c r="BP342" s="5"/>
    </row>
    <row r="343">
      <c r="A343" s="5"/>
      <c r="B343" s="150"/>
      <c r="C343" s="151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6"/>
      <c r="AQ343" s="5"/>
      <c r="AR343" s="7"/>
      <c r="AT343" s="5"/>
      <c r="AU343" s="5"/>
      <c r="AV343" s="5"/>
      <c r="AW343" s="5"/>
      <c r="AX343" s="5"/>
      <c r="AY343" s="5"/>
      <c r="AZ343" s="5"/>
      <c r="BF343" s="96"/>
      <c r="BG343" s="96"/>
      <c r="BH343" s="96"/>
      <c r="BI343" s="96"/>
      <c r="BJ343" s="96"/>
      <c r="BK343" s="5"/>
      <c r="BL343" s="5"/>
      <c r="BM343" s="5"/>
      <c r="BN343" s="5"/>
      <c r="BO343" s="5"/>
      <c r="BP343" s="5"/>
    </row>
    <row r="344">
      <c r="A344" s="5"/>
      <c r="B344" s="150"/>
      <c r="C344" s="151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6"/>
      <c r="AQ344" s="5"/>
      <c r="AR344" s="7"/>
      <c r="AT344" s="5"/>
      <c r="AU344" s="5"/>
      <c r="AV344" s="5"/>
      <c r="AW344" s="5"/>
      <c r="AX344" s="5"/>
      <c r="AY344" s="5"/>
      <c r="AZ344" s="5"/>
      <c r="BF344" s="96"/>
      <c r="BG344" s="96"/>
      <c r="BH344" s="96"/>
      <c r="BI344" s="96"/>
      <c r="BJ344" s="96"/>
      <c r="BK344" s="5"/>
      <c r="BL344" s="5"/>
      <c r="BM344" s="5"/>
      <c r="BN344" s="5"/>
      <c r="BO344" s="5"/>
      <c r="BP344" s="5"/>
    </row>
    <row r="345">
      <c r="A345" s="5"/>
      <c r="B345" s="150"/>
      <c r="C345" s="151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6"/>
      <c r="AQ345" s="5"/>
      <c r="AR345" s="7"/>
      <c r="AT345" s="5"/>
      <c r="AU345" s="5"/>
      <c r="AV345" s="5"/>
      <c r="AW345" s="5"/>
      <c r="AX345" s="5"/>
      <c r="AY345" s="5"/>
      <c r="AZ345" s="5"/>
      <c r="BF345" s="96"/>
      <c r="BG345" s="96"/>
      <c r="BH345" s="96"/>
      <c r="BI345" s="96"/>
      <c r="BJ345" s="96"/>
      <c r="BK345" s="5"/>
      <c r="BL345" s="5"/>
      <c r="BM345" s="5"/>
      <c r="BN345" s="5"/>
      <c r="BO345" s="5"/>
      <c r="BP345" s="5"/>
    </row>
    <row r="346">
      <c r="A346" s="5"/>
      <c r="B346" s="150"/>
      <c r="C346" s="151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6"/>
      <c r="AQ346" s="5"/>
      <c r="AR346" s="7"/>
      <c r="AT346" s="5"/>
      <c r="AU346" s="5"/>
      <c r="AV346" s="5"/>
      <c r="AW346" s="5"/>
      <c r="AX346" s="5"/>
      <c r="AY346" s="5"/>
      <c r="AZ346" s="5"/>
      <c r="BF346" s="96"/>
      <c r="BG346" s="96"/>
      <c r="BH346" s="96"/>
      <c r="BI346" s="96"/>
      <c r="BJ346" s="96"/>
      <c r="BK346" s="5"/>
      <c r="BL346" s="5"/>
      <c r="BM346" s="5"/>
      <c r="BN346" s="5"/>
      <c r="BO346" s="5"/>
      <c r="BP346" s="5"/>
    </row>
    <row r="347">
      <c r="A347" s="5"/>
      <c r="B347" s="150"/>
      <c r="C347" s="151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6"/>
      <c r="AQ347" s="5"/>
      <c r="AR347" s="7"/>
      <c r="AT347" s="5"/>
      <c r="AU347" s="5"/>
      <c r="AV347" s="5"/>
      <c r="AW347" s="5"/>
      <c r="AX347" s="5"/>
      <c r="AY347" s="5"/>
      <c r="AZ347" s="5"/>
      <c r="BF347" s="96"/>
      <c r="BG347" s="96"/>
      <c r="BH347" s="96"/>
      <c r="BI347" s="96"/>
      <c r="BJ347" s="96"/>
      <c r="BK347" s="5"/>
      <c r="BL347" s="5"/>
      <c r="BM347" s="5"/>
      <c r="BN347" s="5"/>
      <c r="BO347" s="5"/>
      <c r="BP347" s="5"/>
    </row>
    <row r="348">
      <c r="A348" s="5"/>
      <c r="B348" s="150"/>
      <c r="C348" s="151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6"/>
      <c r="AQ348" s="5"/>
      <c r="AR348" s="7"/>
      <c r="AT348" s="5"/>
      <c r="AU348" s="5"/>
      <c r="AV348" s="5"/>
      <c r="AW348" s="5"/>
      <c r="AX348" s="5"/>
      <c r="AY348" s="5"/>
      <c r="AZ348" s="5"/>
      <c r="BF348" s="96"/>
      <c r="BG348" s="96"/>
      <c r="BH348" s="96"/>
      <c r="BI348" s="96"/>
      <c r="BJ348" s="96"/>
      <c r="BK348" s="5"/>
      <c r="BL348" s="5"/>
      <c r="BM348" s="5"/>
      <c r="BN348" s="5"/>
      <c r="BO348" s="5"/>
      <c r="BP348" s="5"/>
    </row>
    <row r="349">
      <c r="A349" s="5"/>
      <c r="B349" s="150"/>
      <c r="C349" s="151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6"/>
      <c r="AQ349" s="5"/>
      <c r="AR349" s="7"/>
      <c r="AT349" s="5"/>
      <c r="AU349" s="5"/>
      <c r="AV349" s="5"/>
      <c r="AW349" s="5"/>
      <c r="AX349" s="5"/>
      <c r="AY349" s="5"/>
      <c r="AZ349" s="5"/>
      <c r="BF349" s="96"/>
      <c r="BG349" s="96"/>
      <c r="BH349" s="96"/>
      <c r="BI349" s="96"/>
      <c r="BJ349" s="96"/>
      <c r="BK349" s="5"/>
      <c r="BL349" s="5"/>
      <c r="BM349" s="5"/>
      <c r="BN349" s="5"/>
      <c r="BO349" s="5"/>
      <c r="BP349" s="5"/>
    </row>
    <row r="350">
      <c r="A350" s="5"/>
      <c r="B350" s="150"/>
      <c r="C350" s="151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6"/>
      <c r="AQ350" s="5"/>
      <c r="AR350" s="7"/>
      <c r="AT350" s="5"/>
      <c r="AU350" s="5"/>
      <c r="AV350" s="5"/>
      <c r="AW350" s="5"/>
      <c r="AX350" s="5"/>
      <c r="AY350" s="5"/>
      <c r="AZ350" s="5"/>
      <c r="BF350" s="96"/>
      <c r="BG350" s="96"/>
      <c r="BH350" s="96"/>
      <c r="BI350" s="96"/>
      <c r="BJ350" s="96"/>
      <c r="BK350" s="5"/>
      <c r="BL350" s="5"/>
      <c r="BM350" s="5"/>
      <c r="BN350" s="5"/>
      <c r="BO350" s="5"/>
      <c r="BP350" s="5"/>
    </row>
    <row r="351">
      <c r="A351" s="5"/>
      <c r="B351" s="150"/>
      <c r="C351" s="151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6"/>
      <c r="AQ351" s="5"/>
      <c r="AR351" s="7"/>
      <c r="AT351" s="5"/>
      <c r="AU351" s="5"/>
      <c r="AV351" s="5"/>
      <c r="AW351" s="5"/>
      <c r="AX351" s="5"/>
      <c r="AY351" s="5"/>
      <c r="AZ351" s="5"/>
      <c r="BF351" s="96"/>
      <c r="BG351" s="96"/>
      <c r="BH351" s="96"/>
      <c r="BI351" s="96"/>
      <c r="BJ351" s="96"/>
      <c r="BK351" s="5"/>
      <c r="BL351" s="5"/>
      <c r="BM351" s="5"/>
      <c r="BN351" s="5"/>
      <c r="BO351" s="5"/>
      <c r="BP351" s="5"/>
    </row>
    <row r="352">
      <c r="A352" s="5"/>
      <c r="B352" s="150"/>
      <c r="C352" s="151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6"/>
      <c r="AQ352" s="5"/>
      <c r="AR352" s="7"/>
      <c r="AT352" s="5"/>
      <c r="AU352" s="5"/>
      <c r="AV352" s="5"/>
      <c r="AW352" s="5"/>
      <c r="AX352" s="5"/>
      <c r="AY352" s="5"/>
      <c r="AZ352" s="5"/>
      <c r="BF352" s="96"/>
      <c r="BG352" s="96"/>
      <c r="BH352" s="96"/>
      <c r="BI352" s="96"/>
      <c r="BJ352" s="96"/>
      <c r="BK352" s="5"/>
      <c r="BL352" s="5"/>
      <c r="BM352" s="5"/>
      <c r="BN352" s="5"/>
      <c r="BO352" s="5"/>
      <c r="BP352" s="5"/>
    </row>
    <row r="353">
      <c r="A353" s="5"/>
      <c r="B353" s="150"/>
      <c r="C353" s="151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6"/>
      <c r="AQ353" s="5"/>
      <c r="AR353" s="7"/>
      <c r="AT353" s="5"/>
      <c r="AU353" s="5"/>
      <c r="AV353" s="5"/>
      <c r="AW353" s="5"/>
      <c r="AX353" s="5"/>
      <c r="AY353" s="5"/>
      <c r="AZ353" s="5"/>
      <c r="BF353" s="96"/>
      <c r="BG353" s="96"/>
      <c r="BH353" s="96"/>
      <c r="BI353" s="96"/>
      <c r="BJ353" s="96"/>
      <c r="BK353" s="5"/>
      <c r="BL353" s="5"/>
      <c r="BM353" s="5"/>
      <c r="BN353" s="5"/>
      <c r="BO353" s="5"/>
      <c r="BP353" s="5"/>
    </row>
    <row r="354">
      <c r="A354" s="5"/>
      <c r="B354" s="150"/>
      <c r="C354" s="151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6"/>
      <c r="AQ354" s="5"/>
      <c r="AR354" s="7"/>
      <c r="AT354" s="5"/>
      <c r="AU354" s="5"/>
      <c r="AV354" s="5"/>
      <c r="AW354" s="5"/>
      <c r="AX354" s="5"/>
      <c r="AY354" s="5"/>
      <c r="AZ354" s="5"/>
      <c r="BF354" s="96"/>
      <c r="BG354" s="96"/>
      <c r="BH354" s="96"/>
      <c r="BI354" s="96"/>
      <c r="BJ354" s="96"/>
      <c r="BK354" s="5"/>
      <c r="BL354" s="5"/>
      <c r="BM354" s="5"/>
      <c r="BN354" s="5"/>
      <c r="BO354" s="5"/>
      <c r="BP354" s="5"/>
    </row>
    <row r="355">
      <c r="A355" s="5"/>
      <c r="B355" s="150"/>
      <c r="C355" s="151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6"/>
      <c r="AQ355" s="5"/>
      <c r="AR355" s="7"/>
      <c r="AT355" s="5"/>
      <c r="AU355" s="5"/>
      <c r="AV355" s="5"/>
      <c r="AW355" s="5"/>
      <c r="AX355" s="5"/>
      <c r="AY355" s="5"/>
      <c r="AZ355" s="5"/>
      <c r="BF355" s="96"/>
      <c r="BG355" s="96"/>
      <c r="BH355" s="96"/>
      <c r="BI355" s="96"/>
      <c r="BJ355" s="96"/>
      <c r="BK355" s="5"/>
      <c r="BL355" s="5"/>
      <c r="BM355" s="5"/>
      <c r="BN355" s="5"/>
      <c r="BO355" s="5"/>
      <c r="BP355" s="5"/>
    </row>
    <row r="356">
      <c r="A356" s="5"/>
      <c r="B356" s="150"/>
      <c r="C356" s="151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6"/>
      <c r="AQ356" s="5"/>
      <c r="AR356" s="7"/>
      <c r="AT356" s="5"/>
      <c r="AU356" s="5"/>
      <c r="AV356" s="5"/>
      <c r="AW356" s="5"/>
      <c r="AX356" s="5"/>
      <c r="AY356" s="5"/>
      <c r="AZ356" s="5"/>
      <c r="BF356" s="96"/>
      <c r="BG356" s="96"/>
      <c r="BH356" s="96"/>
      <c r="BI356" s="96"/>
      <c r="BJ356" s="96"/>
      <c r="BK356" s="5"/>
      <c r="BL356" s="5"/>
      <c r="BM356" s="5"/>
      <c r="BN356" s="5"/>
      <c r="BO356" s="5"/>
      <c r="BP356" s="5"/>
    </row>
    <row r="357">
      <c r="A357" s="5"/>
      <c r="B357" s="150"/>
      <c r="C357" s="151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6"/>
      <c r="AQ357" s="5"/>
      <c r="AR357" s="7"/>
      <c r="AT357" s="5"/>
      <c r="AU357" s="5"/>
      <c r="AV357" s="5"/>
      <c r="AW357" s="5"/>
      <c r="AX357" s="5"/>
      <c r="AY357" s="5"/>
      <c r="AZ357" s="5"/>
      <c r="BF357" s="96"/>
      <c r="BG357" s="96"/>
      <c r="BH357" s="96"/>
      <c r="BI357" s="96"/>
      <c r="BJ357" s="96"/>
      <c r="BK357" s="5"/>
      <c r="BL357" s="5"/>
      <c r="BM357" s="5"/>
      <c r="BN357" s="5"/>
      <c r="BO357" s="5"/>
      <c r="BP357" s="5"/>
    </row>
    <row r="358">
      <c r="A358" s="5"/>
      <c r="B358" s="150"/>
      <c r="C358" s="151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6"/>
      <c r="AQ358" s="5"/>
      <c r="AR358" s="7"/>
      <c r="AT358" s="5"/>
      <c r="AU358" s="5"/>
      <c r="AV358" s="5"/>
      <c r="AW358" s="5"/>
      <c r="AX358" s="5"/>
      <c r="AY358" s="5"/>
      <c r="AZ358" s="5"/>
      <c r="BF358" s="96"/>
      <c r="BG358" s="96"/>
      <c r="BH358" s="96"/>
      <c r="BI358" s="96"/>
      <c r="BJ358" s="96"/>
      <c r="BK358" s="5"/>
      <c r="BL358" s="5"/>
      <c r="BM358" s="5"/>
      <c r="BN358" s="5"/>
      <c r="BO358" s="5"/>
      <c r="BP358" s="5"/>
    </row>
    <row r="359">
      <c r="A359" s="5"/>
      <c r="B359" s="150"/>
      <c r="C359" s="151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6"/>
      <c r="AQ359" s="5"/>
      <c r="AR359" s="7"/>
      <c r="AT359" s="5"/>
      <c r="AU359" s="5"/>
      <c r="AV359" s="5"/>
      <c r="AW359" s="5"/>
      <c r="AX359" s="5"/>
      <c r="AY359" s="5"/>
      <c r="AZ359" s="5"/>
      <c r="BF359" s="96"/>
      <c r="BG359" s="96"/>
      <c r="BH359" s="96"/>
      <c r="BI359" s="96"/>
      <c r="BJ359" s="96"/>
      <c r="BK359" s="5"/>
      <c r="BL359" s="5"/>
      <c r="BM359" s="5"/>
      <c r="BN359" s="5"/>
      <c r="BO359" s="5"/>
      <c r="BP359" s="5"/>
    </row>
    <row r="360">
      <c r="A360" s="5"/>
      <c r="B360" s="150"/>
      <c r="C360" s="151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6"/>
      <c r="AQ360" s="5"/>
      <c r="AR360" s="7"/>
      <c r="AT360" s="5"/>
      <c r="AU360" s="5"/>
      <c r="AV360" s="5"/>
      <c r="AW360" s="5"/>
      <c r="AX360" s="5"/>
      <c r="AY360" s="5"/>
      <c r="AZ360" s="5"/>
      <c r="BF360" s="96"/>
      <c r="BG360" s="96"/>
      <c r="BH360" s="96"/>
      <c r="BI360" s="96"/>
      <c r="BJ360" s="96"/>
      <c r="BK360" s="5"/>
      <c r="BL360" s="5"/>
      <c r="BM360" s="5"/>
      <c r="BN360" s="5"/>
      <c r="BO360" s="5"/>
      <c r="BP360" s="5"/>
    </row>
    <row r="361">
      <c r="A361" s="5"/>
      <c r="B361" s="150"/>
      <c r="C361" s="151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6"/>
      <c r="AQ361" s="5"/>
      <c r="AR361" s="7"/>
      <c r="AT361" s="5"/>
      <c r="AU361" s="5"/>
      <c r="AV361" s="5"/>
      <c r="AW361" s="5"/>
      <c r="AX361" s="5"/>
      <c r="AY361" s="5"/>
      <c r="AZ361" s="5"/>
      <c r="BF361" s="96"/>
      <c r="BG361" s="96"/>
      <c r="BH361" s="96"/>
      <c r="BI361" s="96"/>
      <c r="BJ361" s="96"/>
      <c r="BK361" s="5"/>
      <c r="BL361" s="5"/>
      <c r="BM361" s="5"/>
      <c r="BN361" s="5"/>
      <c r="BO361" s="5"/>
      <c r="BP361" s="5"/>
    </row>
    <row r="362">
      <c r="A362" s="5"/>
      <c r="B362" s="150"/>
      <c r="C362" s="151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6"/>
      <c r="AQ362" s="5"/>
      <c r="AR362" s="7"/>
      <c r="AT362" s="5"/>
      <c r="AU362" s="5"/>
      <c r="AV362" s="5"/>
      <c r="AW362" s="5"/>
      <c r="AX362" s="5"/>
      <c r="AY362" s="5"/>
      <c r="AZ362" s="5"/>
      <c r="BF362" s="96"/>
      <c r="BG362" s="96"/>
      <c r="BH362" s="96"/>
      <c r="BI362" s="96"/>
      <c r="BJ362" s="96"/>
      <c r="BK362" s="5"/>
      <c r="BL362" s="5"/>
      <c r="BM362" s="5"/>
      <c r="BN362" s="5"/>
      <c r="BO362" s="5"/>
      <c r="BP362" s="5"/>
    </row>
    <row r="363">
      <c r="A363" s="5"/>
      <c r="B363" s="150"/>
      <c r="C363" s="151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6"/>
      <c r="AQ363" s="5"/>
      <c r="AR363" s="7"/>
      <c r="AT363" s="5"/>
      <c r="AU363" s="5"/>
      <c r="AV363" s="5"/>
      <c r="AW363" s="5"/>
      <c r="AX363" s="5"/>
      <c r="AY363" s="5"/>
      <c r="AZ363" s="5"/>
      <c r="BF363" s="96"/>
      <c r="BG363" s="96"/>
      <c r="BH363" s="96"/>
      <c r="BI363" s="96"/>
      <c r="BJ363" s="96"/>
      <c r="BK363" s="5"/>
      <c r="BL363" s="5"/>
      <c r="BM363" s="5"/>
      <c r="BN363" s="5"/>
      <c r="BO363" s="5"/>
      <c r="BP363" s="5"/>
    </row>
    <row r="364">
      <c r="A364" s="5"/>
      <c r="B364" s="150"/>
      <c r="C364" s="151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6"/>
      <c r="AQ364" s="5"/>
      <c r="AR364" s="7"/>
      <c r="AT364" s="5"/>
      <c r="AU364" s="5"/>
      <c r="AV364" s="5"/>
      <c r="AW364" s="5"/>
      <c r="AX364" s="5"/>
      <c r="AY364" s="5"/>
      <c r="AZ364" s="5"/>
      <c r="BF364" s="96"/>
      <c r="BG364" s="96"/>
      <c r="BH364" s="96"/>
      <c r="BI364" s="96"/>
      <c r="BJ364" s="96"/>
      <c r="BK364" s="5"/>
      <c r="BL364" s="5"/>
      <c r="BM364" s="5"/>
      <c r="BN364" s="5"/>
      <c r="BO364" s="5"/>
      <c r="BP364" s="5"/>
    </row>
    <row r="365">
      <c r="A365" s="5"/>
      <c r="B365" s="150"/>
      <c r="C365" s="151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6"/>
      <c r="AQ365" s="5"/>
      <c r="AR365" s="7"/>
      <c r="AT365" s="5"/>
      <c r="AU365" s="5"/>
      <c r="AV365" s="5"/>
      <c r="AW365" s="5"/>
      <c r="AX365" s="5"/>
      <c r="AY365" s="5"/>
      <c r="AZ365" s="5"/>
      <c r="BF365" s="96"/>
      <c r="BG365" s="96"/>
      <c r="BH365" s="96"/>
      <c r="BI365" s="96"/>
      <c r="BJ365" s="96"/>
      <c r="BK365" s="5"/>
      <c r="BL365" s="5"/>
      <c r="BM365" s="5"/>
      <c r="BN365" s="5"/>
      <c r="BO365" s="5"/>
      <c r="BP365" s="5"/>
    </row>
    <row r="366">
      <c r="A366" s="5"/>
      <c r="B366" s="150"/>
      <c r="C366" s="151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6"/>
      <c r="AQ366" s="5"/>
      <c r="AR366" s="7"/>
      <c r="AT366" s="5"/>
      <c r="AU366" s="5"/>
      <c r="AV366" s="5"/>
      <c r="AW366" s="5"/>
      <c r="AX366" s="5"/>
      <c r="AY366" s="5"/>
      <c r="AZ366" s="5"/>
      <c r="BF366" s="96"/>
      <c r="BG366" s="96"/>
      <c r="BH366" s="96"/>
      <c r="BI366" s="96"/>
      <c r="BJ366" s="96"/>
      <c r="BK366" s="5"/>
      <c r="BL366" s="5"/>
      <c r="BM366" s="5"/>
      <c r="BN366" s="5"/>
      <c r="BO366" s="5"/>
      <c r="BP366" s="5"/>
    </row>
    <row r="367">
      <c r="A367" s="5"/>
      <c r="B367" s="150"/>
      <c r="C367" s="151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6"/>
      <c r="AQ367" s="5"/>
      <c r="AR367" s="7"/>
      <c r="AT367" s="5"/>
      <c r="AU367" s="5"/>
      <c r="AV367" s="5"/>
      <c r="AW367" s="5"/>
      <c r="AX367" s="5"/>
      <c r="AY367" s="5"/>
      <c r="AZ367" s="5"/>
      <c r="BF367" s="96"/>
      <c r="BG367" s="96"/>
      <c r="BH367" s="96"/>
      <c r="BI367" s="96"/>
      <c r="BJ367" s="96"/>
      <c r="BK367" s="5"/>
      <c r="BL367" s="5"/>
      <c r="BM367" s="5"/>
      <c r="BN367" s="5"/>
      <c r="BO367" s="5"/>
      <c r="BP367" s="5"/>
    </row>
    <row r="368">
      <c r="A368" s="5"/>
      <c r="B368" s="150"/>
      <c r="C368" s="151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6"/>
      <c r="AQ368" s="5"/>
      <c r="AR368" s="7"/>
      <c r="AT368" s="5"/>
      <c r="AU368" s="5"/>
      <c r="AV368" s="5"/>
      <c r="AW368" s="5"/>
      <c r="AX368" s="5"/>
      <c r="AY368" s="5"/>
      <c r="AZ368" s="5"/>
      <c r="BF368" s="96"/>
      <c r="BG368" s="96"/>
      <c r="BH368" s="96"/>
      <c r="BI368" s="96"/>
      <c r="BJ368" s="96"/>
      <c r="BK368" s="5"/>
      <c r="BL368" s="5"/>
      <c r="BM368" s="5"/>
      <c r="BN368" s="5"/>
      <c r="BO368" s="5"/>
      <c r="BP368" s="5"/>
    </row>
    <row r="369">
      <c r="A369" s="5"/>
      <c r="B369" s="150"/>
      <c r="C369" s="151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6"/>
      <c r="AQ369" s="5"/>
      <c r="AR369" s="7"/>
      <c r="AT369" s="5"/>
      <c r="AU369" s="5"/>
      <c r="AV369" s="5"/>
      <c r="AW369" s="5"/>
      <c r="AX369" s="5"/>
      <c r="AY369" s="5"/>
      <c r="AZ369" s="5"/>
      <c r="BF369" s="96"/>
      <c r="BG369" s="96"/>
      <c r="BH369" s="96"/>
      <c r="BI369" s="96"/>
      <c r="BJ369" s="96"/>
      <c r="BK369" s="5"/>
      <c r="BL369" s="5"/>
      <c r="BM369" s="5"/>
      <c r="BN369" s="5"/>
      <c r="BO369" s="5"/>
      <c r="BP369" s="5"/>
    </row>
    <row r="370">
      <c r="A370" s="5"/>
      <c r="B370" s="150"/>
      <c r="C370" s="151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6"/>
      <c r="AQ370" s="5"/>
      <c r="AR370" s="7"/>
      <c r="AT370" s="5"/>
      <c r="AU370" s="5"/>
      <c r="AV370" s="5"/>
      <c r="AW370" s="5"/>
      <c r="AX370" s="5"/>
      <c r="AY370" s="5"/>
      <c r="AZ370" s="5"/>
      <c r="BF370" s="96"/>
      <c r="BG370" s="96"/>
      <c r="BH370" s="96"/>
      <c r="BI370" s="96"/>
      <c r="BJ370" s="96"/>
      <c r="BK370" s="5"/>
      <c r="BL370" s="5"/>
      <c r="BM370" s="5"/>
      <c r="BN370" s="5"/>
      <c r="BO370" s="5"/>
      <c r="BP370" s="5"/>
    </row>
    <row r="371">
      <c r="A371" s="5"/>
      <c r="B371" s="150"/>
      <c r="C371" s="151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6"/>
      <c r="AQ371" s="5"/>
      <c r="AR371" s="7"/>
      <c r="AT371" s="5"/>
      <c r="AU371" s="5"/>
      <c r="AV371" s="5"/>
      <c r="AW371" s="5"/>
      <c r="AX371" s="5"/>
      <c r="AY371" s="5"/>
      <c r="AZ371" s="5"/>
      <c r="BF371" s="96"/>
      <c r="BG371" s="96"/>
      <c r="BH371" s="96"/>
      <c r="BI371" s="96"/>
      <c r="BJ371" s="96"/>
      <c r="BK371" s="5"/>
      <c r="BL371" s="5"/>
      <c r="BM371" s="5"/>
      <c r="BN371" s="5"/>
      <c r="BO371" s="5"/>
      <c r="BP371" s="5"/>
    </row>
    <row r="372">
      <c r="A372" s="5"/>
      <c r="B372" s="150"/>
      <c r="C372" s="151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6"/>
      <c r="AQ372" s="5"/>
      <c r="AR372" s="7"/>
      <c r="AT372" s="5"/>
      <c r="AU372" s="5"/>
      <c r="AV372" s="5"/>
      <c r="AW372" s="5"/>
      <c r="AX372" s="5"/>
      <c r="AY372" s="5"/>
      <c r="AZ372" s="5"/>
      <c r="BF372" s="96"/>
      <c r="BG372" s="96"/>
      <c r="BH372" s="96"/>
      <c r="BI372" s="96"/>
      <c r="BJ372" s="96"/>
      <c r="BK372" s="5"/>
      <c r="BL372" s="5"/>
      <c r="BM372" s="5"/>
      <c r="BN372" s="5"/>
      <c r="BO372" s="5"/>
      <c r="BP372" s="5"/>
    </row>
    <row r="373">
      <c r="A373" s="5"/>
      <c r="B373" s="150"/>
      <c r="C373" s="151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6"/>
      <c r="AQ373" s="5"/>
      <c r="AR373" s="7"/>
      <c r="AT373" s="5"/>
      <c r="AU373" s="5"/>
      <c r="AV373" s="5"/>
      <c r="AW373" s="5"/>
      <c r="AX373" s="5"/>
      <c r="AY373" s="5"/>
      <c r="AZ373" s="5"/>
      <c r="BF373" s="96"/>
      <c r="BG373" s="96"/>
      <c r="BH373" s="96"/>
      <c r="BI373" s="96"/>
      <c r="BJ373" s="96"/>
      <c r="BK373" s="5"/>
      <c r="BL373" s="5"/>
      <c r="BM373" s="5"/>
      <c r="BN373" s="5"/>
      <c r="BO373" s="5"/>
      <c r="BP373" s="5"/>
    </row>
    <row r="374">
      <c r="A374" s="5"/>
      <c r="B374" s="150"/>
      <c r="C374" s="151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6"/>
      <c r="AQ374" s="5"/>
      <c r="AR374" s="7"/>
      <c r="AT374" s="5"/>
      <c r="AU374" s="5"/>
      <c r="AV374" s="5"/>
      <c r="AW374" s="5"/>
      <c r="AX374" s="5"/>
      <c r="AY374" s="5"/>
      <c r="AZ374" s="5"/>
      <c r="BF374" s="96"/>
      <c r="BG374" s="96"/>
      <c r="BH374" s="96"/>
      <c r="BI374" s="96"/>
      <c r="BJ374" s="96"/>
      <c r="BK374" s="5"/>
      <c r="BL374" s="5"/>
      <c r="BM374" s="5"/>
      <c r="BN374" s="5"/>
      <c r="BO374" s="5"/>
      <c r="BP374" s="5"/>
    </row>
    <row r="375">
      <c r="A375" s="5"/>
      <c r="B375" s="150"/>
      <c r="C375" s="151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6"/>
      <c r="AQ375" s="5"/>
      <c r="AR375" s="7"/>
      <c r="AT375" s="5"/>
      <c r="AU375" s="5"/>
      <c r="AV375" s="5"/>
      <c r="AW375" s="5"/>
      <c r="AX375" s="5"/>
      <c r="AY375" s="5"/>
      <c r="AZ375" s="5"/>
      <c r="BF375" s="96"/>
      <c r="BG375" s="96"/>
      <c r="BH375" s="96"/>
      <c r="BI375" s="96"/>
      <c r="BJ375" s="96"/>
      <c r="BK375" s="5"/>
      <c r="BL375" s="5"/>
      <c r="BM375" s="5"/>
      <c r="BN375" s="5"/>
      <c r="BO375" s="5"/>
      <c r="BP375" s="5"/>
    </row>
    <row r="376">
      <c r="A376" s="5"/>
      <c r="B376" s="150"/>
      <c r="C376" s="151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6"/>
      <c r="AQ376" s="5"/>
      <c r="AR376" s="7"/>
      <c r="AT376" s="5"/>
      <c r="AU376" s="5"/>
      <c r="AV376" s="5"/>
      <c r="AW376" s="5"/>
      <c r="AX376" s="5"/>
      <c r="AY376" s="5"/>
      <c r="AZ376" s="5"/>
      <c r="BF376" s="96"/>
      <c r="BG376" s="96"/>
      <c r="BH376" s="96"/>
      <c r="BI376" s="96"/>
      <c r="BJ376" s="96"/>
      <c r="BK376" s="5"/>
      <c r="BL376" s="5"/>
      <c r="BM376" s="5"/>
      <c r="BN376" s="5"/>
      <c r="BO376" s="5"/>
      <c r="BP376" s="5"/>
    </row>
    <row r="377">
      <c r="A377" s="5"/>
      <c r="B377" s="150"/>
      <c r="C377" s="151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6"/>
      <c r="AQ377" s="5"/>
      <c r="AR377" s="7"/>
      <c r="AT377" s="5"/>
      <c r="AU377" s="5"/>
      <c r="AV377" s="5"/>
      <c r="AW377" s="5"/>
      <c r="AX377" s="5"/>
      <c r="AY377" s="5"/>
      <c r="AZ377" s="5"/>
      <c r="BF377" s="96"/>
      <c r="BG377" s="96"/>
      <c r="BH377" s="96"/>
      <c r="BI377" s="96"/>
      <c r="BJ377" s="96"/>
      <c r="BK377" s="5"/>
      <c r="BL377" s="5"/>
      <c r="BM377" s="5"/>
      <c r="BN377" s="5"/>
      <c r="BO377" s="5"/>
      <c r="BP377" s="5"/>
    </row>
    <row r="378">
      <c r="A378" s="5"/>
      <c r="B378" s="150"/>
      <c r="C378" s="151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6"/>
      <c r="AQ378" s="5"/>
      <c r="AR378" s="7"/>
      <c r="AT378" s="5"/>
      <c r="AU378" s="5"/>
      <c r="AV378" s="5"/>
      <c r="AW378" s="5"/>
      <c r="AX378" s="5"/>
      <c r="AY378" s="5"/>
      <c r="AZ378" s="5"/>
      <c r="BF378" s="96"/>
      <c r="BG378" s="96"/>
      <c r="BH378" s="96"/>
      <c r="BI378" s="96"/>
      <c r="BJ378" s="96"/>
      <c r="BK378" s="5"/>
      <c r="BL378" s="5"/>
      <c r="BM378" s="5"/>
      <c r="BN378" s="5"/>
      <c r="BO378" s="5"/>
      <c r="BP378" s="5"/>
    </row>
    <row r="379">
      <c r="A379" s="5"/>
      <c r="B379" s="150"/>
      <c r="C379" s="151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6"/>
      <c r="AQ379" s="5"/>
      <c r="AR379" s="7"/>
      <c r="AT379" s="5"/>
      <c r="AU379" s="5"/>
      <c r="AV379" s="5"/>
      <c r="AW379" s="5"/>
      <c r="AX379" s="5"/>
      <c r="AY379" s="5"/>
      <c r="AZ379" s="5"/>
      <c r="BF379" s="96"/>
      <c r="BG379" s="96"/>
      <c r="BH379" s="96"/>
      <c r="BI379" s="96"/>
      <c r="BJ379" s="96"/>
      <c r="BK379" s="5"/>
      <c r="BL379" s="5"/>
      <c r="BM379" s="5"/>
      <c r="BN379" s="5"/>
      <c r="BO379" s="5"/>
      <c r="BP379" s="5"/>
    </row>
    <row r="380">
      <c r="A380" s="5"/>
      <c r="B380" s="150"/>
      <c r="C380" s="151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6"/>
      <c r="AQ380" s="5"/>
      <c r="AR380" s="7"/>
      <c r="AT380" s="5"/>
      <c r="AU380" s="5"/>
      <c r="AV380" s="5"/>
      <c r="AW380" s="5"/>
      <c r="AX380" s="5"/>
      <c r="AY380" s="5"/>
      <c r="AZ380" s="5"/>
      <c r="BF380" s="96"/>
      <c r="BG380" s="96"/>
      <c r="BH380" s="96"/>
      <c r="BI380" s="96"/>
      <c r="BJ380" s="96"/>
      <c r="BK380" s="5"/>
      <c r="BL380" s="5"/>
      <c r="BM380" s="5"/>
      <c r="BN380" s="5"/>
      <c r="BO380" s="5"/>
      <c r="BP380" s="5"/>
    </row>
    <row r="381">
      <c r="A381" s="5"/>
      <c r="B381" s="150"/>
      <c r="C381" s="151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6"/>
      <c r="AQ381" s="5"/>
      <c r="AR381" s="7"/>
      <c r="AT381" s="5"/>
      <c r="AU381" s="5"/>
      <c r="AV381" s="5"/>
      <c r="AW381" s="5"/>
      <c r="AX381" s="5"/>
      <c r="AY381" s="5"/>
      <c r="AZ381" s="5"/>
      <c r="BF381" s="96"/>
      <c r="BG381" s="96"/>
      <c r="BH381" s="96"/>
      <c r="BI381" s="96"/>
      <c r="BJ381" s="96"/>
      <c r="BK381" s="5"/>
      <c r="BL381" s="5"/>
      <c r="BM381" s="5"/>
      <c r="BN381" s="5"/>
      <c r="BO381" s="5"/>
      <c r="BP381" s="5"/>
    </row>
    <row r="382">
      <c r="A382" s="5"/>
      <c r="B382" s="150"/>
      <c r="C382" s="151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6"/>
      <c r="AQ382" s="5"/>
      <c r="AR382" s="7"/>
      <c r="AT382" s="5"/>
      <c r="AU382" s="5"/>
      <c r="AV382" s="5"/>
      <c r="AW382" s="5"/>
      <c r="AX382" s="5"/>
      <c r="AY382" s="5"/>
      <c r="AZ382" s="5"/>
      <c r="BF382" s="96"/>
      <c r="BG382" s="96"/>
      <c r="BH382" s="96"/>
      <c r="BI382" s="96"/>
      <c r="BJ382" s="96"/>
      <c r="BK382" s="5"/>
      <c r="BL382" s="5"/>
      <c r="BM382" s="5"/>
      <c r="BN382" s="5"/>
      <c r="BO382" s="5"/>
      <c r="BP382" s="5"/>
    </row>
    <row r="383">
      <c r="A383" s="5"/>
      <c r="B383" s="150"/>
      <c r="C383" s="151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6"/>
      <c r="AQ383" s="5"/>
      <c r="AR383" s="7"/>
      <c r="AT383" s="5"/>
      <c r="AU383" s="5"/>
      <c r="AV383" s="5"/>
      <c r="AW383" s="5"/>
      <c r="AX383" s="5"/>
      <c r="AY383" s="5"/>
      <c r="AZ383" s="5"/>
      <c r="BF383" s="96"/>
      <c r="BG383" s="96"/>
      <c r="BH383" s="96"/>
      <c r="BI383" s="96"/>
      <c r="BJ383" s="96"/>
      <c r="BK383" s="5"/>
      <c r="BL383" s="5"/>
      <c r="BM383" s="5"/>
      <c r="BN383" s="5"/>
      <c r="BO383" s="5"/>
      <c r="BP383" s="5"/>
    </row>
    <row r="384">
      <c r="A384" s="5"/>
      <c r="B384" s="150"/>
      <c r="C384" s="151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6"/>
      <c r="AQ384" s="5"/>
      <c r="AR384" s="7"/>
      <c r="AT384" s="5"/>
      <c r="AU384" s="5"/>
      <c r="AV384" s="5"/>
      <c r="AW384" s="5"/>
      <c r="AX384" s="5"/>
      <c r="AY384" s="5"/>
      <c r="AZ384" s="5"/>
      <c r="BF384" s="96"/>
      <c r="BG384" s="96"/>
      <c r="BH384" s="96"/>
      <c r="BI384" s="96"/>
      <c r="BJ384" s="96"/>
      <c r="BK384" s="5"/>
      <c r="BL384" s="5"/>
      <c r="BM384" s="5"/>
      <c r="BN384" s="5"/>
      <c r="BO384" s="5"/>
      <c r="BP384" s="5"/>
    </row>
    <row r="385">
      <c r="A385" s="5"/>
      <c r="B385" s="150"/>
      <c r="C385" s="151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6"/>
      <c r="AQ385" s="5"/>
      <c r="AR385" s="7"/>
      <c r="AT385" s="5"/>
      <c r="AU385" s="5"/>
      <c r="AV385" s="5"/>
      <c r="AW385" s="5"/>
      <c r="AX385" s="5"/>
      <c r="AY385" s="5"/>
      <c r="AZ385" s="5"/>
      <c r="BF385" s="96"/>
      <c r="BG385" s="96"/>
      <c r="BH385" s="96"/>
      <c r="BI385" s="96"/>
      <c r="BJ385" s="96"/>
      <c r="BK385" s="5"/>
      <c r="BL385" s="5"/>
      <c r="BM385" s="5"/>
      <c r="BN385" s="5"/>
      <c r="BO385" s="5"/>
      <c r="BP385" s="5"/>
    </row>
    <row r="386">
      <c r="A386" s="5"/>
      <c r="B386" s="150"/>
      <c r="C386" s="151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6"/>
      <c r="AQ386" s="5"/>
      <c r="AR386" s="7"/>
      <c r="AT386" s="5"/>
      <c r="AU386" s="5"/>
      <c r="AV386" s="5"/>
      <c r="AW386" s="5"/>
      <c r="AX386" s="5"/>
      <c r="AY386" s="5"/>
      <c r="AZ386" s="5"/>
      <c r="BF386" s="96"/>
      <c r="BG386" s="96"/>
      <c r="BH386" s="96"/>
      <c r="BI386" s="96"/>
      <c r="BJ386" s="96"/>
      <c r="BK386" s="5"/>
      <c r="BL386" s="5"/>
      <c r="BM386" s="5"/>
      <c r="BN386" s="5"/>
      <c r="BO386" s="5"/>
      <c r="BP386" s="5"/>
    </row>
    <row r="387">
      <c r="A387" s="5"/>
      <c r="B387" s="150"/>
      <c r="C387" s="151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6"/>
      <c r="AQ387" s="5"/>
      <c r="AR387" s="7"/>
      <c r="AT387" s="5"/>
      <c r="AU387" s="5"/>
      <c r="AV387" s="5"/>
      <c r="AW387" s="5"/>
      <c r="AX387" s="5"/>
      <c r="AY387" s="5"/>
      <c r="AZ387" s="5"/>
      <c r="BF387" s="96"/>
      <c r="BG387" s="96"/>
      <c r="BH387" s="96"/>
      <c r="BI387" s="96"/>
      <c r="BJ387" s="96"/>
      <c r="BK387" s="5"/>
      <c r="BL387" s="5"/>
      <c r="BM387" s="5"/>
      <c r="BN387" s="5"/>
      <c r="BO387" s="5"/>
      <c r="BP387" s="5"/>
    </row>
    <row r="388">
      <c r="A388" s="5"/>
      <c r="B388" s="150"/>
      <c r="C388" s="151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6"/>
      <c r="AQ388" s="5"/>
      <c r="AR388" s="7"/>
      <c r="AT388" s="5"/>
      <c r="AU388" s="5"/>
      <c r="AV388" s="5"/>
      <c r="AW388" s="5"/>
      <c r="AX388" s="5"/>
      <c r="AY388" s="5"/>
      <c r="AZ388" s="5"/>
      <c r="BF388" s="96"/>
      <c r="BG388" s="96"/>
      <c r="BH388" s="96"/>
      <c r="BI388" s="96"/>
      <c r="BJ388" s="96"/>
      <c r="BK388" s="5"/>
      <c r="BL388" s="5"/>
      <c r="BM388" s="5"/>
      <c r="BN388" s="5"/>
      <c r="BO388" s="5"/>
      <c r="BP388" s="5"/>
    </row>
    <row r="389">
      <c r="A389" s="5"/>
      <c r="B389" s="150"/>
      <c r="C389" s="151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6"/>
      <c r="AQ389" s="5"/>
      <c r="AR389" s="7"/>
      <c r="AT389" s="5"/>
      <c r="AU389" s="5"/>
      <c r="AV389" s="5"/>
      <c r="AW389" s="5"/>
      <c r="AX389" s="5"/>
      <c r="AY389" s="5"/>
      <c r="AZ389" s="5"/>
      <c r="BF389" s="96"/>
      <c r="BG389" s="96"/>
      <c r="BH389" s="96"/>
      <c r="BI389" s="96"/>
      <c r="BJ389" s="96"/>
      <c r="BK389" s="5"/>
      <c r="BL389" s="5"/>
      <c r="BM389" s="5"/>
      <c r="BN389" s="5"/>
      <c r="BO389" s="5"/>
      <c r="BP389" s="5"/>
    </row>
    <row r="390">
      <c r="A390" s="5"/>
      <c r="B390" s="150"/>
      <c r="C390" s="151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6"/>
      <c r="AQ390" s="5"/>
      <c r="AR390" s="7"/>
      <c r="AT390" s="5"/>
      <c r="AU390" s="5"/>
      <c r="AV390" s="5"/>
      <c r="AW390" s="5"/>
      <c r="AX390" s="5"/>
      <c r="AY390" s="5"/>
      <c r="AZ390" s="5"/>
      <c r="BF390" s="96"/>
      <c r="BG390" s="96"/>
      <c r="BH390" s="96"/>
      <c r="BI390" s="96"/>
      <c r="BJ390" s="96"/>
      <c r="BK390" s="5"/>
      <c r="BL390" s="5"/>
      <c r="BM390" s="5"/>
      <c r="BN390" s="5"/>
      <c r="BO390" s="5"/>
      <c r="BP390" s="5"/>
    </row>
    <row r="391">
      <c r="A391" s="5"/>
      <c r="B391" s="150"/>
      <c r="C391" s="151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6"/>
      <c r="AQ391" s="5"/>
      <c r="AR391" s="7"/>
      <c r="AT391" s="5"/>
      <c r="AU391" s="5"/>
      <c r="AV391" s="5"/>
      <c r="AW391" s="5"/>
      <c r="AX391" s="5"/>
      <c r="AY391" s="5"/>
      <c r="AZ391" s="5"/>
      <c r="BF391" s="96"/>
      <c r="BG391" s="96"/>
      <c r="BH391" s="96"/>
      <c r="BI391" s="96"/>
      <c r="BJ391" s="96"/>
      <c r="BK391" s="5"/>
      <c r="BL391" s="5"/>
      <c r="BM391" s="5"/>
      <c r="BN391" s="5"/>
      <c r="BO391" s="5"/>
      <c r="BP391" s="5"/>
    </row>
    <row r="392">
      <c r="A392" s="5"/>
      <c r="B392" s="150"/>
      <c r="C392" s="151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6"/>
      <c r="AQ392" s="5"/>
      <c r="AR392" s="7"/>
      <c r="AT392" s="5"/>
      <c r="AU392" s="5"/>
      <c r="AV392" s="5"/>
      <c r="AW392" s="5"/>
      <c r="AX392" s="5"/>
      <c r="AY392" s="5"/>
      <c r="AZ392" s="5"/>
      <c r="BF392" s="96"/>
      <c r="BG392" s="96"/>
      <c r="BH392" s="96"/>
      <c r="BI392" s="96"/>
      <c r="BJ392" s="96"/>
      <c r="BK392" s="5"/>
      <c r="BL392" s="5"/>
      <c r="BM392" s="5"/>
      <c r="BN392" s="5"/>
      <c r="BO392" s="5"/>
      <c r="BP392" s="5"/>
    </row>
    <row r="393">
      <c r="A393" s="5"/>
      <c r="B393" s="150"/>
      <c r="C393" s="151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6"/>
      <c r="AQ393" s="5"/>
      <c r="AR393" s="7"/>
      <c r="AT393" s="5"/>
      <c r="AU393" s="5"/>
      <c r="AV393" s="5"/>
      <c r="AW393" s="5"/>
      <c r="AX393" s="5"/>
      <c r="AY393" s="5"/>
      <c r="AZ393" s="5"/>
      <c r="BF393" s="96"/>
      <c r="BG393" s="96"/>
      <c r="BH393" s="96"/>
      <c r="BI393" s="96"/>
      <c r="BJ393" s="96"/>
      <c r="BK393" s="5"/>
      <c r="BL393" s="5"/>
      <c r="BM393" s="5"/>
      <c r="BN393" s="5"/>
      <c r="BO393" s="5"/>
      <c r="BP393" s="5"/>
    </row>
    <row r="394">
      <c r="A394" s="5"/>
      <c r="B394" s="150"/>
      <c r="C394" s="151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6"/>
      <c r="AQ394" s="5"/>
      <c r="AR394" s="7"/>
      <c r="AT394" s="5"/>
      <c r="AU394" s="5"/>
      <c r="AV394" s="5"/>
      <c r="AW394" s="5"/>
      <c r="AX394" s="5"/>
      <c r="AY394" s="5"/>
      <c r="AZ394" s="5"/>
      <c r="BF394" s="96"/>
      <c r="BG394" s="96"/>
      <c r="BH394" s="96"/>
      <c r="BI394" s="96"/>
      <c r="BJ394" s="96"/>
      <c r="BK394" s="5"/>
      <c r="BL394" s="5"/>
      <c r="BM394" s="5"/>
      <c r="BN394" s="5"/>
      <c r="BO394" s="5"/>
      <c r="BP394" s="5"/>
    </row>
    <row r="395">
      <c r="A395" s="5"/>
      <c r="B395" s="150"/>
      <c r="C395" s="151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6"/>
      <c r="AQ395" s="5"/>
      <c r="AR395" s="7"/>
      <c r="AT395" s="5"/>
      <c r="AU395" s="5"/>
      <c r="AV395" s="5"/>
      <c r="AW395" s="5"/>
      <c r="AX395" s="5"/>
      <c r="AY395" s="5"/>
      <c r="AZ395" s="5"/>
      <c r="BF395" s="96"/>
      <c r="BG395" s="96"/>
      <c r="BH395" s="96"/>
      <c r="BI395" s="96"/>
      <c r="BJ395" s="96"/>
      <c r="BK395" s="5"/>
      <c r="BL395" s="5"/>
      <c r="BM395" s="5"/>
      <c r="BN395" s="5"/>
      <c r="BO395" s="5"/>
      <c r="BP395" s="5"/>
    </row>
    <row r="396">
      <c r="A396" s="5"/>
      <c r="B396" s="150"/>
      <c r="C396" s="151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6"/>
      <c r="AQ396" s="5"/>
      <c r="AR396" s="7"/>
      <c r="AT396" s="5"/>
      <c r="AU396" s="5"/>
      <c r="AV396" s="5"/>
      <c r="AW396" s="5"/>
      <c r="AX396" s="5"/>
      <c r="AY396" s="5"/>
      <c r="AZ396" s="5"/>
      <c r="BF396" s="96"/>
      <c r="BG396" s="96"/>
      <c r="BH396" s="96"/>
      <c r="BI396" s="96"/>
      <c r="BJ396" s="96"/>
      <c r="BK396" s="5"/>
      <c r="BL396" s="5"/>
      <c r="BM396" s="5"/>
      <c r="BN396" s="5"/>
      <c r="BO396" s="5"/>
      <c r="BP396" s="5"/>
    </row>
    <row r="397">
      <c r="A397" s="5"/>
      <c r="B397" s="150"/>
      <c r="C397" s="151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6"/>
      <c r="AQ397" s="5"/>
      <c r="AR397" s="7"/>
      <c r="AT397" s="5"/>
      <c r="AU397" s="5"/>
      <c r="AV397" s="5"/>
      <c r="AW397" s="5"/>
      <c r="AX397" s="5"/>
      <c r="AY397" s="5"/>
      <c r="AZ397" s="5"/>
      <c r="BF397" s="96"/>
      <c r="BG397" s="96"/>
      <c r="BH397" s="96"/>
      <c r="BI397" s="96"/>
      <c r="BJ397" s="96"/>
      <c r="BK397" s="5"/>
      <c r="BL397" s="5"/>
      <c r="BM397" s="5"/>
      <c r="BN397" s="5"/>
      <c r="BO397" s="5"/>
      <c r="BP397" s="5"/>
    </row>
    <row r="398">
      <c r="A398" s="5"/>
      <c r="B398" s="150"/>
      <c r="C398" s="151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6"/>
      <c r="AQ398" s="5"/>
      <c r="AR398" s="7"/>
      <c r="AT398" s="5"/>
      <c r="AU398" s="5"/>
      <c r="AV398" s="5"/>
      <c r="AW398" s="5"/>
      <c r="AX398" s="5"/>
      <c r="AY398" s="5"/>
      <c r="AZ398" s="5"/>
      <c r="BF398" s="96"/>
      <c r="BG398" s="96"/>
      <c r="BH398" s="96"/>
      <c r="BI398" s="96"/>
      <c r="BJ398" s="96"/>
      <c r="BK398" s="5"/>
      <c r="BL398" s="5"/>
      <c r="BM398" s="5"/>
      <c r="BN398" s="5"/>
      <c r="BO398" s="5"/>
      <c r="BP398" s="5"/>
    </row>
    <row r="399">
      <c r="A399" s="5"/>
      <c r="B399" s="150"/>
      <c r="C399" s="151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6"/>
      <c r="AQ399" s="5"/>
      <c r="AR399" s="7"/>
      <c r="AT399" s="5"/>
      <c r="AU399" s="5"/>
      <c r="AV399" s="5"/>
      <c r="AW399" s="5"/>
      <c r="AX399" s="5"/>
      <c r="AY399" s="5"/>
      <c r="AZ399" s="5"/>
      <c r="BF399" s="96"/>
      <c r="BG399" s="96"/>
      <c r="BH399" s="96"/>
      <c r="BI399" s="96"/>
      <c r="BJ399" s="96"/>
      <c r="BK399" s="5"/>
      <c r="BL399" s="5"/>
      <c r="BM399" s="5"/>
      <c r="BN399" s="5"/>
      <c r="BO399" s="5"/>
      <c r="BP399" s="5"/>
    </row>
    <row r="400">
      <c r="A400" s="5"/>
      <c r="B400" s="150"/>
      <c r="C400" s="151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6"/>
      <c r="AQ400" s="5"/>
      <c r="AR400" s="7"/>
      <c r="AT400" s="5"/>
      <c r="AU400" s="5"/>
      <c r="AV400" s="5"/>
      <c r="AW400" s="5"/>
      <c r="AX400" s="5"/>
      <c r="AY400" s="5"/>
      <c r="AZ400" s="5"/>
      <c r="BF400" s="96"/>
      <c r="BG400" s="96"/>
      <c r="BH400" s="96"/>
      <c r="BI400" s="96"/>
      <c r="BJ400" s="96"/>
      <c r="BK400" s="5"/>
      <c r="BL400" s="5"/>
      <c r="BM400" s="5"/>
      <c r="BN400" s="5"/>
      <c r="BO400" s="5"/>
      <c r="BP400" s="5"/>
    </row>
    <row r="401">
      <c r="A401" s="5"/>
      <c r="B401" s="150"/>
      <c r="C401" s="151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6"/>
      <c r="AQ401" s="5"/>
      <c r="AR401" s="7"/>
      <c r="AT401" s="5"/>
      <c r="AU401" s="5"/>
      <c r="AV401" s="5"/>
      <c r="AW401" s="5"/>
      <c r="AX401" s="5"/>
      <c r="AY401" s="5"/>
      <c r="AZ401" s="5"/>
      <c r="BF401" s="96"/>
      <c r="BG401" s="96"/>
      <c r="BH401" s="96"/>
      <c r="BI401" s="96"/>
      <c r="BJ401" s="96"/>
      <c r="BK401" s="5"/>
      <c r="BL401" s="5"/>
      <c r="BM401" s="5"/>
      <c r="BN401" s="5"/>
      <c r="BO401" s="5"/>
      <c r="BP401" s="5"/>
    </row>
    <row r="402">
      <c r="A402" s="5"/>
      <c r="B402" s="150"/>
      <c r="C402" s="151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6"/>
      <c r="AQ402" s="5"/>
      <c r="AR402" s="7"/>
      <c r="AT402" s="5"/>
      <c r="AU402" s="5"/>
      <c r="AV402" s="5"/>
      <c r="AW402" s="5"/>
      <c r="AX402" s="5"/>
      <c r="AY402" s="5"/>
      <c r="AZ402" s="5"/>
      <c r="BF402" s="96"/>
      <c r="BG402" s="96"/>
      <c r="BH402" s="96"/>
      <c r="BI402" s="96"/>
      <c r="BJ402" s="96"/>
      <c r="BK402" s="5"/>
      <c r="BL402" s="5"/>
      <c r="BM402" s="5"/>
      <c r="BN402" s="5"/>
      <c r="BO402" s="5"/>
      <c r="BP402" s="5"/>
    </row>
    <row r="403">
      <c r="A403" s="5"/>
      <c r="B403" s="150"/>
      <c r="C403" s="151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6"/>
      <c r="AQ403" s="5"/>
      <c r="AR403" s="7"/>
      <c r="AT403" s="5"/>
      <c r="AU403" s="5"/>
      <c r="AV403" s="5"/>
      <c r="AW403" s="5"/>
      <c r="AX403" s="5"/>
      <c r="AY403" s="5"/>
      <c r="AZ403" s="5"/>
      <c r="BF403" s="96"/>
      <c r="BG403" s="96"/>
      <c r="BH403" s="96"/>
      <c r="BI403" s="96"/>
      <c r="BJ403" s="96"/>
      <c r="BK403" s="5"/>
      <c r="BL403" s="5"/>
      <c r="BM403" s="5"/>
      <c r="BN403" s="5"/>
      <c r="BO403" s="5"/>
      <c r="BP403" s="5"/>
    </row>
    <row r="404">
      <c r="A404" s="5"/>
      <c r="B404" s="150"/>
      <c r="C404" s="151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6"/>
      <c r="AQ404" s="5"/>
      <c r="AR404" s="7"/>
      <c r="AT404" s="5"/>
      <c r="AU404" s="5"/>
      <c r="AV404" s="5"/>
      <c r="AW404" s="5"/>
      <c r="AX404" s="5"/>
      <c r="AY404" s="5"/>
      <c r="AZ404" s="5"/>
      <c r="BF404" s="96"/>
      <c r="BG404" s="96"/>
      <c r="BH404" s="96"/>
      <c r="BI404" s="96"/>
      <c r="BJ404" s="96"/>
      <c r="BK404" s="5"/>
      <c r="BL404" s="5"/>
      <c r="BM404" s="5"/>
      <c r="BN404" s="5"/>
      <c r="BO404" s="5"/>
      <c r="BP404" s="5"/>
    </row>
    <row r="405">
      <c r="A405" s="5"/>
      <c r="B405" s="150"/>
      <c r="C405" s="151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6"/>
      <c r="AQ405" s="5"/>
      <c r="AR405" s="7"/>
      <c r="AT405" s="5"/>
      <c r="AU405" s="5"/>
      <c r="AV405" s="5"/>
      <c r="AW405" s="5"/>
      <c r="AX405" s="5"/>
      <c r="AY405" s="5"/>
      <c r="AZ405" s="5"/>
      <c r="BF405" s="96"/>
      <c r="BG405" s="96"/>
      <c r="BH405" s="96"/>
      <c r="BI405" s="96"/>
      <c r="BJ405" s="96"/>
      <c r="BK405" s="5"/>
      <c r="BL405" s="5"/>
      <c r="BM405" s="5"/>
      <c r="BN405" s="5"/>
      <c r="BO405" s="5"/>
      <c r="BP405" s="5"/>
    </row>
    <row r="406">
      <c r="A406" s="5"/>
      <c r="B406" s="150"/>
      <c r="C406" s="151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6"/>
      <c r="AQ406" s="5"/>
      <c r="AR406" s="7"/>
      <c r="AT406" s="5"/>
      <c r="AU406" s="5"/>
      <c r="AV406" s="5"/>
      <c r="AW406" s="5"/>
      <c r="AX406" s="5"/>
      <c r="AY406" s="5"/>
      <c r="AZ406" s="5"/>
      <c r="BF406" s="96"/>
      <c r="BG406" s="96"/>
      <c r="BH406" s="96"/>
      <c r="BI406" s="96"/>
      <c r="BJ406" s="96"/>
      <c r="BK406" s="5"/>
      <c r="BL406" s="5"/>
      <c r="BM406" s="5"/>
      <c r="BN406" s="5"/>
      <c r="BO406" s="5"/>
      <c r="BP406" s="5"/>
    </row>
    <row r="407">
      <c r="A407" s="5"/>
      <c r="B407" s="150"/>
      <c r="C407" s="151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6"/>
      <c r="AQ407" s="5"/>
      <c r="AR407" s="7"/>
      <c r="AT407" s="5"/>
      <c r="AU407" s="5"/>
      <c r="AV407" s="5"/>
      <c r="AW407" s="5"/>
      <c r="AX407" s="5"/>
      <c r="AY407" s="5"/>
      <c r="AZ407" s="5"/>
      <c r="BF407" s="96"/>
      <c r="BG407" s="96"/>
      <c r="BH407" s="96"/>
      <c r="BI407" s="96"/>
      <c r="BJ407" s="96"/>
      <c r="BK407" s="5"/>
      <c r="BL407" s="5"/>
      <c r="BM407" s="5"/>
      <c r="BN407" s="5"/>
      <c r="BO407" s="5"/>
      <c r="BP407" s="5"/>
    </row>
    <row r="408">
      <c r="A408" s="5"/>
      <c r="B408" s="150"/>
      <c r="C408" s="151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6"/>
      <c r="AQ408" s="5"/>
      <c r="AR408" s="7"/>
      <c r="AT408" s="5"/>
      <c r="AU408" s="5"/>
      <c r="AV408" s="5"/>
      <c r="AW408" s="5"/>
      <c r="AX408" s="5"/>
      <c r="AY408" s="5"/>
      <c r="AZ408" s="5"/>
      <c r="BF408" s="96"/>
      <c r="BG408" s="96"/>
      <c r="BH408" s="96"/>
      <c r="BI408" s="96"/>
      <c r="BJ408" s="96"/>
      <c r="BK408" s="5"/>
      <c r="BL408" s="5"/>
      <c r="BM408" s="5"/>
      <c r="BN408" s="5"/>
      <c r="BO408" s="5"/>
      <c r="BP408" s="5"/>
    </row>
    <row r="409">
      <c r="A409" s="5"/>
      <c r="B409" s="150"/>
      <c r="C409" s="151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6"/>
      <c r="AQ409" s="5"/>
      <c r="AR409" s="7"/>
      <c r="AT409" s="5"/>
      <c r="AU409" s="5"/>
      <c r="AV409" s="5"/>
      <c r="AW409" s="5"/>
      <c r="AX409" s="5"/>
      <c r="AY409" s="5"/>
      <c r="AZ409" s="5"/>
      <c r="BF409" s="96"/>
      <c r="BG409" s="96"/>
      <c r="BH409" s="96"/>
      <c r="BI409" s="96"/>
      <c r="BJ409" s="96"/>
      <c r="BK409" s="5"/>
      <c r="BL409" s="5"/>
      <c r="BM409" s="5"/>
      <c r="BN409" s="5"/>
      <c r="BO409" s="5"/>
      <c r="BP409" s="5"/>
    </row>
    <row r="410">
      <c r="A410" s="5"/>
      <c r="B410" s="150"/>
      <c r="C410" s="151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6"/>
      <c r="AQ410" s="5"/>
      <c r="AR410" s="7"/>
      <c r="AT410" s="5"/>
      <c r="AU410" s="5"/>
      <c r="AV410" s="5"/>
      <c r="AW410" s="5"/>
      <c r="AX410" s="5"/>
      <c r="AY410" s="5"/>
      <c r="AZ410" s="5"/>
      <c r="BF410" s="96"/>
      <c r="BG410" s="96"/>
      <c r="BH410" s="96"/>
      <c r="BI410" s="96"/>
      <c r="BJ410" s="96"/>
      <c r="BK410" s="5"/>
      <c r="BL410" s="5"/>
      <c r="BM410" s="5"/>
      <c r="BN410" s="5"/>
      <c r="BO410" s="5"/>
      <c r="BP410" s="5"/>
    </row>
    <row r="411">
      <c r="A411" s="5"/>
      <c r="B411" s="150"/>
      <c r="C411" s="151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6"/>
      <c r="AQ411" s="5"/>
      <c r="AR411" s="7"/>
      <c r="AT411" s="5"/>
      <c r="AU411" s="5"/>
      <c r="AV411" s="5"/>
      <c r="AW411" s="5"/>
      <c r="AX411" s="5"/>
      <c r="AY411" s="5"/>
      <c r="AZ411" s="5"/>
      <c r="BF411" s="96"/>
      <c r="BG411" s="96"/>
      <c r="BH411" s="96"/>
      <c r="BI411" s="96"/>
      <c r="BJ411" s="96"/>
      <c r="BK411" s="5"/>
      <c r="BL411" s="5"/>
      <c r="BM411" s="5"/>
      <c r="BN411" s="5"/>
      <c r="BO411" s="5"/>
      <c r="BP411" s="5"/>
    </row>
    <row r="412">
      <c r="A412" s="5"/>
      <c r="B412" s="150"/>
      <c r="C412" s="151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6"/>
      <c r="AQ412" s="5"/>
      <c r="AR412" s="7"/>
      <c r="AT412" s="5"/>
      <c r="AU412" s="5"/>
      <c r="AV412" s="5"/>
      <c r="AW412" s="5"/>
      <c r="AX412" s="5"/>
      <c r="AY412" s="5"/>
      <c r="AZ412" s="5"/>
      <c r="BF412" s="96"/>
      <c r="BG412" s="96"/>
      <c r="BH412" s="96"/>
      <c r="BI412" s="96"/>
      <c r="BJ412" s="96"/>
      <c r="BK412" s="5"/>
      <c r="BL412" s="5"/>
      <c r="BM412" s="5"/>
      <c r="BN412" s="5"/>
      <c r="BO412" s="5"/>
      <c r="BP412" s="5"/>
    </row>
    <row r="413">
      <c r="A413" s="5"/>
      <c r="B413" s="150"/>
      <c r="C413" s="151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6"/>
      <c r="AQ413" s="5"/>
      <c r="AR413" s="7"/>
      <c r="AT413" s="5"/>
      <c r="AU413" s="5"/>
      <c r="AV413" s="5"/>
      <c r="AW413" s="5"/>
      <c r="AX413" s="5"/>
      <c r="AY413" s="5"/>
      <c r="AZ413" s="5"/>
      <c r="BF413" s="96"/>
      <c r="BG413" s="96"/>
      <c r="BH413" s="96"/>
      <c r="BI413" s="96"/>
      <c r="BJ413" s="96"/>
      <c r="BK413" s="5"/>
      <c r="BL413" s="5"/>
      <c r="BM413" s="5"/>
      <c r="BN413" s="5"/>
      <c r="BO413" s="5"/>
      <c r="BP413" s="5"/>
    </row>
    <row r="414">
      <c r="A414" s="5"/>
      <c r="B414" s="150"/>
      <c r="C414" s="151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6"/>
      <c r="AQ414" s="5"/>
      <c r="AR414" s="7"/>
      <c r="AT414" s="5"/>
      <c r="AU414" s="5"/>
      <c r="AV414" s="5"/>
      <c r="AW414" s="5"/>
      <c r="AX414" s="5"/>
      <c r="AY414" s="5"/>
      <c r="AZ414" s="5"/>
      <c r="BF414" s="96"/>
      <c r="BG414" s="96"/>
      <c r="BH414" s="96"/>
      <c r="BI414" s="96"/>
      <c r="BJ414" s="96"/>
      <c r="BK414" s="5"/>
      <c r="BL414" s="5"/>
      <c r="BM414" s="5"/>
      <c r="BN414" s="5"/>
      <c r="BO414" s="5"/>
      <c r="BP414" s="5"/>
    </row>
    <row r="415">
      <c r="A415" s="5"/>
      <c r="B415" s="150"/>
      <c r="C415" s="151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6"/>
      <c r="AQ415" s="5"/>
      <c r="AR415" s="7"/>
      <c r="AT415" s="5"/>
      <c r="AU415" s="5"/>
      <c r="AV415" s="5"/>
      <c r="AW415" s="5"/>
      <c r="AX415" s="5"/>
      <c r="AY415" s="5"/>
      <c r="AZ415" s="5"/>
      <c r="BF415" s="96"/>
      <c r="BG415" s="96"/>
      <c r="BH415" s="96"/>
      <c r="BI415" s="96"/>
      <c r="BJ415" s="96"/>
      <c r="BK415" s="5"/>
      <c r="BL415" s="5"/>
      <c r="BM415" s="5"/>
      <c r="BN415" s="5"/>
      <c r="BO415" s="5"/>
      <c r="BP415" s="5"/>
    </row>
    <row r="416">
      <c r="A416" s="5"/>
      <c r="B416" s="150"/>
      <c r="C416" s="151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6"/>
      <c r="AQ416" s="5"/>
      <c r="AR416" s="7"/>
      <c r="AT416" s="5"/>
      <c r="AU416" s="5"/>
      <c r="AV416" s="5"/>
      <c r="AW416" s="5"/>
      <c r="AX416" s="5"/>
      <c r="AY416" s="5"/>
      <c r="AZ416" s="5"/>
      <c r="BF416" s="96"/>
      <c r="BG416" s="96"/>
      <c r="BH416" s="96"/>
      <c r="BI416" s="96"/>
      <c r="BJ416" s="96"/>
      <c r="BK416" s="5"/>
      <c r="BL416" s="5"/>
      <c r="BM416" s="5"/>
      <c r="BN416" s="5"/>
      <c r="BO416" s="5"/>
      <c r="BP416" s="5"/>
    </row>
    <row r="417">
      <c r="A417" s="5"/>
      <c r="B417" s="150"/>
      <c r="C417" s="151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6"/>
      <c r="AQ417" s="5"/>
      <c r="AR417" s="7"/>
      <c r="AT417" s="5"/>
      <c r="AU417" s="5"/>
      <c r="AV417" s="5"/>
      <c r="AW417" s="5"/>
      <c r="AX417" s="5"/>
      <c r="AY417" s="5"/>
      <c r="AZ417" s="5"/>
      <c r="BF417" s="96"/>
      <c r="BG417" s="96"/>
      <c r="BH417" s="96"/>
      <c r="BI417" s="96"/>
      <c r="BJ417" s="96"/>
      <c r="BK417" s="5"/>
      <c r="BL417" s="5"/>
      <c r="BM417" s="5"/>
      <c r="BN417" s="5"/>
      <c r="BO417" s="5"/>
      <c r="BP417" s="5"/>
    </row>
    <row r="418">
      <c r="A418" s="5"/>
      <c r="B418" s="150"/>
      <c r="C418" s="151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6"/>
      <c r="AQ418" s="5"/>
      <c r="AR418" s="7"/>
      <c r="AT418" s="5"/>
      <c r="AU418" s="5"/>
      <c r="AV418" s="5"/>
      <c r="AW418" s="5"/>
      <c r="AX418" s="5"/>
      <c r="AY418" s="5"/>
      <c r="AZ418" s="5"/>
      <c r="BF418" s="96"/>
      <c r="BG418" s="96"/>
      <c r="BH418" s="96"/>
      <c r="BI418" s="96"/>
      <c r="BJ418" s="96"/>
      <c r="BK418" s="5"/>
      <c r="BL418" s="5"/>
      <c r="BM418" s="5"/>
      <c r="BN418" s="5"/>
      <c r="BO418" s="5"/>
      <c r="BP418" s="5"/>
    </row>
    <row r="419">
      <c r="A419" s="5"/>
      <c r="B419" s="150"/>
      <c r="C419" s="151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6"/>
      <c r="AQ419" s="5"/>
      <c r="AR419" s="7"/>
      <c r="AT419" s="5"/>
      <c r="AU419" s="5"/>
      <c r="AV419" s="5"/>
      <c r="AW419" s="5"/>
      <c r="AX419" s="5"/>
      <c r="AY419" s="5"/>
      <c r="AZ419" s="5"/>
      <c r="BF419" s="96"/>
      <c r="BG419" s="96"/>
      <c r="BH419" s="96"/>
      <c r="BI419" s="96"/>
      <c r="BJ419" s="96"/>
      <c r="BK419" s="5"/>
      <c r="BL419" s="5"/>
      <c r="BM419" s="5"/>
      <c r="BN419" s="5"/>
      <c r="BO419" s="5"/>
      <c r="BP419" s="5"/>
    </row>
    <row r="420">
      <c r="A420" s="5"/>
      <c r="B420" s="150"/>
      <c r="C420" s="151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6"/>
      <c r="AQ420" s="5"/>
      <c r="AR420" s="7"/>
      <c r="AT420" s="5"/>
      <c r="AU420" s="5"/>
      <c r="AV420" s="5"/>
      <c r="AW420" s="5"/>
      <c r="AX420" s="5"/>
      <c r="AY420" s="5"/>
      <c r="AZ420" s="5"/>
      <c r="BF420" s="96"/>
      <c r="BG420" s="96"/>
      <c r="BH420" s="96"/>
      <c r="BI420" s="96"/>
      <c r="BJ420" s="96"/>
      <c r="BK420" s="5"/>
      <c r="BL420" s="5"/>
      <c r="BM420" s="5"/>
      <c r="BN420" s="5"/>
      <c r="BO420" s="5"/>
      <c r="BP420" s="5"/>
    </row>
    <row r="421">
      <c r="A421" s="5"/>
      <c r="B421" s="150"/>
      <c r="C421" s="151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6"/>
      <c r="AQ421" s="5"/>
      <c r="AR421" s="7"/>
      <c r="AT421" s="5"/>
      <c r="AU421" s="5"/>
      <c r="AV421" s="5"/>
      <c r="AW421" s="5"/>
      <c r="AX421" s="5"/>
      <c r="AY421" s="5"/>
      <c r="AZ421" s="5"/>
      <c r="BF421" s="96"/>
      <c r="BG421" s="96"/>
      <c r="BH421" s="96"/>
      <c r="BI421" s="96"/>
      <c r="BJ421" s="96"/>
      <c r="BK421" s="5"/>
      <c r="BL421" s="5"/>
      <c r="BM421" s="5"/>
      <c r="BN421" s="5"/>
      <c r="BO421" s="5"/>
      <c r="BP421" s="5"/>
    </row>
    <row r="422">
      <c r="A422" s="5"/>
      <c r="B422" s="150"/>
      <c r="C422" s="151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6"/>
      <c r="AQ422" s="5"/>
      <c r="AR422" s="7"/>
      <c r="AT422" s="5"/>
      <c r="AU422" s="5"/>
      <c r="AV422" s="5"/>
      <c r="AW422" s="5"/>
      <c r="AX422" s="5"/>
      <c r="AY422" s="5"/>
      <c r="AZ422" s="5"/>
      <c r="BF422" s="96"/>
      <c r="BG422" s="96"/>
      <c r="BH422" s="96"/>
      <c r="BI422" s="96"/>
      <c r="BJ422" s="96"/>
      <c r="BK422" s="5"/>
      <c r="BL422" s="5"/>
      <c r="BM422" s="5"/>
      <c r="BN422" s="5"/>
      <c r="BO422" s="5"/>
      <c r="BP422" s="5"/>
    </row>
    <row r="423">
      <c r="A423" s="5"/>
      <c r="B423" s="150"/>
      <c r="C423" s="151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6"/>
      <c r="AQ423" s="5"/>
      <c r="AR423" s="7"/>
      <c r="AT423" s="5"/>
      <c r="AU423" s="5"/>
      <c r="AV423" s="5"/>
      <c r="AW423" s="5"/>
      <c r="AX423" s="5"/>
      <c r="AY423" s="5"/>
      <c r="AZ423" s="5"/>
      <c r="BF423" s="96"/>
      <c r="BG423" s="96"/>
      <c r="BH423" s="96"/>
      <c r="BI423" s="96"/>
      <c r="BJ423" s="96"/>
      <c r="BK423" s="5"/>
      <c r="BL423" s="5"/>
      <c r="BM423" s="5"/>
      <c r="BN423" s="5"/>
      <c r="BO423" s="5"/>
      <c r="BP423" s="5"/>
    </row>
    <row r="424">
      <c r="A424" s="5"/>
      <c r="B424" s="150"/>
      <c r="C424" s="151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6"/>
      <c r="AQ424" s="5"/>
      <c r="AR424" s="7"/>
      <c r="AT424" s="5"/>
      <c r="AU424" s="5"/>
      <c r="AV424" s="5"/>
      <c r="AW424" s="5"/>
      <c r="AX424" s="5"/>
      <c r="AY424" s="5"/>
      <c r="AZ424" s="5"/>
      <c r="BF424" s="96"/>
      <c r="BG424" s="96"/>
      <c r="BH424" s="96"/>
      <c r="BI424" s="96"/>
      <c r="BJ424" s="96"/>
      <c r="BK424" s="5"/>
      <c r="BL424" s="5"/>
      <c r="BM424" s="5"/>
      <c r="BN424" s="5"/>
      <c r="BO424" s="5"/>
      <c r="BP424" s="5"/>
    </row>
    <row r="425">
      <c r="A425" s="5"/>
      <c r="B425" s="150"/>
      <c r="C425" s="151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6"/>
      <c r="AQ425" s="5"/>
      <c r="AR425" s="7"/>
      <c r="AT425" s="5"/>
      <c r="AU425" s="5"/>
      <c r="AV425" s="5"/>
      <c r="AW425" s="5"/>
      <c r="AX425" s="5"/>
      <c r="AY425" s="5"/>
      <c r="AZ425" s="5"/>
      <c r="BF425" s="96"/>
      <c r="BG425" s="96"/>
      <c r="BH425" s="96"/>
      <c r="BI425" s="96"/>
      <c r="BJ425" s="96"/>
      <c r="BK425" s="5"/>
      <c r="BL425" s="5"/>
      <c r="BM425" s="5"/>
      <c r="BN425" s="5"/>
      <c r="BO425" s="5"/>
      <c r="BP425" s="5"/>
    </row>
    <row r="426">
      <c r="A426" s="5"/>
      <c r="B426" s="150"/>
      <c r="C426" s="151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6"/>
      <c r="AQ426" s="5"/>
      <c r="AR426" s="7"/>
      <c r="AT426" s="5"/>
      <c r="AU426" s="5"/>
      <c r="AV426" s="5"/>
      <c r="AW426" s="5"/>
      <c r="AX426" s="5"/>
      <c r="AY426" s="5"/>
      <c r="AZ426" s="5"/>
      <c r="BF426" s="96"/>
      <c r="BG426" s="96"/>
      <c r="BH426" s="96"/>
      <c r="BI426" s="96"/>
      <c r="BJ426" s="96"/>
      <c r="BK426" s="5"/>
      <c r="BL426" s="5"/>
      <c r="BM426" s="5"/>
      <c r="BN426" s="5"/>
      <c r="BO426" s="5"/>
      <c r="BP426" s="5"/>
    </row>
    <row r="427">
      <c r="A427" s="5"/>
      <c r="B427" s="150"/>
      <c r="C427" s="151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6"/>
      <c r="AQ427" s="5"/>
      <c r="AR427" s="7"/>
      <c r="AT427" s="5"/>
      <c r="AU427" s="5"/>
      <c r="AV427" s="5"/>
      <c r="AW427" s="5"/>
      <c r="AX427" s="5"/>
      <c r="AY427" s="5"/>
      <c r="AZ427" s="5"/>
      <c r="BF427" s="96"/>
      <c r="BG427" s="96"/>
      <c r="BH427" s="96"/>
      <c r="BI427" s="96"/>
      <c r="BJ427" s="96"/>
      <c r="BK427" s="5"/>
      <c r="BL427" s="5"/>
      <c r="BM427" s="5"/>
      <c r="BN427" s="5"/>
      <c r="BO427" s="5"/>
      <c r="BP427" s="5"/>
    </row>
    <row r="428">
      <c r="A428" s="5"/>
      <c r="B428" s="150"/>
      <c r="C428" s="151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6"/>
      <c r="AQ428" s="5"/>
      <c r="AR428" s="7"/>
      <c r="AT428" s="5"/>
      <c r="AU428" s="5"/>
      <c r="AV428" s="5"/>
      <c r="AW428" s="5"/>
      <c r="AX428" s="5"/>
      <c r="AY428" s="5"/>
      <c r="AZ428" s="5"/>
      <c r="BF428" s="96"/>
      <c r="BG428" s="96"/>
      <c r="BH428" s="96"/>
      <c r="BI428" s="96"/>
      <c r="BJ428" s="96"/>
      <c r="BK428" s="5"/>
      <c r="BL428" s="5"/>
      <c r="BM428" s="5"/>
      <c r="BN428" s="5"/>
      <c r="BO428" s="5"/>
      <c r="BP428" s="5"/>
    </row>
    <row r="429">
      <c r="A429" s="5"/>
      <c r="B429" s="150"/>
      <c r="C429" s="151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6"/>
      <c r="AQ429" s="5"/>
      <c r="AR429" s="7"/>
      <c r="AT429" s="5"/>
      <c r="AU429" s="5"/>
      <c r="AV429" s="5"/>
      <c r="AW429" s="5"/>
      <c r="AX429" s="5"/>
      <c r="AY429" s="5"/>
      <c r="AZ429" s="5"/>
      <c r="BF429" s="96"/>
      <c r="BG429" s="96"/>
      <c r="BH429" s="96"/>
      <c r="BI429" s="96"/>
      <c r="BJ429" s="96"/>
      <c r="BK429" s="5"/>
      <c r="BL429" s="5"/>
      <c r="BM429" s="5"/>
      <c r="BN429" s="5"/>
      <c r="BO429" s="5"/>
      <c r="BP429" s="5"/>
    </row>
    <row r="430">
      <c r="A430" s="5"/>
      <c r="B430" s="150"/>
      <c r="C430" s="151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6"/>
      <c r="AQ430" s="5"/>
      <c r="AR430" s="7"/>
      <c r="AT430" s="5"/>
      <c r="AU430" s="5"/>
      <c r="AV430" s="5"/>
      <c r="AW430" s="5"/>
      <c r="AX430" s="5"/>
      <c r="AY430" s="5"/>
      <c r="AZ430" s="5"/>
      <c r="BF430" s="96"/>
      <c r="BG430" s="96"/>
      <c r="BH430" s="96"/>
      <c r="BI430" s="96"/>
      <c r="BJ430" s="96"/>
      <c r="BK430" s="5"/>
      <c r="BL430" s="5"/>
      <c r="BM430" s="5"/>
      <c r="BN430" s="5"/>
      <c r="BO430" s="5"/>
      <c r="BP430" s="5"/>
    </row>
    <row r="431">
      <c r="A431" s="5"/>
      <c r="B431" s="150"/>
      <c r="C431" s="151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6"/>
      <c r="AQ431" s="5"/>
      <c r="AR431" s="7"/>
      <c r="AT431" s="5"/>
      <c r="AU431" s="5"/>
      <c r="AV431" s="5"/>
      <c r="AW431" s="5"/>
      <c r="AX431" s="5"/>
      <c r="AY431" s="5"/>
      <c r="AZ431" s="5"/>
      <c r="BF431" s="96"/>
      <c r="BG431" s="96"/>
      <c r="BH431" s="96"/>
      <c r="BI431" s="96"/>
      <c r="BJ431" s="96"/>
      <c r="BK431" s="5"/>
      <c r="BL431" s="5"/>
      <c r="BM431" s="5"/>
      <c r="BN431" s="5"/>
      <c r="BO431" s="5"/>
      <c r="BP431" s="5"/>
    </row>
    <row r="432">
      <c r="A432" s="5"/>
      <c r="B432" s="150"/>
      <c r="C432" s="151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6"/>
      <c r="AQ432" s="5"/>
      <c r="AR432" s="7"/>
      <c r="AT432" s="5"/>
      <c r="AU432" s="5"/>
      <c r="AV432" s="5"/>
      <c r="AW432" s="5"/>
      <c r="AX432" s="5"/>
      <c r="AY432" s="5"/>
      <c r="AZ432" s="5"/>
      <c r="BF432" s="96"/>
      <c r="BG432" s="96"/>
      <c r="BH432" s="96"/>
      <c r="BI432" s="96"/>
      <c r="BJ432" s="96"/>
      <c r="BK432" s="5"/>
      <c r="BL432" s="5"/>
      <c r="BM432" s="5"/>
      <c r="BN432" s="5"/>
      <c r="BO432" s="5"/>
      <c r="BP432" s="5"/>
    </row>
    <row r="433">
      <c r="A433" s="5"/>
      <c r="B433" s="150"/>
      <c r="C433" s="151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6"/>
      <c r="AQ433" s="5"/>
      <c r="AR433" s="7"/>
      <c r="AT433" s="5"/>
      <c r="AU433" s="5"/>
      <c r="AV433" s="5"/>
      <c r="AW433" s="5"/>
      <c r="AX433" s="5"/>
      <c r="AY433" s="5"/>
      <c r="AZ433" s="5"/>
      <c r="BF433" s="96"/>
      <c r="BG433" s="96"/>
      <c r="BH433" s="96"/>
      <c r="BI433" s="96"/>
      <c r="BJ433" s="96"/>
      <c r="BK433" s="5"/>
      <c r="BL433" s="5"/>
      <c r="BM433" s="5"/>
      <c r="BN433" s="5"/>
      <c r="BO433" s="5"/>
      <c r="BP433" s="5"/>
    </row>
    <row r="434">
      <c r="A434" s="5"/>
      <c r="B434" s="150"/>
      <c r="C434" s="151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6"/>
      <c r="AQ434" s="5"/>
      <c r="AR434" s="7"/>
      <c r="AT434" s="5"/>
      <c r="AU434" s="5"/>
      <c r="AV434" s="5"/>
      <c r="AW434" s="5"/>
      <c r="AX434" s="5"/>
      <c r="AY434" s="5"/>
      <c r="AZ434" s="5"/>
      <c r="BF434" s="96"/>
      <c r="BG434" s="96"/>
      <c r="BH434" s="96"/>
      <c r="BI434" s="96"/>
      <c r="BJ434" s="96"/>
      <c r="BK434" s="5"/>
      <c r="BL434" s="5"/>
      <c r="BM434" s="5"/>
      <c r="BN434" s="5"/>
      <c r="BO434" s="5"/>
      <c r="BP434" s="5"/>
    </row>
    <row r="435">
      <c r="A435" s="5"/>
      <c r="B435" s="150"/>
      <c r="C435" s="151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6"/>
      <c r="AQ435" s="5"/>
      <c r="AR435" s="7"/>
      <c r="AT435" s="5"/>
      <c r="AU435" s="5"/>
      <c r="AV435" s="5"/>
      <c r="AW435" s="5"/>
      <c r="AX435" s="5"/>
      <c r="AY435" s="5"/>
      <c r="AZ435" s="5"/>
      <c r="BF435" s="96"/>
      <c r="BG435" s="96"/>
      <c r="BH435" s="96"/>
      <c r="BI435" s="96"/>
      <c r="BJ435" s="96"/>
      <c r="BK435" s="5"/>
      <c r="BL435" s="5"/>
      <c r="BM435" s="5"/>
      <c r="BN435" s="5"/>
      <c r="BO435" s="5"/>
      <c r="BP435" s="5"/>
    </row>
    <row r="436">
      <c r="A436" s="5"/>
      <c r="B436" s="150"/>
      <c r="C436" s="151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6"/>
      <c r="AQ436" s="5"/>
      <c r="AR436" s="7"/>
      <c r="AT436" s="5"/>
      <c r="AU436" s="5"/>
      <c r="AV436" s="5"/>
      <c r="AW436" s="5"/>
      <c r="AX436" s="5"/>
      <c r="AY436" s="5"/>
      <c r="AZ436" s="5"/>
      <c r="BF436" s="96"/>
      <c r="BG436" s="96"/>
      <c r="BH436" s="96"/>
      <c r="BI436" s="96"/>
      <c r="BJ436" s="96"/>
      <c r="BK436" s="5"/>
      <c r="BL436" s="5"/>
      <c r="BM436" s="5"/>
      <c r="BN436" s="5"/>
      <c r="BO436" s="5"/>
      <c r="BP436" s="5"/>
    </row>
    <row r="437">
      <c r="A437" s="5"/>
      <c r="B437" s="150"/>
      <c r="C437" s="151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6"/>
      <c r="AQ437" s="5"/>
      <c r="AR437" s="7"/>
      <c r="AT437" s="5"/>
      <c r="AU437" s="5"/>
      <c r="AV437" s="5"/>
      <c r="AW437" s="5"/>
      <c r="AX437" s="5"/>
      <c r="AY437" s="5"/>
      <c r="AZ437" s="5"/>
      <c r="BF437" s="96"/>
      <c r="BG437" s="96"/>
      <c r="BH437" s="96"/>
      <c r="BI437" s="96"/>
      <c r="BJ437" s="96"/>
      <c r="BK437" s="5"/>
      <c r="BL437" s="5"/>
      <c r="BM437" s="5"/>
      <c r="BN437" s="5"/>
      <c r="BO437" s="5"/>
      <c r="BP437" s="5"/>
    </row>
    <row r="438">
      <c r="A438" s="5"/>
      <c r="B438" s="150"/>
      <c r="C438" s="151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6"/>
      <c r="AQ438" s="5"/>
      <c r="AR438" s="7"/>
      <c r="AT438" s="5"/>
      <c r="AU438" s="5"/>
      <c r="AV438" s="5"/>
      <c r="AW438" s="5"/>
      <c r="AX438" s="5"/>
      <c r="AY438" s="5"/>
      <c r="AZ438" s="5"/>
      <c r="BF438" s="96"/>
      <c r="BG438" s="96"/>
      <c r="BH438" s="96"/>
      <c r="BI438" s="96"/>
      <c r="BJ438" s="96"/>
      <c r="BK438" s="5"/>
      <c r="BL438" s="5"/>
      <c r="BM438" s="5"/>
      <c r="BN438" s="5"/>
      <c r="BO438" s="5"/>
      <c r="BP438" s="5"/>
    </row>
    <row r="439">
      <c r="A439" s="5"/>
      <c r="B439" s="150"/>
      <c r="C439" s="151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6"/>
      <c r="AQ439" s="5"/>
      <c r="AR439" s="7"/>
      <c r="AT439" s="5"/>
      <c r="AU439" s="5"/>
      <c r="AV439" s="5"/>
      <c r="AW439" s="5"/>
      <c r="AX439" s="5"/>
      <c r="AY439" s="5"/>
      <c r="AZ439" s="5"/>
      <c r="BF439" s="96"/>
      <c r="BG439" s="96"/>
      <c r="BH439" s="96"/>
      <c r="BI439" s="96"/>
      <c r="BJ439" s="96"/>
      <c r="BK439" s="5"/>
      <c r="BL439" s="5"/>
      <c r="BM439" s="5"/>
      <c r="BN439" s="5"/>
      <c r="BO439" s="5"/>
      <c r="BP439" s="5"/>
    </row>
    <row r="440">
      <c r="A440" s="5"/>
      <c r="B440" s="150"/>
      <c r="C440" s="151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6"/>
      <c r="AQ440" s="5"/>
      <c r="AR440" s="7"/>
      <c r="AT440" s="5"/>
      <c r="AU440" s="5"/>
      <c r="AV440" s="5"/>
      <c r="AW440" s="5"/>
      <c r="AX440" s="5"/>
      <c r="AY440" s="5"/>
      <c r="AZ440" s="5"/>
      <c r="BF440" s="96"/>
      <c r="BG440" s="96"/>
      <c r="BH440" s="96"/>
      <c r="BI440" s="96"/>
      <c r="BJ440" s="96"/>
      <c r="BK440" s="5"/>
      <c r="BL440" s="5"/>
      <c r="BM440" s="5"/>
      <c r="BN440" s="5"/>
      <c r="BO440" s="5"/>
      <c r="BP440" s="5"/>
    </row>
    <row r="441">
      <c r="A441" s="5"/>
      <c r="B441" s="150"/>
      <c r="C441" s="151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6"/>
      <c r="AQ441" s="5"/>
      <c r="AR441" s="7"/>
      <c r="AT441" s="5"/>
      <c r="AU441" s="5"/>
      <c r="AV441" s="5"/>
      <c r="AW441" s="5"/>
      <c r="AX441" s="5"/>
      <c r="AY441" s="5"/>
      <c r="AZ441" s="5"/>
      <c r="BF441" s="96"/>
      <c r="BG441" s="96"/>
      <c r="BH441" s="96"/>
      <c r="BI441" s="96"/>
      <c r="BJ441" s="96"/>
      <c r="BK441" s="5"/>
      <c r="BL441" s="5"/>
      <c r="BM441" s="5"/>
      <c r="BN441" s="5"/>
      <c r="BO441" s="5"/>
      <c r="BP441" s="5"/>
    </row>
    <row r="442">
      <c r="A442" s="5"/>
      <c r="B442" s="150"/>
      <c r="C442" s="151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6"/>
      <c r="AQ442" s="5"/>
      <c r="AR442" s="7"/>
      <c r="AT442" s="5"/>
      <c r="AU442" s="5"/>
      <c r="AV442" s="5"/>
      <c r="AW442" s="5"/>
      <c r="AX442" s="5"/>
      <c r="AY442" s="5"/>
      <c r="AZ442" s="5"/>
      <c r="BF442" s="96"/>
      <c r="BG442" s="96"/>
      <c r="BH442" s="96"/>
      <c r="BI442" s="96"/>
      <c r="BJ442" s="96"/>
      <c r="BK442" s="5"/>
      <c r="BL442" s="5"/>
      <c r="BM442" s="5"/>
      <c r="BN442" s="5"/>
      <c r="BO442" s="5"/>
      <c r="BP442" s="5"/>
    </row>
    <row r="443">
      <c r="A443" s="5"/>
      <c r="B443" s="150"/>
      <c r="C443" s="151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6"/>
      <c r="AQ443" s="5"/>
      <c r="AR443" s="7"/>
      <c r="AT443" s="5"/>
      <c r="AU443" s="5"/>
      <c r="AV443" s="5"/>
      <c r="AW443" s="5"/>
      <c r="AX443" s="5"/>
      <c r="AY443" s="5"/>
      <c r="AZ443" s="5"/>
      <c r="BF443" s="96"/>
      <c r="BG443" s="96"/>
      <c r="BH443" s="96"/>
      <c r="BI443" s="96"/>
      <c r="BJ443" s="96"/>
      <c r="BK443" s="5"/>
      <c r="BL443" s="5"/>
      <c r="BM443" s="5"/>
      <c r="BN443" s="5"/>
      <c r="BO443" s="5"/>
      <c r="BP443" s="5"/>
    </row>
    <row r="444">
      <c r="A444" s="5"/>
      <c r="B444" s="150"/>
      <c r="C444" s="151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6"/>
      <c r="AQ444" s="5"/>
      <c r="AR444" s="7"/>
      <c r="AT444" s="5"/>
      <c r="AU444" s="5"/>
      <c r="AV444" s="5"/>
      <c r="AW444" s="5"/>
      <c r="AX444" s="5"/>
      <c r="AY444" s="5"/>
      <c r="AZ444" s="5"/>
      <c r="BF444" s="96"/>
      <c r="BG444" s="96"/>
      <c r="BH444" s="96"/>
      <c r="BI444" s="96"/>
      <c r="BJ444" s="96"/>
      <c r="BK444" s="5"/>
      <c r="BL444" s="5"/>
      <c r="BM444" s="5"/>
      <c r="BN444" s="5"/>
      <c r="BO444" s="5"/>
      <c r="BP444" s="5"/>
    </row>
    <row r="445">
      <c r="A445" s="5"/>
      <c r="B445" s="150"/>
      <c r="C445" s="151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6"/>
      <c r="AQ445" s="5"/>
      <c r="AR445" s="7"/>
      <c r="AT445" s="5"/>
      <c r="AU445" s="5"/>
      <c r="AV445" s="5"/>
      <c r="AW445" s="5"/>
      <c r="AX445" s="5"/>
      <c r="AY445" s="5"/>
      <c r="AZ445" s="5"/>
      <c r="BF445" s="96"/>
      <c r="BG445" s="96"/>
      <c r="BH445" s="96"/>
      <c r="BI445" s="96"/>
      <c r="BJ445" s="96"/>
      <c r="BK445" s="5"/>
      <c r="BL445" s="5"/>
      <c r="BM445" s="5"/>
      <c r="BN445" s="5"/>
      <c r="BO445" s="5"/>
      <c r="BP445" s="5"/>
    </row>
    <row r="446">
      <c r="A446" s="5"/>
      <c r="B446" s="150"/>
      <c r="C446" s="151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6"/>
      <c r="AQ446" s="5"/>
      <c r="AR446" s="7"/>
      <c r="AT446" s="5"/>
      <c r="AU446" s="5"/>
      <c r="AV446" s="5"/>
      <c r="AW446" s="5"/>
      <c r="AX446" s="5"/>
      <c r="AY446" s="5"/>
      <c r="AZ446" s="5"/>
      <c r="BF446" s="96"/>
      <c r="BG446" s="96"/>
      <c r="BH446" s="96"/>
      <c r="BI446" s="96"/>
      <c r="BJ446" s="96"/>
      <c r="BK446" s="5"/>
      <c r="BL446" s="5"/>
      <c r="BM446" s="5"/>
      <c r="BN446" s="5"/>
      <c r="BO446" s="5"/>
      <c r="BP446" s="5"/>
    </row>
    <row r="447">
      <c r="A447" s="5"/>
      <c r="B447" s="150"/>
      <c r="C447" s="151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6"/>
      <c r="AQ447" s="5"/>
      <c r="AR447" s="7"/>
      <c r="AT447" s="5"/>
      <c r="AU447" s="5"/>
      <c r="AV447" s="5"/>
      <c r="AW447" s="5"/>
      <c r="AX447" s="5"/>
      <c r="AY447" s="5"/>
      <c r="AZ447" s="5"/>
      <c r="BF447" s="96"/>
      <c r="BG447" s="96"/>
      <c r="BH447" s="96"/>
      <c r="BI447" s="96"/>
      <c r="BJ447" s="96"/>
      <c r="BK447" s="5"/>
      <c r="BL447" s="5"/>
      <c r="BM447" s="5"/>
      <c r="BN447" s="5"/>
      <c r="BO447" s="5"/>
      <c r="BP447" s="5"/>
    </row>
    <row r="448">
      <c r="A448" s="5"/>
      <c r="B448" s="150"/>
      <c r="C448" s="151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6"/>
      <c r="AQ448" s="5"/>
      <c r="AR448" s="7"/>
      <c r="AT448" s="5"/>
      <c r="AU448" s="5"/>
      <c r="AV448" s="5"/>
      <c r="AW448" s="5"/>
      <c r="AX448" s="5"/>
      <c r="AY448" s="5"/>
      <c r="AZ448" s="5"/>
      <c r="BF448" s="96"/>
      <c r="BG448" s="96"/>
      <c r="BH448" s="96"/>
      <c r="BI448" s="96"/>
      <c r="BJ448" s="96"/>
      <c r="BK448" s="5"/>
      <c r="BL448" s="5"/>
      <c r="BM448" s="5"/>
      <c r="BN448" s="5"/>
      <c r="BO448" s="5"/>
      <c r="BP448" s="5"/>
    </row>
    <row r="449">
      <c r="A449" s="5"/>
      <c r="B449" s="150"/>
      <c r="C449" s="151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6"/>
      <c r="AQ449" s="5"/>
      <c r="AR449" s="7"/>
      <c r="AT449" s="5"/>
      <c r="AU449" s="5"/>
      <c r="AV449" s="5"/>
      <c r="AW449" s="5"/>
      <c r="AX449" s="5"/>
      <c r="AY449" s="5"/>
      <c r="AZ449" s="5"/>
      <c r="BF449" s="96"/>
      <c r="BG449" s="96"/>
      <c r="BH449" s="96"/>
      <c r="BI449" s="96"/>
      <c r="BJ449" s="96"/>
      <c r="BK449" s="5"/>
      <c r="BL449" s="5"/>
      <c r="BM449" s="5"/>
      <c r="BN449" s="5"/>
      <c r="BO449" s="5"/>
      <c r="BP449" s="5"/>
    </row>
    <row r="450">
      <c r="A450" s="5"/>
      <c r="B450" s="150"/>
      <c r="C450" s="151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6"/>
      <c r="AQ450" s="5"/>
      <c r="AR450" s="7"/>
      <c r="AT450" s="5"/>
      <c r="AU450" s="5"/>
      <c r="AV450" s="5"/>
      <c r="AW450" s="5"/>
      <c r="AX450" s="5"/>
      <c r="AY450" s="5"/>
      <c r="AZ450" s="5"/>
      <c r="BF450" s="96"/>
      <c r="BG450" s="96"/>
      <c r="BH450" s="96"/>
      <c r="BI450" s="96"/>
      <c r="BJ450" s="96"/>
      <c r="BK450" s="5"/>
      <c r="BL450" s="5"/>
      <c r="BM450" s="5"/>
      <c r="BN450" s="5"/>
      <c r="BO450" s="5"/>
      <c r="BP450" s="5"/>
    </row>
    <row r="451">
      <c r="A451" s="5"/>
      <c r="B451" s="150"/>
      <c r="C451" s="151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6"/>
      <c r="AQ451" s="5"/>
      <c r="AR451" s="7"/>
      <c r="AT451" s="5"/>
      <c r="AU451" s="5"/>
      <c r="AV451" s="5"/>
      <c r="AW451" s="5"/>
      <c r="AX451" s="5"/>
      <c r="AY451" s="5"/>
      <c r="AZ451" s="5"/>
      <c r="BF451" s="96"/>
      <c r="BG451" s="96"/>
      <c r="BH451" s="96"/>
      <c r="BI451" s="96"/>
      <c r="BJ451" s="96"/>
      <c r="BK451" s="5"/>
      <c r="BL451" s="5"/>
      <c r="BM451" s="5"/>
      <c r="BN451" s="5"/>
      <c r="BO451" s="5"/>
      <c r="BP451" s="5"/>
    </row>
    <row r="452">
      <c r="A452" s="5"/>
      <c r="B452" s="150"/>
      <c r="C452" s="151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6"/>
      <c r="AQ452" s="5"/>
      <c r="AR452" s="7"/>
      <c r="AT452" s="5"/>
      <c r="AU452" s="5"/>
      <c r="AV452" s="5"/>
      <c r="AW452" s="5"/>
      <c r="AX452" s="5"/>
      <c r="AY452" s="5"/>
      <c r="AZ452" s="5"/>
      <c r="BF452" s="96"/>
      <c r="BG452" s="96"/>
      <c r="BH452" s="96"/>
      <c r="BI452" s="96"/>
      <c r="BJ452" s="96"/>
      <c r="BK452" s="5"/>
      <c r="BL452" s="5"/>
      <c r="BM452" s="5"/>
      <c r="BN452" s="5"/>
      <c r="BO452" s="5"/>
      <c r="BP452" s="5"/>
    </row>
    <row r="453">
      <c r="A453" s="5"/>
      <c r="B453" s="150"/>
      <c r="C453" s="151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6"/>
      <c r="AQ453" s="5"/>
      <c r="AR453" s="7"/>
      <c r="AT453" s="5"/>
      <c r="AU453" s="5"/>
      <c r="AV453" s="5"/>
      <c r="AW453" s="5"/>
      <c r="AX453" s="5"/>
      <c r="AY453" s="5"/>
      <c r="AZ453" s="5"/>
      <c r="BF453" s="96"/>
      <c r="BG453" s="96"/>
      <c r="BH453" s="96"/>
      <c r="BI453" s="96"/>
      <c r="BJ453" s="96"/>
      <c r="BK453" s="5"/>
      <c r="BL453" s="5"/>
      <c r="BM453" s="5"/>
      <c r="BN453" s="5"/>
      <c r="BO453" s="5"/>
      <c r="BP453" s="5"/>
    </row>
    <row r="454">
      <c r="A454" s="5"/>
      <c r="B454" s="150"/>
      <c r="C454" s="151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6"/>
      <c r="AQ454" s="5"/>
      <c r="AR454" s="7"/>
      <c r="AT454" s="5"/>
      <c r="AU454" s="5"/>
      <c r="AV454" s="5"/>
      <c r="AW454" s="5"/>
      <c r="AX454" s="5"/>
      <c r="AY454" s="5"/>
      <c r="AZ454" s="5"/>
      <c r="BF454" s="96"/>
      <c r="BG454" s="96"/>
      <c r="BH454" s="96"/>
      <c r="BI454" s="96"/>
      <c r="BJ454" s="96"/>
      <c r="BK454" s="5"/>
      <c r="BL454" s="5"/>
      <c r="BM454" s="5"/>
      <c r="BN454" s="5"/>
      <c r="BO454" s="5"/>
      <c r="BP454" s="5"/>
    </row>
    <row r="455">
      <c r="A455" s="5"/>
      <c r="B455" s="150"/>
      <c r="C455" s="151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6"/>
      <c r="AQ455" s="5"/>
      <c r="AR455" s="7"/>
      <c r="AT455" s="5"/>
      <c r="AU455" s="5"/>
      <c r="AV455" s="5"/>
      <c r="AW455" s="5"/>
      <c r="AX455" s="5"/>
      <c r="AY455" s="5"/>
      <c r="AZ455" s="5"/>
      <c r="BF455" s="96"/>
      <c r="BG455" s="96"/>
      <c r="BH455" s="96"/>
      <c r="BI455" s="96"/>
      <c r="BJ455" s="96"/>
      <c r="BK455" s="5"/>
      <c r="BL455" s="5"/>
      <c r="BM455" s="5"/>
      <c r="BN455" s="5"/>
      <c r="BO455" s="5"/>
      <c r="BP455" s="5"/>
    </row>
    <row r="456">
      <c r="A456" s="5"/>
      <c r="B456" s="150"/>
      <c r="C456" s="151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6"/>
      <c r="AQ456" s="5"/>
      <c r="AR456" s="7"/>
      <c r="AT456" s="5"/>
      <c r="AU456" s="5"/>
      <c r="AV456" s="5"/>
      <c r="AW456" s="5"/>
      <c r="AX456" s="5"/>
      <c r="AY456" s="5"/>
      <c r="AZ456" s="5"/>
      <c r="BF456" s="96"/>
      <c r="BG456" s="96"/>
      <c r="BH456" s="96"/>
      <c r="BI456" s="96"/>
      <c r="BJ456" s="96"/>
      <c r="BK456" s="5"/>
      <c r="BL456" s="5"/>
      <c r="BM456" s="5"/>
      <c r="BN456" s="5"/>
      <c r="BO456" s="5"/>
      <c r="BP456" s="5"/>
    </row>
    <row r="457">
      <c r="A457" s="5"/>
      <c r="B457" s="150"/>
      <c r="C457" s="151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6"/>
      <c r="AQ457" s="5"/>
      <c r="AR457" s="7"/>
      <c r="AT457" s="5"/>
      <c r="AU457" s="5"/>
      <c r="AV457" s="5"/>
      <c r="AW457" s="5"/>
      <c r="AX457" s="5"/>
      <c r="AY457" s="5"/>
      <c r="AZ457" s="5"/>
      <c r="BF457" s="96"/>
      <c r="BG457" s="96"/>
      <c r="BH457" s="96"/>
      <c r="BI457" s="96"/>
      <c r="BJ457" s="96"/>
      <c r="BK457" s="5"/>
      <c r="BL457" s="5"/>
      <c r="BM457" s="5"/>
      <c r="BN457" s="5"/>
      <c r="BO457" s="5"/>
      <c r="BP457" s="5"/>
    </row>
    <row r="458">
      <c r="A458" s="5"/>
      <c r="B458" s="150"/>
      <c r="C458" s="151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6"/>
      <c r="AQ458" s="5"/>
      <c r="AR458" s="7"/>
      <c r="AT458" s="5"/>
      <c r="AU458" s="5"/>
      <c r="AV458" s="5"/>
      <c r="AW458" s="5"/>
      <c r="AX458" s="5"/>
      <c r="AY458" s="5"/>
      <c r="AZ458" s="5"/>
      <c r="BF458" s="96"/>
      <c r="BG458" s="96"/>
      <c r="BH458" s="96"/>
      <c r="BI458" s="96"/>
      <c r="BJ458" s="96"/>
      <c r="BK458" s="5"/>
      <c r="BL458" s="5"/>
      <c r="BM458" s="5"/>
      <c r="BN458" s="5"/>
      <c r="BO458" s="5"/>
      <c r="BP458" s="5"/>
    </row>
    <row r="459">
      <c r="A459" s="5"/>
      <c r="B459" s="150"/>
      <c r="C459" s="151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6"/>
      <c r="AQ459" s="5"/>
      <c r="AR459" s="7"/>
      <c r="AT459" s="5"/>
      <c r="AU459" s="5"/>
      <c r="AV459" s="5"/>
      <c r="AW459" s="5"/>
      <c r="AX459" s="5"/>
      <c r="AY459" s="5"/>
      <c r="AZ459" s="5"/>
      <c r="BF459" s="96"/>
      <c r="BG459" s="96"/>
      <c r="BH459" s="96"/>
      <c r="BI459" s="96"/>
      <c r="BJ459" s="96"/>
      <c r="BK459" s="5"/>
      <c r="BL459" s="5"/>
      <c r="BM459" s="5"/>
      <c r="BN459" s="5"/>
      <c r="BO459" s="5"/>
      <c r="BP459" s="5"/>
    </row>
    <row r="460">
      <c r="A460" s="5"/>
      <c r="B460" s="150"/>
      <c r="C460" s="151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6"/>
      <c r="AQ460" s="5"/>
      <c r="AR460" s="7"/>
      <c r="AT460" s="5"/>
      <c r="AU460" s="5"/>
      <c r="AV460" s="5"/>
      <c r="AW460" s="5"/>
      <c r="AX460" s="5"/>
      <c r="AY460" s="5"/>
      <c r="AZ460" s="5"/>
      <c r="BF460" s="96"/>
      <c r="BG460" s="96"/>
      <c r="BH460" s="96"/>
      <c r="BI460" s="96"/>
      <c r="BJ460" s="96"/>
      <c r="BK460" s="5"/>
      <c r="BL460" s="5"/>
      <c r="BM460" s="5"/>
      <c r="BN460" s="5"/>
      <c r="BO460" s="5"/>
      <c r="BP460" s="5"/>
    </row>
    <row r="461">
      <c r="A461" s="5"/>
      <c r="B461" s="150"/>
      <c r="C461" s="151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6"/>
      <c r="AQ461" s="5"/>
      <c r="AR461" s="7"/>
      <c r="AT461" s="5"/>
      <c r="AU461" s="5"/>
      <c r="AV461" s="5"/>
      <c r="AW461" s="5"/>
      <c r="AX461" s="5"/>
      <c r="AY461" s="5"/>
      <c r="AZ461" s="5"/>
      <c r="BF461" s="96"/>
      <c r="BG461" s="96"/>
      <c r="BH461" s="96"/>
      <c r="BI461" s="96"/>
      <c r="BJ461" s="96"/>
      <c r="BK461" s="5"/>
      <c r="BL461" s="5"/>
      <c r="BM461" s="5"/>
      <c r="BN461" s="5"/>
      <c r="BO461" s="5"/>
      <c r="BP461" s="5"/>
    </row>
    <row r="462">
      <c r="A462" s="5"/>
      <c r="B462" s="150"/>
      <c r="C462" s="151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6"/>
      <c r="AQ462" s="5"/>
      <c r="AR462" s="7"/>
      <c r="AT462" s="5"/>
      <c r="AU462" s="5"/>
      <c r="AV462" s="5"/>
      <c r="AW462" s="5"/>
      <c r="AX462" s="5"/>
      <c r="AY462" s="5"/>
      <c r="AZ462" s="5"/>
      <c r="BF462" s="96"/>
      <c r="BG462" s="96"/>
      <c r="BH462" s="96"/>
      <c r="BI462" s="96"/>
      <c r="BJ462" s="96"/>
      <c r="BK462" s="5"/>
      <c r="BL462" s="5"/>
      <c r="BM462" s="5"/>
      <c r="BN462" s="5"/>
      <c r="BO462" s="5"/>
      <c r="BP462" s="5"/>
    </row>
    <row r="463">
      <c r="A463" s="5"/>
      <c r="B463" s="150"/>
      <c r="C463" s="151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6"/>
      <c r="AQ463" s="5"/>
      <c r="AR463" s="7"/>
      <c r="AT463" s="5"/>
      <c r="AU463" s="5"/>
      <c r="AV463" s="5"/>
      <c r="AW463" s="5"/>
      <c r="AX463" s="5"/>
      <c r="AY463" s="5"/>
      <c r="AZ463" s="5"/>
      <c r="BF463" s="96"/>
      <c r="BG463" s="96"/>
      <c r="BH463" s="96"/>
      <c r="BI463" s="96"/>
      <c r="BJ463" s="96"/>
      <c r="BK463" s="5"/>
      <c r="BL463" s="5"/>
      <c r="BM463" s="5"/>
      <c r="BN463" s="5"/>
      <c r="BO463" s="5"/>
      <c r="BP463" s="5"/>
    </row>
    <row r="464">
      <c r="A464" s="5"/>
      <c r="B464" s="150"/>
      <c r="C464" s="151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6"/>
      <c r="AQ464" s="5"/>
      <c r="AR464" s="7"/>
      <c r="AT464" s="5"/>
      <c r="AU464" s="5"/>
      <c r="AV464" s="5"/>
      <c r="AW464" s="5"/>
      <c r="AX464" s="5"/>
      <c r="AY464" s="5"/>
      <c r="AZ464" s="5"/>
      <c r="BF464" s="96"/>
      <c r="BG464" s="96"/>
      <c r="BH464" s="96"/>
      <c r="BI464" s="96"/>
      <c r="BJ464" s="96"/>
      <c r="BK464" s="5"/>
      <c r="BL464" s="5"/>
      <c r="BM464" s="5"/>
      <c r="BN464" s="5"/>
      <c r="BO464" s="5"/>
      <c r="BP464" s="5"/>
    </row>
    <row r="465">
      <c r="A465" s="5"/>
      <c r="B465" s="150"/>
      <c r="C465" s="151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6"/>
      <c r="AQ465" s="5"/>
      <c r="AR465" s="7"/>
      <c r="AT465" s="5"/>
      <c r="AU465" s="5"/>
      <c r="AV465" s="5"/>
      <c r="AW465" s="5"/>
      <c r="AX465" s="5"/>
      <c r="AY465" s="5"/>
      <c r="AZ465" s="5"/>
      <c r="BF465" s="96"/>
      <c r="BG465" s="96"/>
      <c r="BH465" s="96"/>
      <c r="BI465" s="96"/>
      <c r="BJ465" s="96"/>
      <c r="BK465" s="5"/>
      <c r="BL465" s="5"/>
      <c r="BM465" s="5"/>
      <c r="BN465" s="5"/>
      <c r="BO465" s="5"/>
      <c r="BP465" s="5"/>
    </row>
    <row r="466">
      <c r="A466" s="5"/>
      <c r="B466" s="150"/>
      <c r="C466" s="151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6"/>
      <c r="AQ466" s="5"/>
      <c r="AR466" s="7"/>
      <c r="AT466" s="5"/>
      <c r="AU466" s="5"/>
      <c r="AV466" s="5"/>
      <c r="AW466" s="5"/>
      <c r="AX466" s="5"/>
      <c r="AY466" s="5"/>
      <c r="AZ466" s="5"/>
      <c r="BF466" s="96"/>
      <c r="BG466" s="96"/>
      <c r="BH466" s="96"/>
      <c r="BI466" s="96"/>
      <c r="BJ466" s="96"/>
      <c r="BK466" s="5"/>
      <c r="BL466" s="5"/>
      <c r="BM466" s="5"/>
      <c r="BN466" s="5"/>
      <c r="BO466" s="5"/>
      <c r="BP466" s="5"/>
    </row>
    <row r="467">
      <c r="A467" s="5"/>
      <c r="B467" s="150"/>
      <c r="C467" s="151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6"/>
      <c r="AQ467" s="5"/>
      <c r="AR467" s="7"/>
      <c r="AT467" s="5"/>
      <c r="AU467" s="5"/>
      <c r="AV467" s="5"/>
      <c r="AW467" s="5"/>
      <c r="AX467" s="5"/>
      <c r="AY467" s="5"/>
      <c r="AZ467" s="5"/>
      <c r="BF467" s="96"/>
      <c r="BG467" s="96"/>
      <c r="BH467" s="96"/>
      <c r="BI467" s="96"/>
      <c r="BJ467" s="96"/>
      <c r="BK467" s="5"/>
      <c r="BL467" s="5"/>
      <c r="BM467" s="5"/>
      <c r="BN467" s="5"/>
      <c r="BO467" s="5"/>
      <c r="BP467" s="5"/>
    </row>
    <row r="468">
      <c r="A468" s="5"/>
      <c r="B468" s="150"/>
      <c r="C468" s="151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6"/>
      <c r="AQ468" s="5"/>
      <c r="AR468" s="7"/>
      <c r="AT468" s="5"/>
      <c r="AU468" s="5"/>
      <c r="AV468" s="5"/>
      <c r="AW468" s="5"/>
      <c r="AX468" s="5"/>
      <c r="AY468" s="5"/>
      <c r="AZ468" s="5"/>
      <c r="BF468" s="96"/>
      <c r="BG468" s="96"/>
      <c r="BH468" s="96"/>
      <c r="BI468" s="96"/>
      <c r="BJ468" s="96"/>
      <c r="BK468" s="5"/>
      <c r="BL468" s="5"/>
      <c r="BM468" s="5"/>
      <c r="BN468" s="5"/>
      <c r="BO468" s="5"/>
      <c r="BP468" s="5"/>
    </row>
    <row r="469">
      <c r="A469" s="5"/>
      <c r="B469" s="150"/>
      <c r="C469" s="151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6"/>
      <c r="AQ469" s="5"/>
      <c r="AR469" s="7"/>
      <c r="AT469" s="5"/>
      <c r="AU469" s="5"/>
      <c r="AV469" s="5"/>
      <c r="AW469" s="5"/>
      <c r="AX469" s="5"/>
      <c r="AY469" s="5"/>
      <c r="AZ469" s="5"/>
      <c r="BF469" s="96"/>
      <c r="BG469" s="96"/>
      <c r="BH469" s="96"/>
      <c r="BI469" s="96"/>
      <c r="BJ469" s="96"/>
      <c r="BK469" s="5"/>
      <c r="BL469" s="5"/>
      <c r="BM469" s="5"/>
      <c r="BN469" s="5"/>
      <c r="BO469" s="5"/>
      <c r="BP469" s="5"/>
    </row>
    <row r="470">
      <c r="A470" s="5"/>
      <c r="B470" s="150"/>
      <c r="C470" s="151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6"/>
      <c r="AQ470" s="5"/>
      <c r="AR470" s="7"/>
      <c r="AT470" s="5"/>
      <c r="AU470" s="5"/>
      <c r="AV470" s="5"/>
      <c r="AW470" s="5"/>
      <c r="AX470" s="5"/>
      <c r="AY470" s="5"/>
      <c r="AZ470" s="5"/>
      <c r="BF470" s="96"/>
      <c r="BG470" s="96"/>
      <c r="BH470" s="96"/>
      <c r="BI470" s="96"/>
      <c r="BJ470" s="96"/>
      <c r="BK470" s="5"/>
      <c r="BL470" s="5"/>
      <c r="BM470" s="5"/>
      <c r="BN470" s="5"/>
      <c r="BO470" s="5"/>
      <c r="BP470" s="5"/>
    </row>
    <row r="471">
      <c r="A471" s="5"/>
      <c r="B471" s="150"/>
      <c r="C471" s="151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6"/>
      <c r="AQ471" s="5"/>
      <c r="AR471" s="7"/>
      <c r="AT471" s="5"/>
      <c r="AU471" s="5"/>
      <c r="AV471" s="5"/>
      <c r="AW471" s="5"/>
      <c r="AX471" s="5"/>
      <c r="AY471" s="5"/>
      <c r="AZ471" s="5"/>
      <c r="BF471" s="96"/>
      <c r="BG471" s="96"/>
      <c r="BH471" s="96"/>
      <c r="BI471" s="96"/>
      <c r="BJ471" s="96"/>
      <c r="BK471" s="5"/>
      <c r="BL471" s="5"/>
      <c r="BM471" s="5"/>
      <c r="BN471" s="5"/>
      <c r="BO471" s="5"/>
      <c r="BP471" s="5"/>
    </row>
    <row r="472">
      <c r="A472" s="5"/>
      <c r="B472" s="150"/>
      <c r="C472" s="151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6"/>
      <c r="AQ472" s="5"/>
      <c r="AR472" s="7"/>
      <c r="AT472" s="5"/>
      <c r="AU472" s="5"/>
      <c r="AV472" s="5"/>
      <c r="AW472" s="5"/>
      <c r="AX472" s="5"/>
      <c r="AY472" s="5"/>
      <c r="AZ472" s="5"/>
      <c r="BF472" s="96"/>
      <c r="BG472" s="96"/>
      <c r="BH472" s="96"/>
      <c r="BI472" s="96"/>
      <c r="BJ472" s="96"/>
      <c r="BK472" s="5"/>
      <c r="BL472" s="5"/>
      <c r="BM472" s="5"/>
      <c r="BN472" s="5"/>
      <c r="BO472" s="5"/>
      <c r="BP472" s="5"/>
    </row>
    <row r="473">
      <c r="A473" s="5"/>
      <c r="B473" s="150"/>
      <c r="C473" s="151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6"/>
      <c r="AQ473" s="5"/>
      <c r="AR473" s="7"/>
      <c r="AT473" s="5"/>
      <c r="AU473" s="5"/>
      <c r="AV473" s="5"/>
      <c r="AW473" s="5"/>
      <c r="AX473" s="5"/>
      <c r="AY473" s="5"/>
      <c r="AZ473" s="5"/>
      <c r="BF473" s="96"/>
      <c r="BG473" s="96"/>
      <c r="BH473" s="96"/>
      <c r="BI473" s="96"/>
      <c r="BJ473" s="96"/>
      <c r="BK473" s="5"/>
      <c r="BL473" s="5"/>
      <c r="BM473" s="5"/>
      <c r="BN473" s="5"/>
      <c r="BO473" s="5"/>
      <c r="BP473" s="5"/>
    </row>
    <row r="474">
      <c r="A474" s="5"/>
      <c r="B474" s="150"/>
      <c r="C474" s="151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6"/>
      <c r="AQ474" s="5"/>
      <c r="AR474" s="7"/>
      <c r="AT474" s="5"/>
      <c r="AU474" s="5"/>
      <c r="AV474" s="5"/>
      <c r="AW474" s="5"/>
      <c r="AX474" s="5"/>
      <c r="AY474" s="5"/>
      <c r="AZ474" s="5"/>
      <c r="BF474" s="96"/>
      <c r="BG474" s="96"/>
      <c r="BH474" s="96"/>
      <c r="BI474" s="96"/>
      <c r="BJ474" s="96"/>
      <c r="BK474" s="5"/>
      <c r="BL474" s="5"/>
      <c r="BM474" s="5"/>
      <c r="BN474" s="5"/>
      <c r="BO474" s="5"/>
      <c r="BP474" s="5"/>
    </row>
    <row r="475">
      <c r="A475" s="5"/>
      <c r="B475" s="150"/>
      <c r="C475" s="151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6"/>
      <c r="AQ475" s="5"/>
      <c r="AR475" s="7"/>
      <c r="AT475" s="5"/>
      <c r="AU475" s="5"/>
      <c r="AV475" s="5"/>
      <c r="AW475" s="5"/>
      <c r="AX475" s="5"/>
      <c r="AY475" s="5"/>
      <c r="AZ475" s="5"/>
      <c r="BF475" s="96"/>
      <c r="BG475" s="96"/>
      <c r="BH475" s="96"/>
      <c r="BI475" s="96"/>
      <c r="BJ475" s="96"/>
      <c r="BK475" s="5"/>
      <c r="BL475" s="5"/>
      <c r="BM475" s="5"/>
      <c r="BN475" s="5"/>
      <c r="BO475" s="5"/>
      <c r="BP475" s="5"/>
    </row>
    <row r="476">
      <c r="A476" s="5"/>
      <c r="B476" s="150"/>
      <c r="C476" s="151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6"/>
      <c r="AQ476" s="5"/>
      <c r="AR476" s="7"/>
      <c r="AT476" s="5"/>
      <c r="AU476" s="5"/>
      <c r="AV476" s="5"/>
      <c r="AW476" s="5"/>
      <c r="AX476" s="5"/>
      <c r="AY476" s="5"/>
      <c r="AZ476" s="5"/>
      <c r="BF476" s="96"/>
      <c r="BG476" s="96"/>
      <c r="BH476" s="96"/>
      <c r="BI476" s="96"/>
      <c r="BJ476" s="96"/>
      <c r="BK476" s="5"/>
      <c r="BL476" s="5"/>
      <c r="BM476" s="5"/>
      <c r="BN476" s="5"/>
      <c r="BO476" s="5"/>
      <c r="BP476" s="5"/>
    </row>
    <row r="477">
      <c r="A477" s="5"/>
      <c r="B477" s="150"/>
      <c r="C477" s="151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6"/>
      <c r="AQ477" s="5"/>
      <c r="AR477" s="7"/>
      <c r="AT477" s="5"/>
      <c r="AU477" s="5"/>
      <c r="AV477" s="5"/>
      <c r="AW477" s="5"/>
      <c r="AX477" s="5"/>
      <c r="AY477" s="5"/>
      <c r="AZ477" s="5"/>
      <c r="BF477" s="96"/>
      <c r="BG477" s="96"/>
      <c r="BH477" s="96"/>
      <c r="BI477" s="96"/>
      <c r="BJ477" s="96"/>
      <c r="BK477" s="5"/>
      <c r="BL477" s="5"/>
      <c r="BM477" s="5"/>
      <c r="BN477" s="5"/>
      <c r="BO477" s="5"/>
      <c r="BP477" s="5"/>
    </row>
    <row r="478">
      <c r="A478" s="5"/>
      <c r="B478" s="150"/>
      <c r="C478" s="151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6"/>
      <c r="AQ478" s="5"/>
      <c r="AR478" s="7"/>
      <c r="AT478" s="5"/>
      <c r="AU478" s="5"/>
      <c r="AV478" s="5"/>
      <c r="AW478" s="5"/>
      <c r="AX478" s="5"/>
      <c r="AY478" s="5"/>
      <c r="AZ478" s="5"/>
      <c r="BF478" s="96"/>
      <c r="BG478" s="96"/>
      <c r="BH478" s="96"/>
      <c r="BI478" s="96"/>
      <c r="BJ478" s="96"/>
      <c r="BK478" s="5"/>
      <c r="BL478" s="5"/>
      <c r="BM478" s="5"/>
      <c r="BN478" s="5"/>
      <c r="BO478" s="5"/>
      <c r="BP478" s="5"/>
    </row>
    <row r="479">
      <c r="A479" s="5"/>
      <c r="B479" s="150"/>
      <c r="C479" s="151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6"/>
      <c r="AQ479" s="5"/>
      <c r="AR479" s="7"/>
      <c r="AT479" s="5"/>
      <c r="AU479" s="5"/>
      <c r="AV479" s="5"/>
      <c r="AW479" s="5"/>
      <c r="AX479" s="5"/>
      <c r="AY479" s="5"/>
      <c r="AZ479" s="5"/>
      <c r="BF479" s="96"/>
      <c r="BG479" s="96"/>
      <c r="BH479" s="96"/>
      <c r="BI479" s="96"/>
      <c r="BJ479" s="96"/>
      <c r="BK479" s="5"/>
      <c r="BL479" s="5"/>
      <c r="BM479" s="5"/>
      <c r="BN479" s="5"/>
      <c r="BO479" s="5"/>
      <c r="BP479" s="5"/>
    </row>
    <row r="480">
      <c r="A480" s="5"/>
      <c r="B480" s="150"/>
      <c r="C480" s="151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6"/>
      <c r="AQ480" s="5"/>
      <c r="AR480" s="7"/>
      <c r="AT480" s="5"/>
      <c r="AU480" s="5"/>
      <c r="AV480" s="5"/>
      <c r="AW480" s="5"/>
      <c r="AX480" s="5"/>
      <c r="AY480" s="5"/>
      <c r="AZ480" s="5"/>
      <c r="BF480" s="96"/>
      <c r="BG480" s="96"/>
      <c r="BH480" s="96"/>
      <c r="BI480" s="96"/>
      <c r="BJ480" s="96"/>
      <c r="BK480" s="5"/>
      <c r="BL480" s="5"/>
      <c r="BM480" s="5"/>
      <c r="BN480" s="5"/>
      <c r="BO480" s="5"/>
      <c r="BP480" s="5"/>
    </row>
    <row r="481">
      <c r="A481" s="5"/>
      <c r="B481" s="150"/>
      <c r="C481" s="151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6"/>
      <c r="AQ481" s="5"/>
      <c r="AR481" s="7"/>
      <c r="AT481" s="5"/>
      <c r="AU481" s="5"/>
      <c r="AV481" s="5"/>
      <c r="AW481" s="5"/>
      <c r="AX481" s="5"/>
      <c r="AY481" s="5"/>
      <c r="AZ481" s="5"/>
      <c r="BF481" s="96"/>
      <c r="BG481" s="96"/>
      <c r="BH481" s="96"/>
      <c r="BI481" s="96"/>
      <c r="BJ481" s="96"/>
      <c r="BK481" s="5"/>
      <c r="BL481" s="5"/>
      <c r="BM481" s="5"/>
      <c r="BN481" s="5"/>
      <c r="BO481" s="5"/>
      <c r="BP481" s="5"/>
    </row>
    <row r="482">
      <c r="A482" s="5"/>
      <c r="B482" s="150"/>
      <c r="C482" s="151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6"/>
      <c r="AQ482" s="5"/>
      <c r="AR482" s="7"/>
      <c r="AT482" s="5"/>
      <c r="AU482" s="5"/>
      <c r="AV482" s="5"/>
      <c r="AW482" s="5"/>
      <c r="AX482" s="5"/>
      <c r="AY482" s="5"/>
      <c r="AZ482" s="5"/>
      <c r="BF482" s="96"/>
      <c r="BG482" s="96"/>
      <c r="BH482" s="96"/>
      <c r="BI482" s="96"/>
      <c r="BJ482" s="96"/>
      <c r="BK482" s="5"/>
      <c r="BL482" s="5"/>
      <c r="BM482" s="5"/>
      <c r="BN482" s="5"/>
      <c r="BO482" s="5"/>
      <c r="BP482" s="5"/>
    </row>
    <row r="483">
      <c r="A483" s="5"/>
      <c r="B483" s="150"/>
      <c r="C483" s="151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6"/>
      <c r="AQ483" s="5"/>
      <c r="AR483" s="7"/>
      <c r="AT483" s="5"/>
      <c r="AU483" s="5"/>
      <c r="AV483" s="5"/>
      <c r="AW483" s="5"/>
      <c r="AX483" s="5"/>
      <c r="AY483" s="5"/>
      <c r="AZ483" s="5"/>
      <c r="BF483" s="96"/>
      <c r="BG483" s="96"/>
      <c r="BH483" s="96"/>
      <c r="BI483" s="96"/>
      <c r="BJ483" s="96"/>
      <c r="BK483" s="5"/>
      <c r="BL483" s="5"/>
      <c r="BM483" s="5"/>
      <c r="BN483" s="5"/>
      <c r="BO483" s="5"/>
      <c r="BP483" s="5"/>
    </row>
    <row r="484">
      <c r="A484" s="5"/>
      <c r="B484" s="150"/>
      <c r="C484" s="151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6"/>
      <c r="AQ484" s="5"/>
      <c r="AR484" s="7"/>
      <c r="AT484" s="5"/>
      <c r="AU484" s="5"/>
      <c r="AV484" s="5"/>
      <c r="AW484" s="5"/>
      <c r="AX484" s="5"/>
      <c r="AY484" s="5"/>
      <c r="AZ484" s="5"/>
      <c r="BF484" s="96"/>
      <c r="BG484" s="96"/>
      <c r="BH484" s="96"/>
      <c r="BI484" s="96"/>
      <c r="BJ484" s="96"/>
      <c r="BK484" s="5"/>
      <c r="BL484" s="5"/>
      <c r="BM484" s="5"/>
      <c r="BN484" s="5"/>
      <c r="BO484" s="5"/>
      <c r="BP484" s="5"/>
    </row>
    <row r="485">
      <c r="A485" s="5"/>
      <c r="B485" s="150"/>
      <c r="C485" s="151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6"/>
      <c r="AQ485" s="5"/>
      <c r="AR485" s="7"/>
      <c r="AT485" s="5"/>
      <c r="AU485" s="5"/>
      <c r="AV485" s="5"/>
      <c r="AW485" s="5"/>
      <c r="AX485" s="5"/>
      <c r="AY485" s="5"/>
      <c r="AZ485" s="5"/>
      <c r="BF485" s="96"/>
      <c r="BG485" s="96"/>
      <c r="BH485" s="96"/>
      <c r="BI485" s="96"/>
      <c r="BJ485" s="96"/>
      <c r="BK485" s="5"/>
      <c r="BL485" s="5"/>
      <c r="BM485" s="5"/>
      <c r="BN485" s="5"/>
      <c r="BO485" s="5"/>
      <c r="BP485" s="5"/>
    </row>
    <row r="486">
      <c r="A486" s="5"/>
      <c r="B486" s="150"/>
      <c r="C486" s="151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6"/>
      <c r="AQ486" s="5"/>
      <c r="AR486" s="7"/>
      <c r="AT486" s="5"/>
      <c r="AU486" s="5"/>
      <c r="AV486" s="5"/>
      <c r="AW486" s="5"/>
      <c r="AX486" s="5"/>
      <c r="AY486" s="5"/>
      <c r="AZ486" s="5"/>
      <c r="BF486" s="96"/>
      <c r="BG486" s="96"/>
      <c r="BH486" s="96"/>
      <c r="BI486" s="96"/>
      <c r="BJ486" s="96"/>
      <c r="BK486" s="5"/>
      <c r="BL486" s="5"/>
      <c r="BM486" s="5"/>
      <c r="BN486" s="5"/>
      <c r="BO486" s="5"/>
      <c r="BP486" s="5"/>
    </row>
    <row r="487">
      <c r="A487" s="5"/>
      <c r="B487" s="150"/>
      <c r="C487" s="151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6"/>
      <c r="AQ487" s="5"/>
      <c r="AR487" s="7"/>
      <c r="AT487" s="5"/>
      <c r="AU487" s="5"/>
      <c r="AV487" s="5"/>
      <c r="AW487" s="5"/>
      <c r="AX487" s="5"/>
      <c r="AY487" s="5"/>
      <c r="AZ487" s="5"/>
      <c r="BF487" s="96"/>
      <c r="BG487" s="96"/>
      <c r="BH487" s="96"/>
      <c r="BI487" s="96"/>
      <c r="BJ487" s="96"/>
      <c r="BK487" s="5"/>
      <c r="BL487" s="5"/>
      <c r="BM487" s="5"/>
      <c r="BN487" s="5"/>
      <c r="BO487" s="5"/>
      <c r="BP487" s="5"/>
    </row>
    <row r="488">
      <c r="A488" s="5"/>
      <c r="B488" s="150"/>
      <c r="C488" s="151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6"/>
      <c r="AQ488" s="5"/>
      <c r="AR488" s="7"/>
      <c r="AT488" s="5"/>
      <c r="AU488" s="5"/>
      <c r="AV488" s="5"/>
      <c r="AW488" s="5"/>
      <c r="AX488" s="5"/>
      <c r="AY488" s="5"/>
      <c r="AZ488" s="5"/>
      <c r="BF488" s="96"/>
      <c r="BG488" s="96"/>
      <c r="BH488" s="96"/>
      <c r="BI488" s="96"/>
      <c r="BJ488" s="96"/>
      <c r="BK488" s="5"/>
      <c r="BL488" s="5"/>
      <c r="BM488" s="5"/>
      <c r="BN488" s="5"/>
      <c r="BO488" s="5"/>
      <c r="BP488" s="5"/>
    </row>
    <row r="489">
      <c r="A489" s="5"/>
      <c r="B489" s="150"/>
      <c r="C489" s="151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6"/>
      <c r="AQ489" s="5"/>
      <c r="AR489" s="7"/>
      <c r="AT489" s="5"/>
      <c r="AU489" s="5"/>
      <c r="AV489" s="5"/>
      <c r="AW489" s="5"/>
      <c r="AX489" s="5"/>
      <c r="AY489" s="5"/>
      <c r="AZ489" s="5"/>
      <c r="BF489" s="96"/>
      <c r="BG489" s="96"/>
      <c r="BH489" s="96"/>
      <c r="BI489" s="96"/>
      <c r="BJ489" s="96"/>
      <c r="BK489" s="5"/>
      <c r="BL489" s="5"/>
      <c r="BM489" s="5"/>
      <c r="BN489" s="5"/>
      <c r="BO489" s="5"/>
      <c r="BP489" s="5"/>
    </row>
    <row r="490">
      <c r="A490" s="5"/>
      <c r="B490" s="150"/>
      <c r="C490" s="151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6"/>
      <c r="AQ490" s="5"/>
      <c r="AR490" s="7"/>
      <c r="AT490" s="5"/>
      <c r="AU490" s="5"/>
      <c r="AV490" s="5"/>
      <c r="AW490" s="5"/>
      <c r="AX490" s="5"/>
      <c r="AY490" s="5"/>
      <c r="AZ490" s="5"/>
      <c r="BF490" s="96"/>
      <c r="BG490" s="96"/>
      <c r="BH490" s="96"/>
      <c r="BI490" s="96"/>
      <c r="BJ490" s="96"/>
      <c r="BK490" s="5"/>
      <c r="BL490" s="5"/>
      <c r="BM490" s="5"/>
      <c r="BN490" s="5"/>
      <c r="BO490" s="5"/>
      <c r="BP490" s="5"/>
    </row>
    <row r="491">
      <c r="A491" s="5"/>
      <c r="B491" s="150"/>
      <c r="C491" s="151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6"/>
      <c r="AQ491" s="5"/>
      <c r="AR491" s="7"/>
      <c r="AT491" s="5"/>
      <c r="AU491" s="5"/>
      <c r="AV491" s="5"/>
      <c r="AW491" s="5"/>
      <c r="AX491" s="5"/>
      <c r="AY491" s="5"/>
      <c r="AZ491" s="5"/>
      <c r="BF491" s="96"/>
      <c r="BG491" s="96"/>
      <c r="BH491" s="96"/>
      <c r="BI491" s="96"/>
      <c r="BJ491" s="96"/>
      <c r="BK491" s="5"/>
      <c r="BL491" s="5"/>
      <c r="BM491" s="5"/>
      <c r="BN491" s="5"/>
      <c r="BO491" s="5"/>
      <c r="BP491" s="5"/>
    </row>
    <row r="492">
      <c r="A492" s="5"/>
      <c r="B492" s="150"/>
      <c r="C492" s="151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6"/>
      <c r="AQ492" s="5"/>
      <c r="AR492" s="7"/>
      <c r="AT492" s="5"/>
      <c r="AU492" s="5"/>
      <c r="AV492" s="5"/>
      <c r="AW492" s="5"/>
      <c r="AX492" s="5"/>
      <c r="AY492" s="5"/>
      <c r="AZ492" s="5"/>
      <c r="BF492" s="96"/>
      <c r="BG492" s="96"/>
      <c r="BH492" s="96"/>
      <c r="BI492" s="96"/>
      <c r="BJ492" s="96"/>
      <c r="BK492" s="5"/>
      <c r="BL492" s="5"/>
      <c r="BM492" s="5"/>
      <c r="BN492" s="5"/>
      <c r="BO492" s="5"/>
      <c r="BP492" s="5"/>
    </row>
    <row r="493">
      <c r="A493" s="5"/>
      <c r="B493" s="150"/>
      <c r="C493" s="151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6"/>
      <c r="AQ493" s="5"/>
      <c r="AR493" s="7"/>
      <c r="AT493" s="5"/>
      <c r="AU493" s="5"/>
      <c r="AV493" s="5"/>
      <c r="AW493" s="5"/>
      <c r="AX493" s="5"/>
      <c r="AY493" s="5"/>
      <c r="AZ493" s="5"/>
      <c r="BF493" s="96"/>
      <c r="BG493" s="96"/>
      <c r="BH493" s="96"/>
      <c r="BI493" s="96"/>
      <c r="BJ493" s="96"/>
      <c r="BK493" s="5"/>
      <c r="BL493" s="5"/>
      <c r="BM493" s="5"/>
      <c r="BN493" s="5"/>
      <c r="BO493" s="5"/>
      <c r="BP493" s="5"/>
    </row>
    <row r="494">
      <c r="A494" s="5"/>
      <c r="B494" s="150"/>
      <c r="C494" s="151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6"/>
      <c r="AQ494" s="5"/>
      <c r="AR494" s="7"/>
      <c r="AT494" s="5"/>
      <c r="AU494" s="5"/>
      <c r="AV494" s="5"/>
      <c r="AW494" s="5"/>
      <c r="AX494" s="5"/>
      <c r="AY494" s="5"/>
      <c r="AZ494" s="5"/>
      <c r="BF494" s="96"/>
      <c r="BG494" s="96"/>
      <c r="BH494" s="96"/>
      <c r="BI494" s="96"/>
      <c r="BJ494" s="96"/>
      <c r="BK494" s="5"/>
      <c r="BL494" s="5"/>
      <c r="BM494" s="5"/>
      <c r="BN494" s="5"/>
      <c r="BO494" s="5"/>
      <c r="BP494" s="5"/>
    </row>
    <row r="495">
      <c r="A495" s="5"/>
      <c r="B495" s="150"/>
      <c r="C495" s="151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6"/>
      <c r="AQ495" s="5"/>
      <c r="AR495" s="7"/>
      <c r="AT495" s="5"/>
      <c r="AU495" s="5"/>
      <c r="AV495" s="5"/>
      <c r="AW495" s="5"/>
      <c r="AX495" s="5"/>
      <c r="AY495" s="5"/>
      <c r="AZ495" s="5"/>
      <c r="BF495" s="96"/>
      <c r="BG495" s="96"/>
      <c r="BH495" s="96"/>
      <c r="BI495" s="96"/>
      <c r="BJ495" s="96"/>
      <c r="BK495" s="5"/>
      <c r="BL495" s="5"/>
      <c r="BM495" s="5"/>
      <c r="BN495" s="5"/>
      <c r="BO495" s="5"/>
      <c r="BP495" s="5"/>
    </row>
    <row r="496">
      <c r="A496" s="5"/>
      <c r="B496" s="150"/>
      <c r="C496" s="151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6"/>
      <c r="AQ496" s="5"/>
      <c r="AR496" s="7"/>
      <c r="AT496" s="5"/>
      <c r="AU496" s="5"/>
      <c r="AV496" s="5"/>
      <c r="AW496" s="5"/>
      <c r="AX496" s="5"/>
      <c r="AY496" s="5"/>
      <c r="AZ496" s="5"/>
      <c r="BF496" s="96"/>
      <c r="BG496" s="96"/>
      <c r="BH496" s="96"/>
      <c r="BI496" s="96"/>
      <c r="BJ496" s="96"/>
      <c r="BK496" s="5"/>
      <c r="BL496" s="5"/>
      <c r="BM496" s="5"/>
      <c r="BN496" s="5"/>
      <c r="BO496" s="5"/>
      <c r="BP496" s="5"/>
    </row>
    <row r="497">
      <c r="A497" s="5"/>
      <c r="B497" s="150"/>
      <c r="C497" s="151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6"/>
      <c r="AQ497" s="5"/>
      <c r="AR497" s="7"/>
      <c r="AT497" s="5"/>
      <c r="AU497" s="5"/>
      <c r="AV497" s="5"/>
      <c r="AW497" s="5"/>
      <c r="AX497" s="5"/>
      <c r="AY497" s="5"/>
      <c r="AZ497" s="5"/>
      <c r="BF497" s="96"/>
      <c r="BG497" s="96"/>
      <c r="BH497" s="96"/>
      <c r="BI497" s="96"/>
      <c r="BJ497" s="96"/>
      <c r="BK497" s="5"/>
      <c r="BL497" s="5"/>
      <c r="BM497" s="5"/>
      <c r="BN497" s="5"/>
      <c r="BO497" s="5"/>
      <c r="BP497" s="5"/>
    </row>
    <row r="498">
      <c r="A498" s="5"/>
      <c r="B498" s="150"/>
      <c r="C498" s="151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6"/>
      <c r="AQ498" s="5"/>
      <c r="AR498" s="7"/>
      <c r="AT498" s="5"/>
      <c r="AU498" s="5"/>
      <c r="AV498" s="5"/>
      <c r="AW498" s="5"/>
      <c r="AX498" s="5"/>
      <c r="AY498" s="5"/>
      <c r="AZ498" s="5"/>
      <c r="BF498" s="96"/>
      <c r="BG498" s="96"/>
      <c r="BH498" s="96"/>
      <c r="BI498" s="96"/>
      <c r="BJ498" s="96"/>
      <c r="BK498" s="5"/>
      <c r="BL498" s="5"/>
      <c r="BM498" s="5"/>
      <c r="BN498" s="5"/>
      <c r="BO498" s="5"/>
      <c r="BP498" s="5"/>
    </row>
    <row r="499">
      <c r="A499" s="5"/>
      <c r="B499" s="150"/>
      <c r="C499" s="151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6"/>
      <c r="AQ499" s="5"/>
      <c r="AR499" s="7"/>
      <c r="AT499" s="5"/>
      <c r="AU499" s="5"/>
      <c r="AV499" s="5"/>
      <c r="AW499" s="5"/>
      <c r="AX499" s="5"/>
      <c r="AY499" s="5"/>
      <c r="AZ499" s="5"/>
      <c r="BF499" s="96"/>
      <c r="BG499" s="96"/>
      <c r="BH499" s="96"/>
      <c r="BI499" s="96"/>
      <c r="BJ499" s="96"/>
      <c r="BK499" s="5"/>
      <c r="BL499" s="5"/>
      <c r="BM499" s="5"/>
      <c r="BN499" s="5"/>
      <c r="BO499" s="5"/>
      <c r="BP499" s="5"/>
    </row>
    <row r="500">
      <c r="A500" s="5"/>
      <c r="B500" s="150"/>
      <c r="C500" s="151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6"/>
      <c r="AQ500" s="5"/>
      <c r="AR500" s="7"/>
      <c r="AT500" s="5"/>
      <c r="AU500" s="5"/>
      <c r="AV500" s="5"/>
      <c r="AW500" s="5"/>
      <c r="AX500" s="5"/>
      <c r="AY500" s="5"/>
      <c r="AZ500" s="5"/>
      <c r="BF500" s="96"/>
      <c r="BG500" s="96"/>
      <c r="BH500" s="96"/>
      <c r="BI500" s="96"/>
      <c r="BJ500" s="96"/>
      <c r="BK500" s="5"/>
      <c r="BL500" s="5"/>
      <c r="BM500" s="5"/>
      <c r="BN500" s="5"/>
      <c r="BO500" s="5"/>
      <c r="BP500" s="5"/>
    </row>
    <row r="501">
      <c r="A501" s="5"/>
      <c r="B501" s="150"/>
      <c r="C501" s="151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6"/>
      <c r="AQ501" s="5"/>
      <c r="AR501" s="7"/>
      <c r="AT501" s="5"/>
      <c r="AU501" s="5"/>
      <c r="AV501" s="5"/>
      <c r="AW501" s="5"/>
      <c r="AX501" s="5"/>
      <c r="AY501" s="5"/>
      <c r="AZ501" s="5"/>
      <c r="BF501" s="96"/>
      <c r="BG501" s="96"/>
      <c r="BH501" s="96"/>
      <c r="BI501" s="96"/>
      <c r="BJ501" s="96"/>
      <c r="BK501" s="5"/>
      <c r="BL501" s="5"/>
      <c r="BM501" s="5"/>
      <c r="BN501" s="5"/>
      <c r="BO501" s="5"/>
      <c r="BP501" s="5"/>
    </row>
    <row r="502">
      <c r="A502" s="5"/>
      <c r="B502" s="150"/>
      <c r="C502" s="151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6"/>
      <c r="AQ502" s="5"/>
      <c r="AR502" s="7"/>
      <c r="AT502" s="5"/>
      <c r="AU502" s="5"/>
      <c r="AV502" s="5"/>
      <c r="AW502" s="5"/>
      <c r="AX502" s="5"/>
      <c r="AY502" s="5"/>
      <c r="AZ502" s="5"/>
      <c r="BF502" s="96"/>
      <c r="BG502" s="96"/>
      <c r="BH502" s="96"/>
      <c r="BI502" s="96"/>
      <c r="BJ502" s="96"/>
      <c r="BK502" s="5"/>
      <c r="BL502" s="5"/>
      <c r="BM502" s="5"/>
      <c r="BN502" s="5"/>
      <c r="BO502" s="5"/>
      <c r="BP502" s="5"/>
    </row>
    <row r="503">
      <c r="A503" s="5"/>
      <c r="B503" s="150"/>
      <c r="C503" s="151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6"/>
      <c r="AQ503" s="5"/>
      <c r="AR503" s="7"/>
      <c r="AT503" s="5"/>
      <c r="AU503" s="5"/>
      <c r="AV503" s="5"/>
      <c r="AW503" s="5"/>
      <c r="AX503" s="5"/>
      <c r="AY503" s="5"/>
      <c r="AZ503" s="5"/>
      <c r="BF503" s="96"/>
      <c r="BG503" s="96"/>
      <c r="BH503" s="96"/>
      <c r="BI503" s="96"/>
      <c r="BJ503" s="96"/>
      <c r="BK503" s="5"/>
      <c r="BL503" s="5"/>
      <c r="BM503" s="5"/>
      <c r="BN503" s="5"/>
      <c r="BO503" s="5"/>
      <c r="BP503" s="5"/>
    </row>
    <row r="504">
      <c r="A504" s="5"/>
      <c r="B504" s="150"/>
      <c r="C504" s="151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6"/>
      <c r="AQ504" s="5"/>
      <c r="AR504" s="7"/>
      <c r="AT504" s="5"/>
      <c r="AU504" s="5"/>
      <c r="AV504" s="5"/>
      <c r="AW504" s="5"/>
      <c r="AX504" s="5"/>
      <c r="AY504" s="5"/>
      <c r="AZ504" s="5"/>
      <c r="BF504" s="96"/>
      <c r="BG504" s="96"/>
      <c r="BH504" s="96"/>
      <c r="BI504" s="96"/>
      <c r="BJ504" s="96"/>
      <c r="BK504" s="5"/>
      <c r="BL504" s="5"/>
      <c r="BM504" s="5"/>
      <c r="BN504" s="5"/>
      <c r="BO504" s="5"/>
      <c r="BP504" s="5"/>
    </row>
    <row r="505">
      <c r="A505" s="5"/>
      <c r="B505" s="150"/>
      <c r="C505" s="151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6"/>
      <c r="AQ505" s="5"/>
      <c r="AR505" s="7"/>
      <c r="AT505" s="5"/>
      <c r="AU505" s="5"/>
      <c r="AV505" s="5"/>
      <c r="AW505" s="5"/>
      <c r="AX505" s="5"/>
      <c r="AY505" s="5"/>
      <c r="AZ505" s="5"/>
      <c r="BF505" s="96"/>
      <c r="BG505" s="96"/>
      <c r="BH505" s="96"/>
      <c r="BI505" s="96"/>
      <c r="BJ505" s="96"/>
      <c r="BK505" s="5"/>
      <c r="BL505" s="5"/>
      <c r="BM505" s="5"/>
      <c r="BN505" s="5"/>
      <c r="BO505" s="5"/>
      <c r="BP505" s="5"/>
    </row>
    <row r="506">
      <c r="A506" s="5"/>
      <c r="B506" s="150"/>
      <c r="C506" s="151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6"/>
      <c r="AQ506" s="5"/>
      <c r="AR506" s="7"/>
      <c r="AT506" s="5"/>
      <c r="AU506" s="5"/>
      <c r="AV506" s="5"/>
      <c r="AW506" s="5"/>
      <c r="AX506" s="5"/>
      <c r="AY506" s="5"/>
      <c r="AZ506" s="5"/>
      <c r="BF506" s="96"/>
      <c r="BG506" s="96"/>
      <c r="BH506" s="96"/>
      <c r="BI506" s="96"/>
      <c r="BJ506" s="96"/>
      <c r="BK506" s="5"/>
      <c r="BL506" s="5"/>
      <c r="BM506" s="5"/>
      <c r="BN506" s="5"/>
      <c r="BO506" s="5"/>
      <c r="BP506" s="5"/>
    </row>
    <row r="507">
      <c r="A507" s="5"/>
      <c r="B507" s="150"/>
      <c r="C507" s="151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6"/>
      <c r="AQ507" s="5"/>
      <c r="AR507" s="7"/>
      <c r="AT507" s="5"/>
      <c r="AU507" s="5"/>
      <c r="AV507" s="5"/>
      <c r="AW507" s="5"/>
      <c r="AX507" s="5"/>
      <c r="AY507" s="5"/>
      <c r="AZ507" s="5"/>
      <c r="BF507" s="96"/>
      <c r="BG507" s="96"/>
      <c r="BH507" s="96"/>
      <c r="BI507" s="96"/>
      <c r="BJ507" s="96"/>
      <c r="BK507" s="5"/>
      <c r="BL507" s="5"/>
      <c r="BM507" s="5"/>
      <c r="BN507" s="5"/>
      <c r="BO507" s="5"/>
      <c r="BP507" s="5"/>
    </row>
    <row r="508">
      <c r="A508" s="5"/>
      <c r="B508" s="150"/>
      <c r="C508" s="151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6"/>
      <c r="AQ508" s="5"/>
      <c r="AR508" s="7"/>
      <c r="AT508" s="5"/>
      <c r="AU508" s="5"/>
      <c r="AV508" s="5"/>
      <c r="AW508" s="5"/>
      <c r="AX508" s="5"/>
      <c r="AY508" s="5"/>
      <c r="AZ508" s="5"/>
      <c r="BF508" s="96"/>
      <c r="BG508" s="96"/>
      <c r="BH508" s="96"/>
      <c r="BI508" s="96"/>
      <c r="BJ508" s="96"/>
      <c r="BK508" s="5"/>
      <c r="BL508" s="5"/>
      <c r="BM508" s="5"/>
      <c r="BN508" s="5"/>
      <c r="BO508" s="5"/>
      <c r="BP508" s="5"/>
    </row>
    <row r="509">
      <c r="A509" s="5"/>
      <c r="B509" s="150"/>
      <c r="C509" s="151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6"/>
      <c r="AQ509" s="5"/>
      <c r="AR509" s="7"/>
      <c r="AT509" s="5"/>
      <c r="AU509" s="5"/>
      <c r="AV509" s="5"/>
      <c r="AW509" s="5"/>
      <c r="AX509" s="5"/>
      <c r="AY509" s="5"/>
      <c r="AZ509" s="5"/>
      <c r="BF509" s="96"/>
      <c r="BG509" s="96"/>
      <c r="BH509" s="96"/>
      <c r="BI509" s="96"/>
      <c r="BJ509" s="96"/>
      <c r="BK509" s="5"/>
      <c r="BL509" s="5"/>
      <c r="BM509" s="5"/>
      <c r="BN509" s="5"/>
      <c r="BO509" s="5"/>
      <c r="BP509" s="5"/>
    </row>
    <row r="510">
      <c r="A510" s="5"/>
      <c r="B510" s="150"/>
      <c r="C510" s="151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6"/>
      <c r="AQ510" s="5"/>
      <c r="AR510" s="7"/>
      <c r="AT510" s="5"/>
      <c r="AU510" s="5"/>
      <c r="AV510" s="5"/>
      <c r="AW510" s="5"/>
      <c r="AX510" s="5"/>
      <c r="AY510" s="5"/>
      <c r="AZ510" s="5"/>
      <c r="BF510" s="96"/>
      <c r="BG510" s="96"/>
      <c r="BH510" s="96"/>
      <c r="BI510" s="96"/>
      <c r="BJ510" s="96"/>
      <c r="BK510" s="5"/>
      <c r="BL510" s="5"/>
      <c r="BM510" s="5"/>
      <c r="BN510" s="5"/>
      <c r="BO510" s="5"/>
      <c r="BP510" s="5"/>
    </row>
    <row r="511">
      <c r="A511" s="5"/>
      <c r="B511" s="150"/>
      <c r="C511" s="151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6"/>
      <c r="AQ511" s="5"/>
      <c r="AR511" s="7"/>
      <c r="AT511" s="5"/>
      <c r="AU511" s="5"/>
      <c r="AV511" s="5"/>
      <c r="AW511" s="5"/>
      <c r="AX511" s="5"/>
      <c r="AY511" s="5"/>
      <c r="AZ511" s="5"/>
      <c r="BF511" s="96"/>
      <c r="BG511" s="96"/>
      <c r="BH511" s="96"/>
      <c r="BI511" s="96"/>
      <c r="BJ511" s="96"/>
      <c r="BK511" s="5"/>
      <c r="BL511" s="5"/>
      <c r="BM511" s="5"/>
      <c r="BN511" s="5"/>
      <c r="BO511" s="5"/>
      <c r="BP511" s="5"/>
    </row>
    <row r="512">
      <c r="A512" s="5"/>
      <c r="B512" s="150"/>
      <c r="C512" s="151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6"/>
      <c r="AQ512" s="5"/>
      <c r="AR512" s="7"/>
      <c r="AT512" s="5"/>
      <c r="AU512" s="5"/>
      <c r="AV512" s="5"/>
      <c r="AW512" s="5"/>
      <c r="AX512" s="5"/>
      <c r="AY512" s="5"/>
      <c r="AZ512" s="5"/>
      <c r="BF512" s="96"/>
      <c r="BG512" s="96"/>
      <c r="BH512" s="96"/>
      <c r="BI512" s="96"/>
      <c r="BJ512" s="96"/>
      <c r="BK512" s="5"/>
      <c r="BL512" s="5"/>
      <c r="BM512" s="5"/>
      <c r="BN512" s="5"/>
      <c r="BO512" s="5"/>
      <c r="BP512" s="5"/>
    </row>
    <row r="513">
      <c r="A513" s="5"/>
      <c r="B513" s="150"/>
      <c r="C513" s="151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6"/>
      <c r="AQ513" s="5"/>
      <c r="AR513" s="7"/>
      <c r="AT513" s="5"/>
      <c r="AU513" s="5"/>
      <c r="AV513" s="5"/>
      <c r="AW513" s="5"/>
      <c r="AX513" s="5"/>
      <c r="AY513" s="5"/>
      <c r="AZ513" s="5"/>
      <c r="BF513" s="96"/>
      <c r="BG513" s="96"/>
      <c r="BH513" s="96"/>
      <c r="BI513" s="96"/>
      <c r="BJ513" s="96"/>
      <c r="BK513" s="5"/>
      <c r="BL513" s="5"/>
      <c r="BM513" s="5"/>
      <c r="BN513" s="5"/>
      <c r="BO513" s="5"/>
      <c r="BP513" s="5"/>
    </row>
    <row r="514">
      <c r="A514" s="5"/>
      <c r="B514" s="150"/>
      <c r="C514" s="151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6"/>
      <c r="AQ514" s="5"/>
      <c r="AR514" s="7"/>
      <c r="AT514" s="5"/>
      <c r="AU514" s="5"/>
      <c r="AV514" s="5"/>
      <c r="AW514" s="5"/>
      <c r="AX514" s="5"/>
      <c r="AY514" s="5"/>
      <c r="AZ514" s="5"/>
      <c r="BF514" s="96"/>
      <c r="BG514" s="96"/>
      <c r="BH514" s="96"/>
      <c r="BI514" s="96"/>
      <c r="BJ514" s="96"/>
      <c r="BK514" s="5"/>
      <c r="BL514" s="5"/>
      <c r="BM514" s="5"/>
      <c r="BN514" s="5"/>
      <c r="BO514" s="5"/>
      <c r="BP514" s="5"/>
    </row>
    <row r="515">
      <c r="A515" s="5"/>
      <c r="B515" s="150"/>
      <c r="C515" s="151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6"/>
      <c r="AQ515" s="5"/>
      <c r="AR515" s="7"/>
      <c r="AT515" s="5"/>
      <c r="AU515" s="5"/>
      <c r="AV515" s="5"/>
      <c r="AW515" s="5"/>
      <c r="AX515" s="5"/>
      <c r="AY515" s="5"/>
      <c r="AZ515" s="5"/>
      <c r="BF515" s="96"/>
      <c r="BG515" s="96"/>
      <c r="BH515" s="96"/>
      <c r="BI515" s="96"/>
      <c r="BJ515" s="96"/>
      <c r="BK515" s="5"/>
      <c r="BL515" s="5"/>
      <c r="BM515" s="5"/>
      <c r="BN515" s="5"/>
      <c r="BO515" s="5"/>
      <c r="BP515" s="5"/>
    </row>
    <row r="516">
      <c r="A516" s="5"/>
      <c r="B516" s="150"/>
      <c r="C516" s="151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6"/>
      <c r="AQ516" s="5"/>
      <c r="AR516" s="7"/>
      <c r="AT516" s="5"/>
      <c r="AU516" s="5"/>
      <c r="AV516" s="5"/>
      <c r="AW516" s="5"/>
      <c r="AX516" s="5"/>
      <c r="AY516" s="5"/>
      <c r="AZ516" s="5"/>
      <c r="BF516" s="96"/>
      <c r="BG516" s="96"/>
      <c r="BH516" s="96"/>
      <c r="BI516" s="96"/>
      <c r="BJ516" s="96"/>
      <c r="BK516" s="5"/>
      <c r="BL516" s="5"/>
      <c r="BM516" s="5"/>
      <c r="BN516" s="5"/>
      <c r="BO516" s="5"/>
      <c r="BP516" s="5"/>
    </row>
    <row r="517">
      <c r="A517" s="5"/>
      <c r="B517" s="150"/>
      <c r="C517" s="151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6"/>
      <c r="AQ517" s="5"/>
      <c r="AR517" s="7"/>
      <c r="AT517" s="5"/>
      <c r="AU517" s="5"/>
      <c r="AV517" s="5"/>
      <c r="AW517" s="5"/>
      <c r="AX517" s="5"/>
      <c r="AY517" s="5"/>
      <c r="AZ517" s="5"/>
      <c r="BF517" s="96"/>
      <c r="BG517" s="96"/>
      <c r="BH517" s="96"/>
      <c r="BI517" s="96"/>
      <c r="BJ517" s="96"/>
      <c r="BK517" s="5"/>
      <c r="BL517" s="5"/>
      <c r="BM517" s="5"/>
      <c r="BN517" s="5"/>
      <c r="BO517" s="5"/>
      <c r="BP517" s="5"/>
    </row>
    <row r="518">
      <c r="A518" s="5"/>
      <c r="B518" s="150"/>
      <c r="C518" s="151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6"/>
      <c r="AQ518" s="5"/>
      <c r="AR518" s="7"/>
      <c r="AT518" s="5"/>
      <c r="AU518" s="5"/>
      <c r="AV518" s="5"/>
      <c r="AW518" s="5"/>
      <c r="AX518" s="5"/>
      <c r="AY518" s="5"/>
      <c r="AZ518" s="5"/>
      <c r="BF518" s="96"/>
      <c r="BG518" s="96"/>
      <c r="BH518" s="96"/>
      <c r="BI518" s="96"/>
      <c r="BJ518" s="96"/>
      <c r="BK518" s="5"/>
      <c r="BL518" s="5"/>
      <c r="BM518" s="5"/>
      <c r="BN518" s="5"/>
      <c r="BO518" s="5"/>
      <c r="BP518" s="5"/>
    </row>
    <row r="519">
      <c r="A519" s="5"/>
      <c r="B519" s="150"/>
      <c r="C519" s="151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6"/>
      <c r="AQ519" s="5"/>
      <c r="AR519" s="7"/>
      <c r="AT519" s="5"/>
      <c r="AU519" s="5"/>
      <c r="AV519" s="5"/>
      <c r="AW519" s="5"/>
      <c r="AX519" s="5"/>
      <c r="AY519" s="5"/>
      <c r="AZ519" s="5"/>
      <c r="BF519" s="96"/>
      <c r="BG519" s="96"/>
      <c r="BH519" s="96"/>
      <c r="BI519" s="96"/>
      <c r="BJ519" s="96"/>
      <c r="BK519" s="5"/>
      <c r="BL519" s="5"/>
      <c r="BM519" s="5"/>
      <c r="BN519" s="5"/>
      <c r="BO519" s="5"/>
      <c r="BP519" s="5"/>
    </row>
    <row r="520">
      <c r="A520" s="5"/>
      <c r="B520" s="150"/>
      <c r="C520" s="151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6"/>
      <c r="AQ520" s="5"/>
      <c r="AR520" s="7"/>
      <c r="AT520" s="5"/>
      <c r="AU520" s="5"/>
      <c r="AV520" s="5"/>
      <c r="AW520" s="5"/>
      <c r="AX520" s="5"/>
      <c r="AY520" s="5"/>
      <c r="AZ520" s="5"/>
      <c r="BF520" s="96"/>
      <c r="BG520" s="96"/>
      <c r="BH520" s="96"/>
      <c r="BI520" s="96"/>
      <c r="BJ520" s="96"/>
      <c r="BK520" s="5"/>
      <c r="BL520" s="5"/>
      <c r="BM520" s="5"/>
      <c r="BN520" s="5"/>
      <c r="BO520" s="5"/>
      <c r="BP520" s="5"/>
    </row>
    <row r="521">
      <c r="A521" s="5"/>
      <c r="B521" s="150"/>
      <c r="C521" s="151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6"/>
      <c r="AQ521" s="5"/>
      <c r="AR521" s="7"/>
      <c r="AT521" s="5"/>
      <c r="AU521" s="5"/>
      <c r="AV521" s="5"/>
      <c r="AW521" s="5"/>
      <c r="AX521" s="5"/>
      <c r="AY521" s="5"/>
      <c r="AZ521" s="5"/>
      <c r="BF521" s="96"/>
      <c r="BG521" s="96"/>
      <c r="BH521" s="96"/>
      <c r="BI521" s="96"/>
      <c r="BJ521" s="96"/>
      <c r="BK521" s="5"/>
      <c r="BL521" s="5"/>
      <c r="BM521" s="5"/>
      <c r="BN521" s="5"/>
      <c r="BO521" s="5"/>
      <c r="BP521" s="5"/>
    </row>
    <row r="522">
      <c r="A522" s="5"/>
      <c r="B522" s="150"/>
      <c r="C522" s="151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6"/>
      <c r="AQ522" s="5"/>
      <c r="AR522" s="7"/>
      <c r="AT522" s="5"/>
      <c r="AU522" s="5"/>
      <c r="AV522" s="5"/>
      <c r="AW522" s="5"/>
      <c r="AX522" s="5"/>
      <c r="AY522" s="5"/>
      <c r="AZ522" s="5"/>
      <c r="BF522" s="96"/>
      <c r="BG522" s="96"/>
      <c r="BH522" s="96"/>
      <c r="BI522" s="96"/>
      <c r="BJ522" s="96"/>
      <c r="BK522" s="5"/>
      <c r="BL522" s="5"/>
      <c r="BM522" s="5"/>
      <c r="BN522" s="5"/>
      <c r="BO522" s="5"/>
      <c r="BP522" s="5"/>
    </row>
    <row r="523">
      <c r="A523" s="5"/>
      <c r="B523" s="150"/>
      <c r="C523" s="151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6"/>
      <c r="AQ523" s="5"/>
      <c r="AR523" s="7"/>
      <c r="AT523" s="5"/>
      <c r="AU523" s="5"/>
      <c r="AV523" s="5"/>
      <c r="AW523" s="5"/>
      <c r="AX523" s="5"/>
      <c r="AY523" s="5"/>
      <c r="AZ523" s="5"/>
      <c r="BF523" s="96"/>
      <c r="BG523" s="96"/>
      <c r="BH523" s="96"/>
      <c r="BI523" s="96"/>
      <c r="BJ523" s="96"/>
      <c r="BK523" s="5"/>
      <c r="BL523" s="5"/>
      <c r="BM523" s="5"/>
      <c r="BN523" s="5"/>
      <c r="BO523" s="5"/>
      <c r="BP523" s="5"/>
    </row>
    <row r="524">
      <c r="A524" s="5"/>
      <c r="B524" s="150"/>
      <c r="C524" s="151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6"/>
      <c r="AQ524" s="5"/>
      <c r="AR524" s="7"/>
      <c r="AT524" s="5"/>
      <c r="AU524" s="5"/>
      <c r="AV524" s="5"/>
      <c r="AW524" s="5"/>
      <c r="AX524" s="5"/>
      <c r="AY524" s="5"/>
      <c r="AZ524" s="5"/>
      <c r="BF524" s="96"/>
      <c r="BG524" s="96"/>
      <c r="BH524" s="96"/>
      <c r="BI524" s="96"/>
      <c r="BJ524" s="96"/>
      <c r="BK524" s="5"/>
      <c r="BL524" s="5"/>
      <c r="BM524" s="5"/>
      <c r="BN524" s="5"/>
      <c r="BO524" s="5"/>
      <c r="BP524" s="5"/>
    </row>
    <row r="525">
      <c r="A525" s="5"/>
      <c r="B525" s="150"/>
      <c r="C525" s="151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6"/>
      <c r="AQ525" s="5"/>
      <c r="AR525" s="7"/>
      <c r="AT525" s="5"/>
      <c r="AU525" s="5"/>
      <c r="AV525" s="5"/>
      <c r="AW525" s="5"/>
      <c r="AX525" s="5"/>
      <c r="AY525" s="5"/>
      <c r="AZ525" s="5"/>
      <c r="BF525" s="96"/>
      <c r="BG525" s="96"/>
      <c r="BH525" s="96"/>
      <c r="BI525" s="96"/>
      <c r="BJ525" s="96"/>
      <c r="BK525" s="5"/>
      <c r="BL525" s="5"/>
      <c r="BM525" s="5"/>
      <c r="BN525" s="5"/>
      <c r="BO525" s="5"/>
      <c r="BP525" s="5"/>
    </row>
    <row r="526">
      <c r="A526" s="5"/>
      <c r="B526" s="150"/>
      <c r="C526" s="151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6"/>
      <c r="AQ526" s="5"/>
      <c r="AR526" s="7"/>
      <c r="AT526" s="5"/>
      <c r="AU526" s="5"/>
      <c r="AV526" s="5"/>
      <c r="AW526" s="5"/>
      <c r="AX526" s="5"/>
      <c r="AY526" s="5"/>
      <c r="AZ526" s="5"/>
      <c r="BF526" s="96"/>
      <c r="BG526" s="96"/>
      <c r="BH526" s="96"/>
      <c r="BI526" s="96"/>
      <c r="BJ526" s="96"/>
      <c r="BK526" s="5"/>
      <c r="BL526" s="5"/>
      <c r="BM526" s="5"/>
      <c r="BN526" s="5"/>
      <c r="BO526" s="5"/>
      <c r="BP526" s="5"/>
    </row>
    <row r="527">
      <c r="A527" s="5"/>
      <c r="B527" s="150"/>
      <c r="C527" s="151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6"/>
      <c r="AQ527" s="5"/>
      <c r="AR527" s="7"/>
      <c r="AT527" s="5"/>
      <c r="AU527" s="5"/>
      <c r="AV527" s="5"/>
      <c r="AW527" s="5"/>
      <c r="AX527" s="5"/>
      <c r="AY527" s="5"/>
      <c r="AZ527" s="5"/>
      <c r="BF527" s="96"/>
      <c r="BG527" s="96"/>
      <c r="BH527" s="96"/>
      <c r="BI527" s="96"/>
      <c r="BJ527" s="96"/>
      <c r="BK527" s="5"/>
      <c r="BL527" s="5"/>
      <c r="BM527" s="5"/>
      <c r="BN527" s="5"/>
      <c r="BO527" s="5"/>
      <c r="BP527" s="5"/>
    </row>
    <row r="528">
      <c r="A528" s="5"/>
      <c r="B528" s="150"/>
      <c r="C528" s="151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6"/>
      <c r="AQ528" s="5"/>
      <c r="AR528" s="7"/>
      <c r="AT528" s="5"/>
      <c r="AU528" s="5"/>
      <c r="AV528" s="5"/>
      <c r="AW528" s="5"/>
      <c r="AX528" s="5"/>
      <c r="AY528" s="5"/>
      <c r="AZ528" s="5"/>
      <c r="BF528" s="96"/>
      <c r="BG528" s="96"/>
      <c r="BH528" s="96"/>
      <c r="BI528" s="96"/>
      <c r="BJ528" s="96"/>
      <c r="BK528" s="5"/>
      <c r="BL528" s="5"/>
      <c r="BM528" s="5"/>
      <c r="BN528" s="5"/>
      <c r="BO528" s="5"/>
      <c r="BP528" s="5"/>
    </row>
    <row r="529">
      <c r="A529" s="5"/>
      <c r="B529" s="150"/>
      <c r="C529" s="151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6"/>
      <c r="AQ529" s="5"/>
      <c r="AR529" s="7"/>
      <c r="AT529" s="5"/>
      <c r="AU529" s="5"/>
      <c r="AV529" s="5"/>
      <c r="AW529" s="5"/>
      <c r="AX529" s="5"/>
      <c r="AY529" s="5"/>
      <c r="AZ529" s="5"/>
      <c r="BF529" s="96"/>
      <c r="BG529" s="96"/>
      <c r="BH529" s="96"/>
      <c r="BI529" s="96"/>
      <c r="BJ529" s="96"/>
      <c r="BK529" s="5"/>
      <c r="BL529" s="5"/>
      <c r="BM529" s="5"/>
      <c r="BN529" s="5"/>
      <c r="BO529" s="5"/>
      <c r="BP529" s="5"/>
    </row>
    <row r="530">
      <c r="A530" s="5"/>
      <c r="B530" s="150"/>
      <c r="C530" s="151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6"/>
      <c r="AQ530" s="5"/>
      <c r="AR530" s="7"/>
      <c r="AT530" s="5"/>
      <c r="AU530" s="5"/>
      <c r="AV530" s="5"/>
      <c r="AW530" s="5"/>
      <c r="AX530" s="5"/>
      <c r="AY530" s="5"/>
      <c r="AZ530" s="5"/>
      <c r="BF530" s="96"/>
      <c r="BG530" s="96"/>
      <c r="BH530" s="96"/>
      <c r="BI530" s="96"/>
      <c r="BJ530" s="96"/>
      <c r="BK530" s="5"/>
      <c r="BL530" s="5"/>
      <c r="BM530" s="5"/>
      <c r="BN530" s="5"/>
      <c r="BO530" s="5"/>
      <c r="BP530" s="5"/>
    </row>
    <row r="531">
      <c r="A531" s="5"/>
      <c r="B531" s="150"/>
      <c r="C531" s="151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6"/>
      <c r="AQ531" s="5"/>
      <c r="AR531" s="7"/>
      <c r="AT531" s="5"/>
      <c r="AU531" s="5"/>
      <c r="AV531" s="5"/>
      <c r="AW531" s="5"/>
      <c r="AX531" s="5"/>
      <c r="AY531" s="5"/>
      <c r="AZ531" s="5"/>
      <c r="BF531" s="96"/>
      <c r="BG531" s="96"/>
      <c r="BH531" s="96"/>
      <c r="BI531" s="96"/>
      <c r="BJ531" s="96"/>
      <c r="BK531" s="5"/>
      <c r="BL531" s="5"/>
      <c r="BM531" s="5"/>
      <c r="BN531" s="5"/>
      <c r="BO531" s="5"/>
      <c r="BP531" s="5"/>
    </row>
    <row r="532">
      <c r="A532" s="5"/>
      <c r="B532" s="150"/>
      <c r="C532" s="151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6"/>
      <c r="AQ532" s="5"/>
      <c r="AR532" s="7"/>
      <c r="AT532" s="5"/>
      <c r="AU532" s="5"/>
      <c r="AV532" s="5"/>
      <c r="AW532" s="5"/>
      <c r="AX532" s="5"/>
      <c r="AY532" s="5"/>
      <c r="AZ532" s="5"/>
      <c r="BF532" s="96"/>
      <c r="BG532" s="96"/>
      <c r="BH532" s="96"/>
      <c r="BI532" s="96"/>
      <c r="BJ532" s="96"/>
      <c r="BK532" s="5"/>
      <c r="BL532" s="5"/>
      <c r="BM532" s="5"/>
      <c r="BN532" s="5"/>
      <c r="BO532" s="5"/>
      <c r="BP532" s="5"/>
    </row>
    <row r="533">
      <c r="A533" s="5"/>
      <c r="B533" s="150"/>
      <c r="C533" s="151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6"/>
      <c r="AQ533" s="5"/>
      <c r="AR533" s="7"/>
      <c r="AT533" s="5"/>
      <c r="AU533" s="5"/>
      <c r="AV533" s="5"/>
      <c r="AW533" s="5"/>
      <c r="AX533" s="5"/>
      <c r="AY533" s="5"/>
      <c r="AZ533" s="5"/>
      <c r="BF533" s="96"/>
      <c r="BG533" s="96"/>
      <c r="BH533" s="96"/>
      <c r="BI533" s="96"/>
      <c r="BJ533" s="96"/>
      <c r="BK533" s="5"/>
      <c r="BL533" s="5"/>
      <c r="BM533" s="5"/>
      <c r="BN533" s="5"/>
      <c r="BO533" s="5"/>
      <c r="BP533" s="5"/>
    </row>
    <row r="534">
      <c r="A534" s="5"/>
      <c r="B534" s="150"/>
      <c r="C534" s="151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6"/>
      <c r="AQ534" s="5"/>
      <c r="AR534" s="7"/>
      <c r="AT534" s="5"/>
      <c r="AU534" s="5"/>
      <c r="AV534" s="5"/>
      <c r="AW534" s="5"/>
      <c r="AX534" s="5"/>
      <c r="AY534" s="5"/>
      <c r="AZ534" s="5"/>
      <c r="BF534" s="96"/>
      <c r="BG534" s="96"/>
      <c r="BH534" s="96"/>
      <c r="BI534" s="96"/>
      <c r="BJ534" s="96"/>
      <c r="BK534" s="5"/>
      <c r="BL534" s="5"/>
      <c r="BM534" s="5"/>
      <c r="BN534" s="5"/>
      <c r="BO534" s="5"/>
      <c r="BP534" s="5"/>
    </row>
    <row r="535">
      <c r="A535" s="5"/>
      <c r="B535" s="150"/>
      <c r="C535" s="151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6"/>
      <c r="AQ535" s="5"/>
      <c r="AR535" s="7"/>
      <c r="AT535" s="5"/>
      <c r="AU535" s="5"/>
      <c r="AV535" s="5"/>
      <c r="AW535" s="5"/>
      <c r="AX535" s="5"/>
      <c r="AY535" s="5"/>
      <c r="AZ535" s="5"/>
      <c r="BF535" s="96"/>
      <c r="BG535" s="96"/>
      <c r="BH535" s="96"/>
      <c r="BI535" s="96"/>
      <c r="BJ535" s="96"/>
      <c r="BK535" s="5"/>
      <c r="BL535" s="5"/>
      <c r="BM535" s="5"/>
      <c r="BN535" s="5"/>
      <c r="BO535" s="5"/>
      <c r="BP535" s="5"/>
    </row>
    <row r="536">
      <c r="A536" s="5"/>
      <c r="B536" s="150"/>
      <c r="C536" s="151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6"/>
      <c r="AQ536" s="5"/>
      <c r="AR536" s="7"/>
      <c r="AT536" s="5"/>
      <c r="AU536" s="5"/>
      <c r="AV536" s="5"/>
      <c r="AW536" s="5"/>
      <c r="AX536" s="5"/>
      <c r="AY536" s="5"/>
      <c r="AZ536" s="5"/>
      <c r="BF536" s="96"/>
      <c r="BG536" s="96"/>
      <c r="BH536" s="96"/>
      <c r="BI536" s="96"/>
      <c r="BJ536" s="96"/>
      <c r="BK536" s="5"/>
      <c r="BL536" s="5"/>
      <c r="BM536" s="5"/>
      <c r="BN536" s="5"/>
      <c r="BO536" s="5"/>
      <c r="BP536" s="5"/>
    </row>
    <row r="537">
      <c r="A537" s="5"/>
      <c r="B537" s="150"/>
      <c r="C537" s="151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6"/>
      <c r="AQ537" s="5"/>
      <c r="AR537" s="7"/>
      <c r="AT537" s="5"/>
      <c r="AU537" s="5"/>
      <c r="AV537" s="5"/>
      <c r="AW537" s="5"/>
      <c r="AX537" s="5"/>
      <c r="AY537" s="5"/>
      <c r="AZ537" s="5"/>
      <c r="BF537" s="96"/>
      <c r="BG537" s="96"/>
      <c r="BH537" s="96"/>
      <c r="BI537" s="96"/>
      <c r="BJ537" s="96"/>
      <c r="BK537" s="5"/>
      <c r="BL537" s="5"/>
      <c r="BM537" s="5"/>
      <c r="BN537" s="5"/>
      <c r="BO537" s="5"/>
      <c r="BP537" s="5"/>
    </row>
    <row r="538">
      <c r="A538" s="5"/>
      <c r="B538" s="150"/>
      <c r="C538" s="151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6"/>
      <c r="AQ538" s="5"/>
      <c r="AR538" s="7"/>
      <c r="AT538" s="5"/>
      <c r="AU538" s="5"/>
      <c r="AV538" s="5"/>
      <c r="AW538" s="5"/>
      <c r="AX538" s="5"/>
      <c r="AY538" s="5"/>
      <c r="AZ538" s="5"/>
      <c r="BF538" s="96"/>
      <c r="BG538" s="96"/>
      <c r="BH538" s="96"/>
      <c r="BI538" s="96"/>
      <c r="BJ538" s="96"/>
      <c r="BK538" s="5"/>
      <c r="BL538" s="5"/>
      <c r="BM538" s="5"/>
      <c r="BN538" s="5"/>
      <c r="BO538" s="5"/>
      <c r="BP538" s="5"/>
    </row>
    <row r="539">
      <c r="A539" s="5"/>
      <c r="B539" s="150"/>
      <c r="C539" s="151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6"/>
      <c r="AQ539" s="5"/>
      <c r="AR539" s="7"/>
      <c r="AT539" s="5"/>
      <c r="AU539" s="5"/>
      <c r="AV539" s="5"/>
      <c r="AW539" s="5"/>
      <c r="AX539" s="5"/>
      <c r="AY539" s="5"/>
      <c r="AZ539" s="5"/>
      <c r="BF539" s="96"/>
      <c r="BG539" s="96"/>
      <c r="BH539" s="96"/>
      <c r="BI539" s="96"/>
      <c r="BJ539" s="96"/>
      <c r="BK539" s="5"/>
      <c r="BL539" s="5"/>
      <c r="BM539" s="5"/>
      <c r="BN539" s="5"/>
      <c r="BO539" s="5"/>
      <c r="BP539" s="5"/>
    </row>
    <row r="540">
      <c r="A540" s="5"/>
      <c r="B540" s="150"/>
      <c r="C540" s="151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6"/>
      <c r="AQ540" s="5"/>
      <c r="AR540" s="7"/>
      <c r="AT540" s="5"/>
      <c r="AU540" s="5"/>
      <c r="AV540" s="5"/>
      <c r="AW540" s="5"/>
      <c r="AX540" s="5"/>
      <c r="AY540" s="5"/>
      <c r="AZ540" s="5"/>
      <c r="BF540" s="96"/>
      <c r="BG540" s="96"/>
      <c r="BH540" s="96"/>
      <c r="BI540" s="96"/>
      <c r="BJ540" s="96"/>
      <c r="BK540" s="5"/>
      <c r="BL540" s="5"/>
      <c r="BM540" s="5"/>
      <c r="BN540" s="5"/>
      <c r="BO540" s="5"/>
      <c r="BP540" s="5"/>
    </row>
    <row r="541">
      <c r="A541" s="5"/>
      <c r="B541" s="150"/>
      <c r="C541" s="151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6"/>
      <c r="AQ541" s="5"/>
      <c r="AR541" s="7"/>
      <c r="AT541" s="5"/>
      <c r="AU541" s="5"/>
      <c r="AV541" s="5"/>
      <c r="AW541" s="5"/>
      <c r="AX541" s="5"/>
      <c r="AY541" s="5"/>
      <c r="AZ541" s="5"/>
      <c r="BF541" s="96"/>
      <c r="BG541" s="96"/>
      <c r="BH541" s="96"/>
      <c r="BI541" s="96"/>
      <c r="BJ541" s="96"/>
      <c r="BK541" s="5"/>
      <c r="BL541" s="5"/>
      <c r="BM541" s="5"/>
      <c r="BN541" s="5"/>
      <c r="BO541" s="5"/>
      <c r="BP541" s="5"/>
    </row>
    <row r="542">
      <c r="A542" s="5"/>
      <c r="B542" s="150"/>
      <c r="C542" s="151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6"/>
      <c r="AQ542" s="5"/>
      <c r="AR542" s="7"/>
      <c r="AT542" s="5"/>
      <c r="AU542" s="5"/>
      <c r="AV542" s="5"/>
      <c r="AW542" s="5"/>
      <c r="AX542" s="5"/>
      <c r="AY542" s="5"/>
      <c r="AZ542" s="5"/>
      <c r="BF542" s="96"/>
      <c r="BG542" s="96"/>
      <c r="BH542" s="96"/>
      <c r="BI542" s="96"/>
      <c r="BJ542" s="96"/>
      <c r="BK542" s="5"/>
      <c r="BL542" s="5"/>
      <c r="BM542" s="5"/>
      <c r="BN542" s="5"/>
      <c r="BO542" s="5"/>
      <c r="BP542" s="5"/>
    </row>
    <row r="543">
      <c r="A543" s="5"/>
      <c r="B543" s="150"/>
      <c r="C543" s="151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6"/>
      <c r="AQ543" s="5"/>
      <c r="AR543" s="7"/>
      <c r="AT543" s="5"/>
      <c r="AU543" s="5"/>
      <c r="AV543" s="5"/>
      <c r="AW543" s="5"/>
      <c r="AX543" s="5"/>
      <c r="AY543" s="5"/>
      <c r="AZ543" s="5"/>
      <c r="BF543" s="96"/>
      <c r="BG543" s="96"/>
      <c r="BH543" s="96"/>
      <c r="BI543" s="96"/>
      <c r="BJ543" s="96"/>
      <c r="BK543" s="5"/>
      <c r="BL543" s="5"/>
      <c r="BM543" s="5"/>
      <c r="BN543" s="5"/>
      <c r="BO543" s="5"/>
      <c r="BP543" s="5"/>
    </row>
    <row r="544">
      <c r="A544" s="5"/>
      <c r="B544" s="150"/>
      <c r="C544" s="151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6"/>
      <c r="AQ544" s="5"/>
      <c r="AR544" s="7"/>
      <c r="AT544" s="5"/>
      <c r="AU544" s="5"/>
      <c r="AV544" s="5"/>
      <c r="AW544" s="5"/>
      <c r="AX544" s="5"/>
      <c r="AY544" s="5"/>
      <c r="AZ544" s="5"/>
      <c r="BF544" s="96"/>
      <c r="BG544" s="96"/>
      <c r="BH544" s="96"/>
      <c r="BI544" s="96"/>
      <c r="BJ544" s="96"/>
      <c r="BK544" s="5"/>
      <c r="BL544" s="5"/>
      <c r="BM544" s="5"/>
      <c r="BN544" s="5"/>
      <c r="BO544" s="5"/>
      <c r="BP544" s="5"/>
    </row>
    <row r="545">
      <c r="A545" s="5"/>
      <c r="B545" s="150"/>
      <c r="C545" s="151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6"/>
      <c r="AQ545" s="5"/>
      <c r="AR545" s="7"/>
      <c r="AT545" s="5"/>
      <c r="AU545" s="5"/>
      <c r="AV545" s="5"/>
      <c r="AW545" s="5"/>
      <c r="AX545" s="5"/>
      <c r="AY545" s="5"/>
      <c r="AZ545" s="5"/>
      <c r="BF545" s="96"/>
      <c r="BG545" s="96"/>
      <c r="BH545" s="96"/>
      <c r="BI545" s="96"/>
      <c r="BJ545" s="96"/>
      <c r="BK545" s="5"/>
      <c r="BL545" s="5"/>
      <c r="BM545" s="5"/>
      <c r="BN545" s="5"/>
      <c r="BO545" s="5"/>
      <c r="BP545" s="5"/>
    </row>
    <row r="546">
      <c r="A546" s="5"/>
      <c r="B546" s="150"/>
      <c r="C546" s="151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6"/>
      <c r="AQ546" s="5"/>
      <c r="AR546" s="7"/>
      <c r="AT546" s="5"/>
      <c r="AU546" s="5"/>
      <c r="AV546" s="5"/>
      <c r="AW546" s="5"/>
      <c r="AX546" s="5"/>
      <c r="AY546" s="5"/>
      <c r="AZ546" s="5"/>
      <c r="BF546" s="96"/>
      <c r="BG546" s="96"/>
      <c r="BH546" s="96"/>
      <c r="BI546" s="96"/>
      <c r="BJ546" s="96"/>
      <c r="BK546" s="5"/>
      <c r="BL546" s="5"/>
      <c r="BM546" s="5"/>
      <c r="BN546" s="5"/>
      <c r="BO546" s="5"/>
      <c r="BP546" s="5"/>
    </row>
    <row r="547">
      <c r="A547" s="5"/>
      <c r="B547" s="150"/>
      <c r="C547" s="151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6"/>
      <c r="AQ547" s="5"/>
      <c r="AR547" s="7"/>
      <c r="AT547" s="5"/>
      <c r="AU547" s="5"/>
      <c r="AV547" s="5"/>
      <c r="AW547" s="5"/>
      <c r="AX547" s="5"/>
      <c r="AY547" s="5"/>
      <c r="AZ547" s="5"/>
      <c r="BF547" s="96"/>
      <c r="BG547" s="96"/>
      <c r="BH547" s="96"/>
      <c r="BI547" s="96"/>
      <c r="BJ547" s="96"/>
      <c r="BK547" s="5"/>
      <c r="BL547" s="5"/>
      <c r="BM547" s="5"/>
      <c r="BN547" s="5"/>
      <c r="BO547" s="5"/>
      <c r="BP547" s="5"/>
    </row>
    <row r="548">
      <c r="A548" s="5"/>
      <c r="B548" s="150"/>
      <c r="C548" s="151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6"/>
      <c r="AQ548" s="5"/>
      <c r="AR548" s="7"/>
      <c r="AT548" s="5"/>
      <c r="AU548" s="5"/>
      <c r="AV548" s="5"/>
      <c r="AW548" s="5"/>
      <c r="AX548" s="5"/>
      <c r="AY548" s="5"/>
      <c r="AZ548" s="5"/>
      <c r="BF548" s="96"/>
      <c r="BG548" s="96"/>
      <c r="BH548" s="96"/>
      <c r="BI548" s="96"/>
      <c r="BJ548" s="96"/>
      <c r="BK548" s="5"/>
      <c r="BL548" s="5"/>
      <c r="BM548" s="5"/>
      <c r="BN548" s="5"/>
      <c r="BO548" s="5"/>
      <c r="BP548" s="5"/>
    </row>
    <row r="549">
      <c r="A549" s="5"/>
      <c r="B549" s="150"/>
      <c r="C549" s="151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6"/>
      <c r="AQ549" s="5"/>
      <c r="AR549" s="7"/>
      <c r="AT549" s="5"/>
      <c r="AU549" s="5"/>
      <c r="AV549" s="5"/>
      <c r="AW549" s="5"/>
      <c r="AX549" s="5"/>
      <c r="AY549" s="5"/>
      <c r="AZ549" s="5"/>
      <c r="BF549" s="96"/>
      <c r="BG549" s="96"/>
      <c r="BH549" s="96"/>
      <c r="BI549" s="96"/>
      <c r="BJ549" s="96"/>
      <c r="BK549" s="5"/>
      <c r="BL549" s="5"/>
      <c r="BM549" s="5"/>
      <c r="BN549" s="5"/>
      <c r="BO549" s="5"/>
      <c r="BP549" s="5"/>
    </row>
    <row r="550">
      <c r="A550" s="5"/>
      <c r="B550" s="150"/>
      <c r="C550" s="151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6"/>
      <c r="AQ550" s="5"/>
      <c r="AR550" s="7"/>
      <c r="AT550" s="5"/>
      <c r="AU550" s="5"/>
      <c r="AV550" s="5"/>
      <c r="AW550" s="5"/>
      <c r="AX550" s="5"/>
      <c r="AY550" s="5"/>
      <c r="AZ550" s="5"/>
      <c r="BF550" s="96"/>
      <c r="BG550" s="96"/>
      <c r="BH550" s="96"/>
      <c r="BI550" s="96"/>
      <c r="BJ550" s="96"/>
      <c r="BK550" s="5"/>
      <c r="BL550" s="5"/>
      <c r="BM550" s="5"/>
      <c r="BN550" s="5"/>
      <c r="BO550" s="5"/>
      <c r="BP550" s="5"/>
    </row>
    <row r="551">
      <c r="A551" s="5"/>
      <c r="B551" s="150"/>
      <c r="C551" s="151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6"/>
      <c r="AQ551" s="5"/>
      <c r="AR551" s="7"/>
      <c r="AT551" s="5"/>
      <c r="AU551" s="5"/>
      <c r="AV551" s="5"/>
      <c r="AW551" s="5"/>
      <c r="AX551" s="5"/>
      <c r="AY551" s="5"/>
      <c r="AZ551" s="5"/>
      <c r="BF551" s="96"/>
      <c r="BG551" s="96"/>
      <c r="BH551" s="96"/>
      <c r="BI551" s="96"/>
      <c r="BJ551" s="96"/>
      <c r="BK551" s="5"/>
      <c r="BL551" s="5"/>
      <c r="BM551" s="5"/>
      <c r="BN551" s="5"/>
      <c r="BO551" s="5"/>
      <c r="BP551" s="5"/>
    </row>
    <row r="552">
      <c r="A552" s="5"/>
      <c r="B552" s="150"/>
      <c r="C552" s="151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6"/>
      <c r="AQ552" s="5"/>
      <c r="AR552" s="7"/>
      <c r="AT552" s="5"/>
      <c r="AU552" s="5"/>
      <c r="AV552" s="5"/>
      <c r="AW552" s="5"/>
      <c r="AX552" s="5"/>
      <c r="AY552" s="5"/>
      <c r="AZ552" s="5"/>
      <c r="BF552" s="96"/>
      <c r="BG552" s="96"/>
      <c r="BH552" s="96"/>
      <c r="BI552" s="96"/>
      <c r="BJ552" s="96"/>
      <c r="BK552" s="5"/>
      <c r="BL552" s="5"/>
      <c r="BM552" s="5"/>
      <c r="BN552" s="5"/>
      <c r="BO552" s="5"/>
      <c r="BP552" s="5"/>
    </row>
    <row r="553">
      <c r="A553" s="5"/>
      <c r="B553" s="150"/>
      <c r="C553" s="151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6"/>
      <c r="AQ553" s="5"/>
      <c r="AR553" s="7"/>
      <c r="AT553" s="5"/>
      <c r="AU553" s="5"/>
      <c r="AV553" s="5"/>
      <c r="AW553" s="5"/>
      <c r="AX553" s="5"/>
      <c r="AY553" s="5"/>
      <c r="AZ553" s="5"/>
      <c r="BF553" s="96"/>
      <c r="BG553" s="96"/>
      <c r="BH553" s="96"/>
      <c r="BI553" s="96"/>
      <c r="BJ553" s="96"/>
      <c r="BK553" s="5"/>
      <c r="BL553" s="5"/>
      <c r="BM553" s="5"/>
      <c r="BN553" s="5"/>
      <c r="BO553" s="5"/>
      <c r="BP553" s="5"/>
    </row>
    <row r="554">
      <c r="A554" s="5"/>
      <c r="B554" s="150"/>
      <c r="C554" s="151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6"/>
      <c r="AQ554" s="5"/>
      <c r="AR554" s="7"/>
      <c r="AT554" s="5"/>
      <c r="AU554" s="5"/>
      <c r="AV554" s="5"/>
      <c r="AW554" s="5"/>
      <c r="AX554" s="5"/>
      <c r="AY554" s="5"/>
      <c r="AZ554" s="5"/>
      <c r="BF554" s="96"/>
      <c r="BG554" s="96"/>
      <c r="BH554" s="96"/>
      <c r="BI554" s="96"/>
      <c r="BJ554" s="96"/>
      <c r="BK554" s="5"/>
      <c r="BL554" s="5"/>
      <c r="BM554" s="5"/>
      <c r="BN554" s="5"/>
      <c r="BO554" s="5"/>
      <c r="BP554" s="5"/>
    </row>
    <row r="555">
      <c r="A555" s="5"/>
      <c r="B555" s="150"/>
      <c r="C555" s="151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6"/>
      <c r="AQ555" s="5"/>
      <c r="AR555" s="7"/>
      <c r="AT555" s="5"/>
      <c r="AU555" s="5"/>
      <c r="AV555" s="5"/>
      <c r="AW555" s="5"/>
      <c r="AX555" s="5"/>
      <c r="AY555" s="5"/>
      <c r="AZ555" s="5"/>
      <c r="BF555" s="96"/>
      <c r="BG555" s="96"/>
      <c r="BH555" s="96"/>
      <c r="BI555" s="96"/>
      <c r="BJ555" s="96"/>
      <c r="BK555" s="5"/>
      <c r="BL555" s="5"/>
      <c r="BM555" s="5"/>
      <c r="BN555" s="5"/>
      <c r="BO555" s="5"/>
      <c r="BP555" s="5"/>
    </row>
    <row r="556">
      <c r="A556" s="5"/>
      <c r="B556" s="150"/>
      <c r="C556" s="151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6"/>
      <c r="AQ556" s="5"/>
      <c r="AR556" s="7"/>
      <c r="AT556" s="5"/>
      <c r="AU556" s="5"/>
      <c r="AV556" s="5"/>
      <c r="AW556" s="5"/>
      <c r="AX556" s="5"/>
      <c r="AY556" s="5"/>
      <c r="AZ556" s="5"/>
      <c r="BF556" s="96"/>
      <c r="BG556" s="96"/>
      <c r="BH556" s="96"/>
      <c r="BI556" s="96"/>
      <c r="BJ556" s="96"/>
      <c r="BK556" s="5"/>
      <c r="BL556" s="5"/>
      <c r="BM556" s="5"/>
      <c r="BN556" s="5"/>
      <c r="BO556" s="5"/>
      <c r="BP556" s="5"/>
    </row>
    <row r="557">
      <c r="A557" s="5"/>
      <c r="B557" s="150"/>
      <c r="C557" s="151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6"/>
      <c r="AQ557" s="5"/>
      <c r="AR557" s="7"/>
      <c r="AT557" s="5"/>
      <c r="AU557" s="5"/>
      <c r="AV557" s="5"/>
      <c r="AW557" s="5"/>
      <c r="AX557" s="5"/>
      <c r="AY557" s="5"/>
      <c r="AZ557" s="5"/>
      <c r="BF557" s="96"/>
      <c r="BG557" s="96"/>
      <c r="BH557" s="96"/>
      <c r="BI557" s="96"/>
      <c r="BJ557" s="96"/>
      <c r="BK557" s="5"/>
      <c r="BL557" s="5"/>
      <c r="BM557" s="5"/>
      <c r="BN557" s="5"/>
      <c r="BO557" s="5"/>
      <c r="BP557" s="5"/>
    </row>
    <row r="558">
      <c r="A558" s="5"/>
      <c r="B558" s="150"/>
      <c r="C558" s="151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6"/>
      <c r="AQ558" s="5"/>
      <c r="AR558" s="7"/>
      <c r="AT558" s="5"/>
      <c r="AU558" s="5"/>
      <c r="AV558" s="5"/>
      <c r="AW558" s="5"/>
      <c r="AX558" s="5"/>
      <c r="AY558" s="5"/>
      <c r="AZ558" s="5"/>
      <c r="BF558" s="96"/>
      <c r="BG558" s="96"/>
      <c r="BH558" s="96"/>
      <c r="BI558" s="96"/>
      <c r="BJ558" s="96"/>
      <c r="BK558" s="5"/>
      <c r="BL558" s="5"/>
      <c r="BM558" s="5"/>
      <c r="BN558" s="5"/>
      <c r="BO558" s="5"/>
      <c r="BP558" s="5"/>
    </row>
    <row r="559">
      <c r="A559" s="5"/>
      <c r="B559" s="150"/>
      <c r="C559" s="151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6"/>
      <c r="AQ559" s="5"/>
      <c r="AR559" s="7"/>
      <c r="AT559" s="5"/>
      <c r="AU559" s="5"/>
      <c r="AV559" s="5"/>
      <c r="AW559" s="5"/>
      <c r="AX559" s="5"/>
      <c r="AY559" s="5"/>
      <c r="AZ559" s="5"/>
      <c r="BF559" s="96"/>
      <c r="BG559" s="96"/>
      <c r="BH559" s="96"/>
      <c r="BI559" s="96"/>
      <c r="BJ559" s="96"/>
      <c r="BK559" s="5"/>
      <c r="BL559" s="5"/>
      <c r="BM559" s="5"/>
      <c r="BN559" s="5"/>
      <c r="BO559" s="5"/>
      <c r="BP559" s="5"/>
    </row>
    <row r="560">
      <c r="A560" s="5"/>
      <c r="B560" s="150"/>
      <c r="C560" s="151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6"/>
      <c r="AQ560" s="5"/>
      <c r="AR560" s="7"/>
      <c r="AT560" s="5"/>
      <c r="AU560" s="5"/>
      <c r="AV560" s="5"/>
      <c r="AW560" s="5"/>
      <c r="AX560" s="5"/>
      <c r="AY560" s="5"/>
      <c r="AZ560" s="5"/>
      <c r="BF560" s="96"/>
      <c r="BG560" s="96"/>
      <c r="BH560" s="96"/>
      <c r="BI560" s="96"/>
      <c r="BJ560" s="96"/>
      <c r="BK560" s="5"/>
      <c r="BL560" s="5"/>
      <c r="BM560" s="5"/>
      <c r="BN560" s="5"/>
      <c r="BO560" s="5"/>
      <c r="BP560" s="5"/>
    </row>
    <row r="561">
      <c r="A561" s="5"/>
      <c r="B561" s="150"/>
      <c r="C561" s="151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6"/>
      <c r="AQ561" s="5"/>
      <c r="AR561" s="7"/>
      <c r="AT561" s="5"/>
      <c r="AU561" s="5"/>
      <c r="AV561" s="5"/>
      <c r="AW561" s="5"/>
      <c r="AX561" s="5"/>
      <c r="AY561" s="5"/>
      <c r="AZ561" s="5"/>
      <c r="BF561" s="96"/>
      <c r="BG561" s="96"/>
      <c r="BH561" s="96"/>
      <c r="BI561" s="96"/>
      <c r="BJ561" s="96"/>
      <c r="BK561" s="5"/>
      <c r="BL561" s="5"/>
      <c r="BM561" s="5"/>
      <c r="BN561" s="5"/>
      <c r="BO561" s="5"/>
      <c r="BP561" s="5"/>
    </row>
    <row r="562">
      <c r="A562" s="5"/>
      <c r="B562" s="150"/>
      <c r="C562" s="151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6"/>
      <c r="AQ562" s="5"/>
      <c r="AR562" s="7"/>
      <c r="AT562" s="5"/>
      <c r="AU562" s="5"/>
      <c r="AV562" s="5"/>
      <c r="AW562" s="5"/>
      <c r="AX562" s="5"/>
      <c r="AY562" s="5"/>
      <c r="AZ562" s="5"/>
      <c r="BF562" s="96"/>
      <c r="BG562" s="96"/>
      <c r="BH562" s="96"/>
      <c r="BI562" s="96"/>
      <c r="BJ562" s="96"/>
      <c r="BK562" s="5"/>
      <c r="BL562" s="5"/>
      <c r="BM562" s="5"/>
      <c r="BN562" s="5"/>
      <c r="BO562" s="5"/>
      <c r="BP562" s="5"/>
    </row>
    <row r="563">
      <c r="A563" s="5"/>
      <c r="B563" s="150"/>
      <c r="C563" s="151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6"/>
      <c r="AQ563" s="5"/>
      <c r="AR563" s="7"/>
      <c r="AT563" s="5"/>
      <c r="AU563" s="5"/>
      <c r="AV563" s="5"/>
      <c r="AW563" s="5"/>
      <c r="AX563" s="5"/>
      <c r="AY563" s="5"/>
      <c r="AZ563" s="5"/>
      <c r="BF563" s="96"/>
      <c r="BG563" s="96"/>
      <c r="BH563" s="96"/>
      <c r="BI563" s="96"/>
      <c r="BJ563" s="96"/>
      <c r="BK563" s="5"/>
      <c r="BL563" s="5"/>
      <c r="BM563" s="5"/>
      <c r="BN563" s="5"/>
      <c r="BO563" s="5"/>
      <c r="BP563" s="5"/>
    </row>
    <row r="564">
      <c r="A564" s="5"/>
      <c r="B564" s="150"/>
      <c r="C564" s="151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6"/>
      <c r="AQ564" s="5"/>
      <c r="AR564" s="7"/>
      <c r="AT564" s="5"/>
      <c r="AU564" s="5"/>
      <c r="AV564" s="5"/>
      <c r="AW564" s="5"/>
      <c r="AX564" s="5"/>
      <c r="AY564" s="5"/>
      <c r="AZ564" s="5"/>
      <c r="BF564" s="96"/>
      <c r="BG564" s="96"/>
      <c r="BH564" s="96"/>
      <c r="BI564" s="96"/>
      <c r="BJ564" s="96"/>
      <c r="BK564" s="5"/>
      <c r="BL564" s="5"/>
      <c r="BM564" s="5"/>
      <c r="BN564" s="5"/>
      <c r="BO564" s="5"/>
      <c r="BP564" s="5"/>
    </row>
    <row r="565">
      <c r="A565" s="5"/>
      <c r="B565" s="150"/>
      <c r="C565" s="151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6"/>
      <c r="AQ565" s="5"/>
      <c r="AR565" s="7"/>
      <c r="AT565" s="5"/>
      <c r="AU565" s="5"/>
      <c r="AV565" s="5"/>
      <c r="AW565" s="5"/>
      <c r="AX565" s="5"/>
      <c r="AY565" s="5"/>
      <c r="AZ565" s="5"/>
      <c r="BF565" s="96"/>
      <c r="BG565" s="96"/>
      <c r="BH565" s="96"/>
      <c r="BI565" s="96"/>
      <c r="BJ565" s="96"/>
      <c r="BK565" s="5"/>
      <c r="BL565" s="5"/>
      <c r="BM565" s="5"/>
      <c r="BN565" s="5"/>
      <c r="BO565" s="5"/>
      <c r="BP565" s="5"/>
    </row>
    <row r="566">
      <c r="A566" s="5"/>
      <c r="B566" s="150"/>
      <c r="C566" s="151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6"/>
      <c r="AQ566" s="5"/>
      <c r="AR566" s="7"/>
      <c r="AT566" s="5"/>
      <c r="AU566" s="5"/>
      <c r="AV566" s="5"/>
      <c r="AW566" s="5"/>
      <c r="AX566" s="5"/>
      <c r="AY566" s="5"/>
      <c r="AZ566" s="5"/>
      <c r="BF566" s="96"/>
      <c r="BG566" s="96"/>
      <c r="BH566" s="96"/>
      <c r="BI566" s="96"/>
      <c r="BJ566" s="96"/>
      <c r="BK566" s="5"/>
      <c r="BL566" s="5"/>
      <c r="BM566" s="5"/>
      <c r="BN566" s="5"/>
      <c r="BO566" s="5"/>
      <c r="BP566" s="5"/>
    </row>
    <row r="567">
      <c r="A567" s="5"/>
      <c r="B567" s="150"/>
      <c r="C567" s="151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6"/>
      <c r="AQ567" s="5"/>
      <c r="AR567" s="7"/>
      <c r="AT567" s="5"/>
      <c r="AU567" s="5"/>
      <c r="AV567" s="5"/>
      <c r="AW567" s="5"/>
      <c r="AX567" s="5"/>
      <c r="AY567" s="5"/>
      <c r="AZ567" s="5"/>
      <c r="BF567" s="96"/>
      <c r="BG567" s="96"/>
      <c r="BH567" s="96"/>
      <c r="BI567" s="96"/>
      <c r="BJ567" s="96"/>
      <c r="BK567" s="5"/>
      <c r="BL567" s="5"/>
      <c r="BM567" s="5"/>
      <c r="BN567" s="5"/>
      <c r="BO567" s="5"/>
      <c r="BP567" s="5"/>
    </row>
    <row r="568">
      <c r="A568" s="5"/>
      <c r="B568" s="150"/>
      <c r="C568" s="151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6"/>
      <c r="AQ568" s="5"/>
      <c r="AR568" s="7"/>
      <c r="AT568" s="5"/>
      <c r="AU568" s="5"/>
      <c r="AV568" s="5"/>
      <c r="AW568" s="5"/>
      <c r="AX568" s="5"/>
      <c r="AY568" s="5"/>
      <c r="AZ568" s="5"/>
      <c r="BF568" s="96"/>
      <c r="BG568" s="96"/>
      <c r="BH568" s="96"/>
      <c r="BI568" s="96"/>
      <c r="BJ568" s="96"/>
      <c r="BK568" s="5"/>
      <c r="BL568" s="5"/>
      <c r="BM568" s="5"/>
      <c r="BN568" s="5"/>
      <c r="BO568" s="5"/>
      <c r="BP568" s="5"/>
    </row>
    <row r="569">
      <c r="A569" s="5"/>
      <c r="B569" s="150"/>
      <c r="C569" s="151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6"/>
      <c r="AQ569" s="5"/>
      <c r="AR569" s="7"/>
      <c r="AT569" s="5"/>
      <c r="AU569" s="5"/>
      <c r="AV569" s="5"/>
      <c r="AW569" s="5"/>
      <c r="AX569" s="5"/>
      <c r="AY569" s="5"/>
      <c r="AZ569" s="5"/>
      <c r="BF569" s="96"/>
      <c r="BG569" s="96"/>
      <c r="BH569" s="96"/>
      <c r="BI569" s="96"/>
      <c r="BJ569" s="96"/>
      <c r="BK569" s="5"/>
      <c r="BL569" s="5"/>
      <c r="BM569" s="5"/>
      <c r="BN569" s="5"/>
      <c r="BO569" s="5"/>
      <c r="BP569" s="5"/>
    </row>
    <row r="570">
      <c r="A570" s="5"/>
      <c r="B570" s="150"/>
      <c r="C570" s="151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6"/>
      <c r="AQ570" s="5"/>
      <c r="AR570" s="7"/>
      <c r="AT570" s="5"/>
      <c r="AU570" s="5"/>
      <c r="AV570" s="5"/>
      <c r="AW570" s="5"/>
      <c r="AX570" s="5"/>
      <c r="AY570" s="5"/>
      <c r="AZ570" s="5"/>
      <c r="BF570" s="96"/>
      <c r="BG570" s="96"/>
      <c r="BH570" s="96"/>
      <c r="BI570" s="96"/>
      <c r="BJ570" s="96"/>
      <c r="BK570" s="5"/>
      <c r="BL570" s="5"/>
      <c r="BM570" s="5"/>
      <c r="BN570" s="5"/>
      <c r="BO570" s="5"/>
      <c r="BP570" s="5"/>
    </row>
    <row r="571">
      <c r="A571" s="5"/>
      <c r="B571" s="150"/>
      <c r="C571" s="151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6"/>
      <c r="AQ571" s="5"/>
      <c r="AR571" s="7"/>
      <c r="AT571" s="5"/>
      <c r="AU571" s="5"/>
      <c r="AV571" s="5"/>
      <c r="AW571" s="5"/>
      <c r="AX571" s="5"/>
      <c r="AY571" s="5"/>
      <c r="AZ571" s="5"/>
      <c r="BF571" s="96"/>
      <c r="BG571" s="96"/>
      <c r="BH571" s="96"/>
      <c r="BI571" s="96"/>
      <c r="BJ571" s="96"/>
      <c r="BK571" s="5"/>
      <c r="BL571" s="5"/>
      <c r="BM571" s="5"/>
      <c r="BN571" s="5"/>
      <c r="BO571" s="5"/>
      <c r="BP571" s="5"/>
    </row>
    <row r="572">
      <c r="A572" s="5"/>
      <c r="B572" s="150"/>
      <c r="C572" s="151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6"/>
      <c r="AQ572" s="5"/>
      <c r="AR572" s="7"/>
      <c r="AT572" s="5"/>
      <c r="AU572" s="5"/>
      <c r="AV572" s="5"/>
      <c r="AW572" s="5"/>
      <c r="AX572" s="5"/>
      <c r="AY572" s="5"/>
      <c r="AZ572" s="5"/>
      <c r="BF572" s="96"/>
      <c r="BG572" s="96"/>
      <c r="BH572" s="96"/>
      <c r="BI572" s="96"/>
      <c r="BJ572" s="96"/>
      <c r="BK572" s="5"/>
      <c r="BL572" s="5"/>
      <c r="BM572" s="5"/>
      <c r="BN572" s="5"/>
      <c r="BO572" s="5"/>
      <c r="BP572" s="5"/>
    </row>
    <row r="573">
      <c r="A573" s="5"/>
      <c r="B573" s="150"/>
      <c r="C573" s="151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6"/>
      <c r="AQ573" s="5"/>
      <c r="AR573" s="7"/>
      <c r="AT573" s="5"/>
      <c r="AU573" s="5"/>
      <c r="AV573" s="5"/>
      <c r="AW573" s="5"/>
      <c r="AX573" s="5"/>
      <c r="AY573" s="5"/>
      <c r="AZ573" s="5"/>
      <c r="BF573" s="96"/>
      <c r="BG573" s="96"/>
      <c r="BH573" s="96"/>
      <c r="BI573" s="96"/>
      <c r="BJ573" s="96"/>
      <c r="BK573" s="5"/>
      <c r="BL573" s="5"/>
      <c r="BM573" s="5"/>
      <c r="BN573" s="5"/>
      <c r="BO573" s="5"/>
      <c r="BP573" s="5"/>
    </row>
    <row r="574">
      <c r="A574" s="5"/>
      <c r="B574" s="150"/>
      <c r="C574" s="151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6"/>
      <c r="AQ574" s="5"/>
      <c r="AR574" s="7"/>
      <c r="AT574" s="5"/>
      <c r="AU574" s="5"/>
      <c r="AV574" s="5"/>
      <c r="AW574" s="5"/>
      <c r="AX574" s="5"/>
      <c r="AY574" s="5"/>
      <c r="AZ574" s="5"/>
      <c r="BF574" s="96"/>
      <c r="BG574" s="96"/>
      <c r="BH574" s="96"/>
      <c r="BI574" s="96"/>
      <c r="BJ574" s="96"/>
      <c r="BK574" s="5"/>
      <c r="BL574" s="5"/>
      <c r="BM574" s="5"/>
      <c r="BN574" s="5"/>
      <c r="BO574" s="5"/>
      <c r="BP574" s="5"/>
    </row>
    <row r="575">
      <c r="A575" s="5"/>
      <c r="B575" s="150"/>
      <c r="C575" s="151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6"/>
      <c r="AQ575" s="5"/>
      <c r="AR575" s="7"/>
      <c r="AT575" s="5"/>
      <c r="AU575" s="5"/>
      <c r="AV575" s="5"/>
      <c r="AW575" s="5"/>
      <c r="AX575" s="5"/>
      <c r="AY575" s="5"/>
      <c r="AZ575" s="5"/>
      <c r="BF575" s="96"/>
      <c r="BG575" s="96"/>
      <c r="BH575" s="96"/>
      <c r="BI575" s="96"/>
      <c r="BJ575" s="96"/>
      <c r="BK575" s="5"/>
      <c r="BL575" s="5"/>
      <c r="BM575" s="5"/>
      <c r="BN575" s="5"/>
      <c r="BO575" s="5"/>
      <c r="BP575" s="5"/>
    </row>
    <row r="576">
      <c r="A576" s="5"/>
      <c r="B576" s="150"/>
      <c r="C576" s="151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6"/>
      <c r="AQ576" s="5"/>
      <c r="AR576" s="7"/>
      <c r="AT576" s="5"/>
      <c r="AU576" s="5"/>
      <c r="AV576" s="5"/>
      <c r="AW576" s="5"/>
      <c r="AX576" s="5"/>
      <c r="AY576" s="5"/>
      <c r="AZ576" s="5"/>
      <c r="BF576" s="96"/>
      <c r="BG576" s="96"/>
      <c r="BH576" s="96"/>
      <c r="BI576" s="96"/>
      <c r="BJ576" s="96"/>
      <c r="BK576" s="5"/>
      <c r="BL576" s="5"/>
      <c r="BM576" s="5"/>
      <c r="BN576" s="5"/>
      <c r="BO576" s="5"/>
      <c r="BP576" s="5"/>
    </row>
    <row r="577">
      <c r="A577" s="5"/>
      <c r="B577" s="150"/>
      <c r="C577" s="151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6"/>
      <c r="AQ577" s="5"/>
      <c r="AR577" s="7"/>
      <c r="AT577" s="5"/>
      <c r="AU577" s="5"/>
      <c r="AV577" s="5"/>
      <c r="AW577" s="5"/>
      <c r="AX577" s="5"/>
      <c r="AY577" s="5"/>
      <c r="AZ577" s="5"/>
      <c r="BF577" s="96"/>
      <c r="BG577" s="96"/>
      <c r="BH577" s="96"/>
      <c r="BI577" s="96"/>
      <c r="BJ577" s="96"/>
      <c r="BK577" s="5"/>
      <c r="BL577" s="5"/>
      <c r="BM577" s="5"/>
      <c r="BN577" s="5"/>
      <c r="BO577" s="5"/>
      <c r="BP577" s="5"/>
    </row>
    <row r="578">
      <c r="A578" s="5"/>
      <c r="B578" s="150"/>
      <c r="C578" s="151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6"/>
      <c r="AQ578" s="5"/>
      <c r="AR578" s="7"/>
      <c r="AT578" s="5"/>
      <c r="AU578" s="5"/>
      <c r="AV578" s="5"/>
      <c r="AW578" s="5"/>
      <c r="AX578" s="5"/>
      <c r="AY578" s="5"/>
      <c r="AZ578" s="5"/>
      <c r="BF578" s="96"/>
      <c r="BG578" s="96"/>
      <c r="BH578" s="96"/>
      <c r="BI578" s="96"/>
      <c r="BJ578" s="96"/>
      <c r="BK578" s="5"/>
      <c r="BL578" s="5"/>
      <c r="BM578" s="5"/>
      <c r="BN578" s="5"/>
      <c r="BO578" s="5"/>
      <c r="BP578" s="5"/>
    </row>
    <row r="579">
      <c r="A579" s="5"/>
      <c r="B579" s="150"/>
      <c r="C579" s="151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6"/>
      <c r="AQ579" s="5"/>
      <c r="AR579" s="7"/>
      <c r="AT579" s="5"/>
      <c r="AU579" s="5"/>
      <c r="AV579" s="5"/>
      <c r="AW579" s="5"/>
      <c r="AX579" s="5"/>
      <c r="AY579" s="5"/>
      <c r="AZ579" s="5"/>
      <c r="BF579" s="96"/>
      <c r="BG579" s="96"/>
      <c r="BH579" s="96"/>
      <c r="BI579" s="96"/>
      <c r="BJ579" s="96"/>
      <c r="BK579" s="5"/>
      <c r="BL579" s="5"/>
      <c r="BM579" s="5"/>
      <c r="BN579" s="5"/>
      <c r="BO579" s="5"/>
      <c r="BP579" s="5"/>
    </row>
    <row r="580">
      <c r="A580" s="5"/>
      <c r="B580" s="150"/>
      <c r="C580" s="151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6"/>
      <c r="AQ580" s="5"/>
      <c r="AR580" s="7"/>
      <c r="AT580" s="5"/>
      <c r="AU580" s="5"/>
      <c r="AV580" s="5"/>
      <c r="AW580" s="5"/>
      <c r="AX580" s="5"/>
      <c r="AY580" s="5"/>
      <c r="AZ580" s="5"/>
      <c r="BF580" s="96"/>
      <c r="BG580" s="96"/>
      <c r="BH580" s="96"/>
      <c r="BI580" s="96"/>
      <c r="BJ580" s="96"/>
      <c r="BK580" s="5"/>
      <c r="BL580" s="5"/>
      <c r="BM580" s="5"/>
      <c r="BN580" s="5"/>
      <c r="BO580" s="5"/>
      <c r="BP580" s="5"/>
    </row>
    <row r="581">
      <c r="A581" s="5"/>
      <c r="B581" s="150"/>
      <c r="C581" s="151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6"/>
      <c r="AQ581" s="5"/>
      <c r="AR581" s="7"/>
      <c r="AT581" s="5"/>
      <c r="AU581" s="5"/>
      <c r="AV581" s="5"/>
      <c r="AW581" s="5"/>
      <c r="AX581" s="5"/>
      <c r="AY581" s="5"/>
      <c r="AZ581" s="5"/>
      <c r="BF581" s="96"/>
      <c r="BG581" s="96"/>
      <c r="BH581" s="96"/>
      <c r="BI581" s="96"/>
      <c r="BJ581" s="96"/>
      <c r="BK581" s="5"/>
      <c r="BL581" s="5"/>
      <c r="BM581" s="5"/>
      <c r="BN581" s="5"/>
      <c r="BO581" s="5"/>
      <c r="BP581" s="5"/>
    </row>
    <row r="582">
      <c r="A582" s="5"/>
      <c r="B582" s="150"/>
      <c r="C582" s="151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6"/>
      <c r="AQ582" s="5"/>
      <c r="AR582" s="7"/>
      <c r="AT582" s="5"/>
      <c r="AU582" s="5"/>
      <c r="AV582" s="5"/>
      <c r="AW582" s="5"/>
      <c r="AX582" s="5"/>
      <c r="AY582" s="5"/>
      <c r="AZ582" s="5"/>
      <c r="BF582" s="96"/>
      <c r="BG582" s="96"/>
      <c r="BH582" s="96"/>
      <c r="BI582" s="96"/>
      <c r="BJ582" s="96"/>
      <c r="BK582" s="5"/>
      <c r="BL582" s="5"/>
      <c r="BM582" s="5"/>
      <c r="BN582" s="5"/>
      <c r="BO582" s="5"/>
      <c r="BP582" s="5"/>
    </row>
    <row r="583">
      <c r="A583" s="5"/>
      <c r="B583" s="150"/>
      <c r="C583" s="151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6"/>
      <c r="AQ583" s="5"/>
      <c r="AR583" s="7"/>
      <c r="AT583" s="5"/>
      <c r="AU583" s="5"/>
      <c r="AV583" s="5"/>
      <c r="AW583" s="5"/>
      <c r="AX583" s="5"/>
      <c r="AY583" s="5"/>
      <c r="AZ583" s="5"/>
      <c r="BF583" s="96"/>
      <c r="BG583" s="96"/>
      <c r="BH583" s="96"/>
      <c r="BI583" s="96"/>
      <c r="BJ583" s="96"/>
      <c r="BK583" s="5"/>
      <c r="BL583" s="5"/>
      <c r="BM583" s="5"/>
      <c r="BN583" s="5"/>
      <c r="BO583" s="5"/>
      <c r="BP583" s="5"/>
    </row>
    <row r="584">
      <c r="A584" s="5"/>
      <c r="B584" s="150"/>
      <c r="C584" s="151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6"/>
      <c r="AQ584" s="5"/>
      <c r="AR584" s="7"/>
      <c r="AT584" s="5"/>
      <c r="AU584" s="5"/>
      <c r="AV584" s="5"/>
      <c r="AW584" s="5"/>
      <c r="AX584" s="5"/>
      <c r="AY584" s="5"/>
      <c r="AZ584" s="5"/>
      <c r="BF584" s="96"/>
      <c r="BG584" s="96"/>
      <c r="BH584" s="96"/>
      <c r="BI584" s="96"/>
      <c r="BJ584" s="96"/>
      <c r="BK584" s="5"/>
      <c r="BL584" s="5"/>
      <c r="BM584" s="5"/>
      <c r="BN584" s="5"/>
      <c r="BO584" s="5"/>
      <c r="BP584" s="5"/>
    </row>
    <row r="585">
      <c r="A585" s="5"/>
      <c r="B585" s="150"/>
      <c r="C585" s="151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6"/>
      <c r="AQ585" s="5"/>
      <c r="AR585" s="7"/>
      <c r="AT585" s="5"/>
      <c r="AU585" s="5"/>
      <c r="AV585" s="5"/>
      <c r="AW585" s="5"/>
      <c r="AX585" s="5"/>
      <c r="AY585" s="5"/>
      <c r="AZ585" s="5"/>
      <c r="BF585" s="96"/>
      <c r="BG585" s="96"/>
      <c r="BH585" s="96"/>
      <c r="BI585" s="96"/>
      <c r="BJ585" s="96"/>
      <c r="BK585" s="5"/>
      <c r="BL585" s="5"/>
      <c r="BM585" s="5"/>
      <c r="BN585" s="5"/>
      <c r="BO585" s="5"/>
      <c r="BP585" s="5"/>
    </row>
    <row r="586">
      <c r="A586" s="5"/>
      <c r="B586" s="150"/>
      <c r="C586" s="151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6"/>
      <c r="AQ586" s="5"/>
      <c r="AR586" s="7"/>
      <c r="AT586" s="5"/>
      <c r="AU586" s="5"/>
      <c r="AV586" s="5"/>
      <c r="AW586" s="5"/>
      <c r="AX586" s="5"/>
      <c r="AY586" s="5"/>
      <c r="AZ586" s="5"/>
      <c r="BF586" s="96"/>
      <c r="BG586" s="96"/>
      <c r="BH586" s="96"/>
      <c r="BI586" s="96"/>
      <c r="BJ586" s="96"/>
      <c r="BK586" s="5"/>
      <c r="BL586" s="5"/>
      <c r="BM586" s="5"/>
      <c r="BN586" s="5"/>
      <c r="BO586" s="5"/>
      <c r="BP586" s="5"/>
    </row>
    <row r="587">
      <c r="A587" s="5"/>
      <c r="B587" s="150"/>
      <c r="C587" s="151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6"/>
      <c r="AQ587" s="5"/>
      <c r="AR587" s="7"/>
      <c r="AT587" s="5"/>
      <c r="AU587" s="5"/>
      <c r="AV587" s="5"/>
      <c r="AW587" s="5"/>
      <c r="AX587" s="5"/>
      <c r="AY587" s="5"/>
      <c r="AZ587" s="5"/>
      <c r="BF587" s="96"/>
      <c r="BG587" s="96"/>
      <c r="BH587" s="96"/>
      <c r="BI587" s="96"/>
      <c r="BJ587" s="96"/>
      <c r="BK587" s="5"/>
      <c r="BL587" s="5"/>
      <c r="BM587" s="5"/>
      <c r="BN587" s="5"/>
      <c r="BO587" s="5"/>
      <c r="BP587" s="5"/>
    </row>
    <row r="588">
      <c r="A588" s="5"/>
      <c r="B588" s="150"/>
      <c r="C588" s="151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6"/>
      <c r="AQ588" s="5"/>
      <c r="AR588" s="7"/>
      <c r="AT588" s="5"/>
      <c r="AU588" s="5"/>
      <c r="AV588" s="5"/>
      <c r="AW588" s="5"/>
      <c r="AX588" s="5"/>
      <c r="AY588" s="5"/>
      <c r="AZ588" s="5"/>
      <c r="BF588" s="96"/>
      <c r="BG588" s="96"/>
      <c r="BH588" s="96"/>
      <c r="BI588" s="96"/>
      <c r="BJ588" s="96"/>
      <c r="BK588" s="5"/>
      <c r="BL588" s="5"/>
      <c r="BM588" s="5"/>
      <c r="BN588" s="5"/>
      <c r="BO588" s="5"/>
      <c r="BP588" s="5"/>
    </row>
    <row r="589">
      <c r="A589" s="5"/>
      <c r="B589" s="150"/>
      <c r="C589" s="151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6"/>
      <c r="AQ589" s="5"/>
      <c r="AR589" s="7"/>
      <c r="AT589" s="5"/>
      <c r="AU589" s="5"/>
      <c r="AV589" s="5"/>
      <c r="AW589" s="5"/>
      <c r="AX589" s="5"/>
      <c r="AY589" s="5"/>
      <c r="AZ589" s="5"/>
      <c r="BF589" s="96"/>
      <c r="BG589" s="96"/>
      <c r="BH589" s="96"/>
      <c r="BI589" s="96"/>
      <c r="BJ589" s="96"/>
      <c r="BK589" s="5"/>
      <c r="BL589" s="5"/>
      <c r="BM589" s="5"/>
      <c r="BN589" s="5"/>
      <c r="BO589" s="5"/>
      <c r="BP589" s="5"/>
    </row>
    <row r="590">
      <c r="A590" s="5"/>
      <c r="B590" s="150"/>
      <c r="C590" s="151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6"/>
      <c r="AQ590" s="5"/>
      <c r="AR590" s="7"/>
      <c r="AT590" s="5"/>
      <c r="AU590" s="5"/>
      <c r="AV590" s="5"/>
      <c r="AW590" s="5"/>
      <c r="AX590" s="5"/>
      <c r="AY590" s="5"/>
      <c r="AZ590" s="5"/>
      <c r="BF590" s="96"/>
      <c r="BG590" s="96"/>
      <c r="BH590" s="96"/>
      <c r="BI590" s="96"/>
      <c r="BJ590" s="96"/>
      <c r="BK590" s="5"/>
      <c r="BL590" s="5"/>
      <c r="BM590" s="5"/>
      <c r="BN590" s="5"/>
      <c r="BO590" s="5"/>
      <c r="BP590" s="5"/>
    </row>
    <row r="591">
      <c r="A591" s="5"/>
      <c r="B591" s="150"/>
      <c r="C591" s="151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6"/>
      <c r="AQ591" s="5"/>
      <c r="AR591" s="7"/>
      <c r="AT591" s="5"/>
      <c r="AU591" s="5"/>
      <c r="AV591" s="5"/>
      <c r="AW591" s="5"/>
      <c r="AX591" s="5"/>
      <c r="AY591" s="5"/>
      <c r="AZ591" s="5"/>
      <c r="BF591" s="96"/>
      <c r="BG591" s="96"/>
      <c r="BH591" s="96"/>
      <c r="BI591" s="96"/>
      <c r="BJ591" s="96"/>
      <c r="BK591" s="5"/>
      <c r="BL591" s="5"/>
      <c r="BM591" s="5"/>
      <c r="BN591" s="5"/>
      <c r="BO591" s="5"/>
      <c r="BP591" s="5"/>
    </row>
    <row r="592">
      <c r="A592" s="5"/>
      <c r="B592" s="150"/>
      <c r="C592" s="151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6"/>
      <c r="AQ592" s="5"/>
      <c r="AR592" s="7"/>
      <c r="AT592" s="5"/>
      <c r="AU592" s="5"/>
      <c r="AV592" s="5"/>
      <c r="AW592" s="5"/>
      <c r="AX592" s="5"/>
      <c r="AY592" s="5"/>
      <c r="AZ592" s="5"/>
      <c r="BF592" s="96"/>
      <c r="BG592" s="96"/>
      <c r="BH592" s="96"/>
      <c r="BI592" s="96"/>
      <c r="BJ592" s="96"/>
      <c r="BK592" s="5"/>
      <c r="BL592" s="5"/>
      <c r="BM592" s="5"/>
      <c r="BN592" s="5"/>
      <c r="BO592" s="5"/>
      <c r="BP592" s="5"/>
    </row>
    <row r="593">
      <c r="A593" s="5"/>
      <c r="B593" s="150"/>
      <c r="C593" s="151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6"/>
      <c r="AQ593" s="5"/>
      <c r="AR593" s="7"/>
      <c r="AT593" s="5"/>
      <c r="AU593" s="5"/>
      <c r="AV593" s="5"/>
      <c r="AW593" s="5"/>
      <c r="AX593" s="5"/>
      <c r="AY593" s="5"/>
      <c r="AZ593" s="5"/>
      <c r="BF593" s="96"/>
      <c r="BG593" s="96"/>
      <c r="BH593" s="96"/>
      <c r="BI593" s="96"/>
      <c r="BJ593" s="96"/>
      <c r="BK593" s="5"/>
      <c r="BL593" s="5"/>
      <c r="BM593" s="5"/>
      <c r="BN593" s="5"/>
      <c r="BO593" s="5"/>
      <c r="BP593" s="5"/>
    </row>
    <row r="594">
      <c r="A594" s="5"/>
      <c r="B594" s="150"/>
      <c r="C594" s="151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6"/>
      <c r="AQ594" s="5"/>
      <c r="AR594" s="7"/>
      <c r="AT594" s="5"/>
      <c r="AU594" s="5"/>
      <c r="AV594" s="5"/>
      <c r="AW594" s="5"/>
      <c r="AX594" s="5"/>
      <c r="AY594" s="5"/>
      <c r="AZ594" s="5"/>
      <c r="BF594" s="96"/>
      <c r="BG594" s="96"/>
      <c r="BH594" s="96"/>
      <c r="BI594" s="96"/>
      <c r="BJ594" s="96"/>
      <c r="BK594" s="5"/>
      <c r="BL594" s="5"/>
      <c r="BM594" s="5"/>
      <c r="BN594" s="5"/>
      <c r="BO594" s="5"/>
      <c r="BP594" s="5"/>
    </row>
    <row r="595">
      <c r="A595" s="5"/>
      <c r="B595" s="150"/>
      <c r="C595" s="151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6"/>
      <c r="AQ595" s="5"/>
      <c r="AR595" s="7"/>
      <c r="AT595" s="5"/>
      <c r="AU595" s="5"/>
      <c r="AV595" s="5"/>
      <c r="AW595" s="5"/>
      <c r="AX595" s="5"/>
      <c r="AY595" s="5"/>
      <c r="AZ595" s="5"/>
      <c r="BF595" s="96"/>
      <c r="BG595" s="96"/>
      <c r="BH595" s="96"/>
      <c r="BI595" s="96"/>
      <c r="BJ595" s="96"/>
      <c r="BK595" s="5"/>
      <c r="BL595" s="5"/>
      <c r="BM595" s="5"/>
      <c r="BN595" s="5"/>
      <c r="BO595" s="5"/>
      <c r="BP595" s="5"/>
    </row>
    <row r="596">
      <c r="A596" s="5"/>
      <c r="B596" s="150"/>
      <c r="C596" s="151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6"/>
      <c r="AQ596" s="5"/>
      <c r="AR596" s="7"/>
      <c r="AT596" s="5"/>
      <c r="AU596" s="5"/>
      <c r="AV596" s="5"/>
      <c r="AW596" s="5"/>
      <c r="AX596" s="5"/>
      <c r="AY596" s="5"/>
      <c r="AZ596" s="5"/>
      <c r="BF596" s="96"/>
      <c r="BG596" s="96"/>
      <c r="BH596" s="96"/>
      <c r="BI596" s="96"/>
      <c r="BJ596" s="96"/>
      <c r="BK596" s="5"/>
      <c r="BL596" s="5"/>
      <c r="BM596" s="5"/>
      <c r="BN596" s="5"/>
      <c r="BO596" s="5"/>
      <c r="BP596" s="5"/>
    </row>
    <row r="597">
      <c r="A597" s="5"/>
      <c r="B597" s="150"/>
      <c r="C597" s="151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6"/>
      <c r="AQ597" s="5"/>
      <c r="AR597" s="7"/>
      <c r="AT597" s="5"/>
      <c r="AU597" s="5"/>
      <c r="AV597" s="5"/>
      <c r="AW597" s="5"/>
      <c r="AX597" s="5"/>
      <c r="AY597" s="5"/>
      <c r="AZ597" s="5"/>
      <c r="BF597" s="96"/>
      <c r="BG597" s="96"/>
      <c r="BH597" s="96"/>
      <c r="BI597" s="96"/>
      <c r="BJ597" s="96"/>
      <c r="BK597" s="5"/>
      <c r="BL597" s="5"/>
      <c r="BM597" s="5"/>
      <c r="BN597" s="5"/>
      <c r="BO597" s="5"/>
      <c r="BP597" s="5"/>
    </row>
    <row r="598">
      <c r="A598" s="5"/>
      <c r="B598" s="150"/>
      <c r="C598" s="151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6"/>
      <c r="AQ598" s="5"/>
      <c r="AR598" s="7"/>
      <c r="AT598" s="5"/>
      <c r="AU598" s="5"/>
      <c r="AV598" s="5"/>
      <c r="AW598" s="5"/>
      <c r="AX598" s="5"/>
      <c r="AY598" s="5"/>
      <c r="AZ598" s="5"/>
      <c r="BF598" s="96"/>
      <c r="BG598" s="96"/>
      <c r="BH598" s="96"/>
      <c r="BI598" s="96"/>
      <c r="BJ598" s="96"/>
      <c r="BK598" s="5"/>
      <c r="BL598" s="5"/>
      <c r="BM598" s="5"/>
      <c r="BN598" s="5"/>
      <c r="BO598" s="5"/>
      <c r="BP598" s="5"/>
    </row>
    <row r="599">
      <c r="A599" s="5"/>
      <c r="B599" s="150"/>
      <c r="C599" s="151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6"/>
      <c r="AQ599" s="5"/>
      <c r="AR599" s="7"/>
      <c r="AT599" s="5"/>
      <c r="AU599" s="5"/>
      <c r="AV599" s="5"/>
      <c r="AW599" s="5"/>
      <c r="AX599" s="5"/>
      <c r="AY599" s="5"/>
      <c r="AZ599" s="5"/>
      <c r="BF599" s="96"/>
      <c r="BG599" s="96"/>
      <c r="BH599" s="96"/>
      <c r="BI599" s="96"/>
      <c r="BJ599" s="96"/>
      <c r="BK599" s="5"/>
      <c r="BL599" s="5"/>
      <c r="BM599" s="5"/>
      <c r="BN599" s="5"/>
      <c r="BO599" s="5"/>
      <c r="BP599" s="5"/>
    </row>
    <row r="600">
      <c r="A600" s="5"/>
      <c r="B600" s="150"/>
      <c r="C600" s="151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6"/>
      <c r="AQ600" s="5"/>
      <c r="AR600" s="7"/>
      <c r="AT600" s="5"/>
      <c r="AU600" s="5"/>
      <c r="AV600" s="5"/>
      <c r="AW600" s="5"/>
      <c r="AX600" s="5"/>
      <c r="AY600" s="5"/>
      <c r="AZ600" s="5"/>
      <c r="BF600" s="96"/>
      <c r="BG600" s="96"/>
      <c r="BH600" s="96"/>
      <c r="BI600" s="96"/>
      <c r="BJ600" s="96"/>
      <c r="BK600" s="5"/>
      <c r="BL600" s="5"/>
      <c r="BM600" s="5"/>
      <c r="BN600" s="5"/>
      <c r="BO600" s="5"/>
      <c r="BP600" s="5"/>
    </row>
    <row r="601">
      <c r="A601" s="5"/>
      <c r="B601" s="150"/>
      <c r="C601" s="151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6"/>
      <c r="AQ601" s="5"/>
      <c r="AR601" s="7"/>
      <c r="AT601" s="5"/>
      <c r="AU601" s="5"/>
      <c r="AV601" s="5"/>
      <c r="AW601" s="5"/>
      <c r="AX601" s="5"/>
      <c r="AY601" s="5"/>
      <c r="AZ601" s="5"/>
      <c r="BF601" s="96"/>
      <c r="BG601" s="96"/>
      <c r="BH601" s="96"/>
      <c r="BI601" s="96"/>
      <c r="BJ601" s="96"/>
      <c r="BK601" s="5"/>
      <c r="BL601" s="5"/>
      <c r="BM601" s="5"/>
      <c r="BN601" s="5"/>
      <c r="BO601" s="5"/>
      <c r="BP601" s="5"/>
    </row>
    <row r="602">
      <c r="A602" s="5"/>
      <c r="B602" s="150"/>
      <c r="C602" s="151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6"/>
      <c r="AQ602" s="5"/>
      <c r="AR602" s="7"/>
      <c r="AT602" s="5"/>
      <c r="AU602" s="5"/>
      <c r="AV602" s="5"/>
      <c r="AW602" s="5"/>
      <c r="AX602" s="5"/>
      <c r="AY602" s="5"/>
      <c r="AZ602" s="5"/>
      <c r="BF602" s="96"/>
      <c r="BG602" s="96"/>
      <c r="BH602" s="96"/>
      <c r="BI602" s="96"/>
      <c r="BJ602" s="96"/>
      <c r="BK602" s="5"/>
      <c r="BL602" s="5"/>
      <c r="BM602" s="5"/>
      <c r="BN602" s="5"/>
      <c r="BO602" s="5"/>
      <c r="BP602" s="5"/>
    </row>
    <row r="603">
      <c r="A603" s="5"/>
      <c r="B603" s="150"/>
      <c r="C603" s="151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6"/>
      <c r="AQ603" s="5"/>
      <c r="AR603" s="7"/>
      <c r="AT603" s="5"/>
      <c r="AU603" s="5"/>
      <c r="AV603" s="5"/>
      <c r="AW603" s="5"/>
      <c r="AX603" s="5"/>
      <c r="AY603" s="5"/>
      <c r="AZ603" s="5"/>
      <c r="BF603" s="96"/>
      <c r="BG603" s="96"/>
      <c r="BH603" s="96"/>
      <c r="BI603" s="96"/>
      <c r="BJ603" s="96"/>
      <c r="BK603" s="5"/>
      <c r="BL603" s="5"/>
      <c r="BM603" s="5"/>
      <c r="BN603" s="5"/>
      <c r="BO603" s="5"/>
      <c r="BP603" s="5"/>
    </row>
    <row r="604">
      <c r="A604" s="5"/>
      <c r="B604" s="150"/>
      <c r="C604" s="151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6"/>
      <c r="AQ604" s="5"/>
      <c r="AR604" s="7"/>
      <c r="AT604" s="5"/>
      <c r="AU604" s="5"/>
      <c r="AV604" s="5"/>
      <c r="AW604" s="5"/>
      <c r="AX604" s="5"/>
      <c r="AY604" s="5"/>
      <c r="AZ604" s="5"/>
      <c r="BF604" s="96"/>
      <c r="BG604" s="96"/>
      <c r="BH604" s="96"/>
      <c r="BI604" s="96"/>
      <c r="BJ604" s="96"/>
      <c r="BK604" s="5"/>
      <c r="BL604" s="5"/>
      <c r="BM604" s="5"/>
      <c r="BN604" s="5"/>
      <c r="BO604" s="5"/>
      <c r="BP604" s="5"/>
    </row>
    <row r="605">
      <c r="A605" s="5"/>
      <c r="B605" s="150"/>
      <c r="C605" s="151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6"/>
      <c r="AQ605" s="5"/>
      <c r="AR605" s="7"/>
      <c r="AT605" s="5"/>
      <c r="AU605" s="5"/>
      <c r="AV605" s="5"/>
      <c r="AW605" s="5"/>
      <c r="AX605" s="5"/>
      <c r="AY605" s="5"/>
      <c r="AZ605" s="5"/>
      <c r="BF605" s="96"/>
      <c r="BG605" s="96"/>
      <c r="BH605" s="96"/>
      <c r="BI605" s="96"/>
      <c r="BJ605" s="96"/>
      <c r="BK605" s="5"/>
      <c r="BL605" s="5"/>
      <c r="BM605" s="5"/>
      <c r="BN605" s="5"/>
      <c r="BO605" s="5"/>
      <c r="BP605" s="5"/>
    </row>
    <row r="606">
      <c r="A606" s="5"/>
      <c r="B606" s="150"/>
      <c r="C606" s="151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6"/>
      <c r="AQ606" s="5"/>
      <c r="AR606" s="7"/>
      <c r="AT606" s="5"/>
      <c r="AU606" s="5"/>
      <c r="AV606" s="5"/>
      <c r="AW606" s="5"/>
      <c r="AX606" s="5"/>
      <c r="AY606" s="5"/>
      <c r="AZ606" s="5"/>
      <c r="BF606" s="96"/>
      <c r="BG606" s="96"/>
      <c r="BH606" s="96"/>
      <c r="BI606" s="96"/>
      <c r="BJ606" s="96"/>
      <c r="BK606" s="5"/>
      <c r="BL606" s="5"/>
      <c r="BM606" s="5"/>
      <c r="BN606" s="5"/>
      <c r="BO606" s="5"/>
      <c r="BP606" s="5"/>
    </row>
    <row r="607">
      <c r="A607" s="5"/>
      <c r="B607" s="150"/>
      <c r="C607" s="151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6"/>
      <c r="AQ607" s="5"/>
      <c r="AR607" s="7"/>
      <c r="AT607" s="5"/>
      <c r="AU607" s="5"/>
      <c r="AV607" s="5"/>
      <c r="AW607" s="5"/>
      <c r="AX607" s="5"/>
      <c r="AY607" s="5"/>
      <c r="AZ607" s="5"/>
      <c r="BF607" s="96"/>
      <c r="BG607" s="96"/>
      <c r="BH607" s="96"/>
      <c r="BI607" s="96"/>
      <c r="BJ607" s="96"/>
      <c r="BK607" s="5"/>
      <c r="BL607" s="5"/>
      <c r="BM607" s="5"/>
      <c r="BN607" s="5"/>
      <c r="BO607" s="5"/>
      <c r="BP607" s="5"/>
    </row>
    <row r="608">
      <c r="A608" s="5"/>
      <c r="B608" s="150"/>
      <c r="C608" s="151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6"/>
      <c r="AQ608" s="5"/>
      <c r="AR608" s="7"/>
      <c r="AT608" s="5"/>
      <c r="AU608" s="5"/>
      <c r="AV608" s="5"/>
      <c r="AW608" s="5"/>
      <c r="AX608" s="5"/>
      <c r="AY608" s="5"/>
      <c r="AZ608" s="5"/>
      <c r="BF608" s="96"/>
      <c r="BG608" s="96"/>
      <c r="BH608" s="96"/>
      <c r="BI608" s="96"/>
      <c r="BJ608" s="96"/>
      <c r="BK608" s="5"/>
      <c r="BL608" s="5"/>
      <c r="BM608" s="5"/>
      <c r="BN608" s="5"/>
      <c r="BO608" s="5"/>
      <c r="BP608" s="5"/>
    </row>
    <row r="609">
      <c r="A609" s="5"/>
      <c r="B609" s="150"/>
      <c r="C609" s="151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6"/>
      <c r="AQ609" s="5"/>
      <c r="AR609" s="7"/>
      <c r="AT609" s="5"/>
      <c r="AU609" s="5"/>
      <c r="AV609" s="5"/>
      <c r="AW609" s="5"/>
      <c r="AX609" s="5"/>
      <c r="AY609" s="5"/>
      <c r="AZ609" s="5"/>
      <c r="BF609" s="96"/>
      <c r="BG609" s="96"/>
      <c r="BH609" s="96"/>
      <c r="BI609" s="96"/>
      <c r="BJ609" s="96"/>
      <c r="BK609" s="5"/>
      <c r="BL609" s="5"/>
      <c r="BM609" s="5"/>
      <c r="BN609" s="5"/>
      <c r="BO609" s="5"/>
      <c r="BP609" s="5"/>
    </row>
    <row r="610">
      <c r="A610" s="5"/>
      <c r="B610" s="150"/>
      <c r="C610" s="151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6"/>
      <c r="AQ610" s="5"/>
      <c r="AR610" s="7"/>
      <c r="AT610" s="5"/>
      <c r="AU610" s="5"/>
      <c r="AV610" s="5"/>
      <c r="AW610" s="5"/>
      <c r="AX610" s="5"/>
      <c r="AY610" s="5"/>
      <c r="AZ610" s="5"/>
      <c r="BF610" s="96"/>
      <c r="BG610" s="96"/>
      <c r="BH610" s="96"/>
      <c r="BI610" s="96"/>
      <c r="BJ610" s="96"/>
      <c r="BK610" s="5"/>
      <c r="BL610" s="5"/>
      <c r="BM610" s="5"/>
      <c r="BN610" s="5"/>
      <c r="BO610" s="5"/>
      <c r="BP610" s="5"/>
    </row>
    <row r="611">
      <c r="A611" s="5"/>
      <c r="B611" s="150"/>
      <c r="C611" s="151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6"/>
      <c r="AQ611" s="5"/>
      <c r="AR611" s="7"/>
      <c r="AT611" s="5"/>
      <c r="AU611" s="5"/>
      <c r="AV611" s="5"/>
      <c r="AW611" s="5"/>
      <c r="AX611" s="5"/>
      <c r="AY611" s="5"/>
      <c r="AZ611" s="5"/>
      <c r="BF611" s="96"/>
      <c r="BG611" s="96"/>
      <c r="BH611" s="96"/>
      <c r="BI611" s="96"/>
      <c r="BJ611" s="96"/>
      <c r="BK611" s="5"/>
      <c r="BL611" s="5"/>
      <c r="BM611" s="5"/>
      <c r="BN611" s="5"/>
      <c r="BO611" s="5"/>
      <c r="BP611" s="5"/>
    </row>
    <row r="612">
      <c r="A612" s="5"/>
      <c r="B612" s="150"/>
      <c r="C612" s="151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6"/>
      <c r="AQ612" s="5"/>
      <c r="AR612" s="7"/>
      <c r="AT612" s="5"/>
      <c r="AU612" s="5"/>
      <c r="AV612" s="5"/>
      <c r="AW612" s="5"/>
      <c r="AX612" s="5"/>
      <c r="AY612" s="5"/>
      <c r="AZ612" s="5"/>
      <c r="BF612" s="96"/>
      <c r="BG612" s="96"/>
      <c r="BH612" s="96"/>
      <c r="BI612" s="96"/>
      <c r="BJ612" s="96"/>
      <c r="BK612" s="5"/>
      <c r="BL612" s="5"/>
      <c r="BM612" s="5"/>
      <c r="BN612" s="5"/>
      <c r="BO612" s="5"/>
      <c r="BP612" s="5"/>
    </row>
    <row r="613">
      <c r="A613" s="5"/>
      <c r="B613" s="150"/>
      <c r="C613" s="151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6"/>
      <c r="AQ613" s="5"/>
      <c r="AR613" s="7"/>
      <c r="AT613" s="5"/>
      <c r="AU613" s="5"/>
      <c r="AV613" s="5"/>
      <c r="AW613" s="5"/>
      <c r="AX613" s="5"/>
      <c r="AY613" s="5"/>
      <c r="AZ613" s="5"/>
      <c r="BF613" s="96"/>
      <c r="BG613" s="96"/>
      <c r="BH613" s="96"/>
      <c r="BI613" s="96"/>
      <c r="BJ613" s="96"/>
      <c r="BK613" s="5"/>
      <c r="BL613" s="5"/>
      <c r="BM613" s="5"/>
      <c r="BN613" s="5"/>
      <c r="BO613" s="5"/>
      <c r="BP613" s="5"/>
    </row>
    <row r="614">
      <c r="A614" s="5"/>
      <c r="B614" s="150"/>
      <c r="C614" s="151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6"/>
      <c r="AQ614" s="5"/>
      <c r="AR614" s="7"/>
      <c r="AT614" s="5"/>
      <c r="AU614" s="5"/>
      <c r="AV614" s="5"/>
      <c r="AW614" s="5"/>
      <c r="AX614" s="5"/>
      <c r="AY614" s="5"/>
      <c r="AZ614" s="5"/>
      <c r="BF614" s="96"/>
      <c r="BG614" s="96"/>
      <c r="BH614" s="96"/>
      <c r="BI614" s="96"/>
      <c r="BJ614" s="96"/>
      <c r="BK614" s="5"/>
      <c r="BL614" s="5"/>
      <c r="BM614" s="5"/>
      <c r="BN614" s="5"/>
      <c r="BO614" s="5"/>
      <c r="BP614" s="5"/>
    </row>
    <row r="615">
      <c r="A615" s="5"/>
      <c r="B615" s="150"/>
      <c r="C615" s="151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6"/>
      <c r="AQ615" s="5"/>
      <c r="AR615" s="7"/>
      <c r="AT615" s="5"/>
      <c r="AU615" s="5"/>
      <c r="AV615" s="5"/>
      <c r="AW615" s="5"/>
      <c r="AX615" s="5"/>
      <c r="AY615" s="5"/>
      <c r="AZ615" s="5"/>
      <c r="BF615" s="96"/>
      <c r="BG615" s="96"/>
      <c r="BH615" s="96"/>
      <c r="BI615" s="96"/>
      <c r="BJ615" s="96"/>
      <c r="BK615" s="5"/>
      <c r="BL615" s="5"/>
      <c r="BM615" s="5"/>
      <c r="BN615" s="5"/>
      <c r="BO615" s="5"/>
      <c r="BP615" s="5"/>
    </row>
    <row r="616">
      <c r="A616" s="5"/>
      <c r="B616" s="150"/>
      <c r="C616" s="151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6"/>
      <c r="AQ616" s="5"/>
      <c r="AR616" s="7"/>
      <c r="AT616" s="5"/>
      <c r="AU616" s="5"/>
      <c r="AV616" s="5"/>
      <c r="AW616" s="5"/>
      <c r="AX616" s="5"/>
      <c r="AY616" s="5"/>
      <c r="AZ616" s="5"/>
      <c r="BF616" s="96"/>
      <c r="BG616" s="96"/>
      <c r="BH616" s="96"/>
      <c r="BI616" s="96"/>
      <c r="BJ616" s="96"/>
      <c r="BK616" s="5"/>
      <c r="BL616" s="5"/>
      <c r="BM616" s="5"/>
      <c r="BN616" s="5"/>
      <c r="BO616" s="5"/>
      <c r="BP616" s="5"/>
    </row>
    <row r="617">
      <c r="A617" s="5"/>
      <c r="B617" s="150"/>
      <c r="C617" s="151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6"/>
      <c r="AQ617" s="5"/>
      <c r="AR617" s="7"/>
      <c r="AT617" s="5"/>
      <c r="AU617" s="5"/>
      <c r="AV617" s="5"/>
      <c r="AW617" s="5"/>
      <c r="AX617" s="5"/>
      <c r="AY617" s="5"/>
      <c r="AZ617" s="5"/>
      <c r="BF617" s="96"/>
      <c r="BG617" s="96"/>
      <c r="BH617" s="96"/>
      <c r="BI617" s="96"/>
      <c r="BJ617" s="96"/>
      <c r="BK617" s="5"/>
      <c r="BL617" s="5"/>
      <c r="BM617" s="5"/>
      <c r="BN617" s="5"/>
      <c r="BO617" s="5"/>
      <c r="BP617" s="5"/>
    </row>
    <row r="618">
      <c r="A618" s="5"/>
      <c r="B618" s="150"/>
      <c r="C618" s="151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6"/>
      <c r="AQ618" s="5"/>
      <c r="AR618" s="7"/>
      <c r="AT618" s="5"/>
      <c r="AU618" s="5"/>
      <c r="AV618" s="5"/>
      <c r="AW618" s="5"/>
      <c r="AX618" s="5"/>
      <c r="AY618" s="5"/>
      <c r="AZ618" s="5"/>
      <c r="BF618" s="96"/>
      <c r="BG618" s="96"/>
      <c r="BH618" s="96"/>
      <c r="BI618" s="96"/>
      <c r="BJ618" s="96"/>
      <c r="BK618" s="5"/>
      <c r="BL618" s="5"/>
      <c r="BM618" s="5"/>
      <c r="BN618" s="5"/>
      <c r="BO618" s="5"/>
      <c r="BP618" s="5"/>
    </row>
    <row r="619">
      <c r="A619" s="5"/>
      <c r="B619" s="150"/>
      <c r="C619" s="151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6"/>
      <c r="AQ619" s="5"/>
      <c r="AR619" s="7"/>
      <c r="AT619" s="5"/>
      <c r="AU619" s="5"/>
      <c r="AV619" s="5"/>
      <c r="AW619" s="5"/>
      <c r="AX619" s="5"/>
      <c r="AY619" s="5"/>
      <c r="AZ619" s="5"/>
      <c r="BF619" s="96"/>
      <c r="BG619" s="96"/>
      <c r="BH619" s="96"/>
      <c r="BI619" s="96"/>
      <c r="BJ619" s="96"/>
      <c r="BK619" s="5"/>
      <c r="BL619" s="5"/>
      <c r="BM619" s="5"/>
      <c r="BN619" s="5"/>
      <c r="BO619" s="5"/>
      <c r="BP619" s="5"/>
    </row>
    <row r="620">
      <c r="A620" s="5"/>
      <c r="B620" s="150"/>
      <c r="C620" s="151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6"/>
      <c r="AQ620" s="5"/>
      <c r="AR620" s="7"/>
      <c r="AT620" s="5"/>
      <c r="AU620" s="5"/>
      <c r="AV620" s="5"/>
      <c r="AW620" s="5"/>
      <c r="AX620" s="5"/>
      <c r="AY620" s="5"/>
      <c r="AZ620" s="5"/>
      <c r="BF620" s="96"/>
      <c r="BG620" s="96"/>
      <c r="BH620" s="96"/>
      <c r="BI620" s="96"/>
      <c r="BJ620" s="96"/>
      <c r="BK620" s="5"/>
      <c r="BL620" s="5"/>
      <c r="BM620" s="5"/>
      <c r="BN620" s="5"/>
      <c r="BO620" s="5"/>
      <c r="BP620" s="5"/>
    </row>
    <row r="621">
      <c r="A621" s="5"/>
      <c r="B621" s="150"/>
      <c r="C621" s="151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6"/>
      <c r="AQ621" s="5"/>
      <c r="AR621" s="7"/>
      <c r="AT621" s="5"/>
      <c r="AU621" s="5"/>
      <c r="AV621" s="5"/>
      <c r="AW621" s="5"/>
      <c r="AX621" s="5"/>
      <c r="AY621" s="5"/>
      <c r="AZ621" s="5"/>
      <c r="BF621" s="96"/>
      <c r="BG621" s="96"/>
      <c r="BH621" s="96"/>
      <c r="BI621" s="96"/>
      <c r="BJ621" s="96"/>
      <c r="BK621" s="5"/>
      <c r="BL621" s="5"/>
      <c r="BM621" s="5"/>
      <c r="BN621" s="5"/>
      <c r="BO621" s="5"/>
      <c r="BP621" s="5"/>
    </row>
    <row r="622">
      <c r="A622" s="5"/>
      <c r="B622" s="150"/>
      <c r="C622" s="151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6"/>
      <c r="AQ622" s="5"/>
      <c r="AR622" s="7"/>
      <c r="AT622" s="5"/>
      <c r="AU622" s="5"/>
      <c r="AV622" s="5"/>
      <c r="AW622" s="5"/>
      <c r="AX622" s="5"/>
      <c r="AY622" s="5"/>
      <c r="AZ622" s="5"/>
      <c r="BF622" s="96"/>
      <c r="BG622" s="96"/>
      <c r="BH622" s="96"/>
      <c r="BI622" s="96"/>
      <c r="BJ622" s="96"/>
      <c r="BK622" s="5"/>
      <c r="BL622" s="5"/>
      <c r="BM622" s="5"/>
      <c r="BN622" s="5"/>
      <c r="BO622" s="5"/>
      <c r="BP622" s="5"/>
    </row>
    <row r="623">
      <c r="A623" s="5"/>
      <c r="B623" s="150"/>
      <c r="C623" s="151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6"/>
      <c r="AQ623" s="5"/>
      <c r="AR623" s="7"/>
      <c r="AT623" s="5"/>
      <c r="AU623" s="5"/>
      <c r="AV623" s="5"/>
      <c r="AW623" s="5"/>
      <c r="AX623" s="5"/>
      <c r="AY623" s="5"/>
      <c r="AZ623" s="5"/>
      <c r="BF623" s="96"/>
      <c r="BG623" s="96"/>
      <c r="BH623" s="96"/>
      <c r="BI623" s="96"/>
      <c r="BJ623" s="96"/>
      <c r="BK623" s="5"/>
      <c r="BL623" s="5"/>
      <c r="BM623" s="5"/>
      <c r="BN623" s="5"/>
      <c r="BO623" s="5"/>
      <c r="BP623" s="5"/>
    </row>
    <row r="624">
      <c r="A624" s="5"/>
      <c r="B624" s="150"/>
      <c r="C624" s="151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6"/>
      <c r="AQ624" s="5"/>
      <c r="AR624" s="7"/>
      <c r="AT624" s="5"/>
      <c r="AU624" s="5"/>
      <c r="AV624" s="5"/>
      <c r="AW624" s="5"/>
      <c r="AX624" s="5"/>
      <c r="AY624" s="5"/>
      <c r="AZ624" s="5"/>
      <c r="BF624" s="96"/>
      <c r="BG624" s="96"/>
      <c r="BH624" s="96"/>
      <c r="BI624" s="96"/>
      <c r="BJ624" s="96"/>
      <c r="BK624" s="5"/>
      <c r="BL624" s="5"/>
      <c r="BM624" s="5"/>
      <c r="BN624" s="5"/>
      <c r="BO624" s="5"/>
      <c r="BP624" s="5"/>
    </row>
    <row r="625">
      <c r="A625" s="5"/>
      <c r="B625" s="150"/>
      <c r="C625" s="151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6"/>
      <c r="AQ625" s="5"/>
      <c r="AR625" s="7"/>
      <c r="AT625" s="5"/>
      <c r="AU625" s="5"/>
      <c r="AV625" s="5"/>
      <c r="AW625" s="5"/>
      <c r="AX625" s="5"/>
      <c r="AY625" s="5"/>
      <c r="AZ625" s="5"/>
      <c r="BF625" s="96"/>
      <c r="BG625" s="96"/>
      <c r="BH625" s="96"/>
      <c r="BI625" s="96"/>
      <c r="BJ625" s="96"/>
      <c r="BK625" s="5"/>
      <c r="BL625" s="5"/>
      <c r="BM625" s="5"/>
      <c r="BN625" s="5"/>
      <c r="BO625" s="5"/>
      <c r="BP625" s="5"/>
    </row>
    <row r="626">
      <c r="A626" s="5"/>
      <c r="B626" s="150"/>
      <c r="C626" s="151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6"/>
      <c r="AQ626" s="5"/>
      <c r="AR626" s="7"/>
      <c r="AT626" s="5"/>
      <c r="AU626" s="5"/>
      <c r="AV626" s="5"/>
      <c r="AW626" s="5"/>
      <c r="AX626" s="5"/>
      <c r="AY626" s="5"/>
      <c r="AZ626" s="5"/>
      <c r="BF626" s="96"/>
      <c r="BG626" s="96"/>
      <c r="BH626" s="96"/>
      <c r="BI626" s="96"/>
      <c r="BJ626" s="96"/>
      <c r="BK626" s="5"/>
      <c r="BL626" s="5"/>
      <c r="BM626" s="5"/>
      <c r="BN626" s="5"/>
      <c r="BO626" s="5"/>
      <c r="BP626" s="5"/>
    </row>
    <row r="627">
      <c r="A627" s="5"/>
      <c r="B627" s="150"/>
      <c r="C627" s="151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6"/>
      <c r="AQ627" s="5"/>
      <c r="AR627" s="7"/>
      <c r="AT627" s="5"/>
      <c r="AU627" s="5"/>
      <c r="AV627" s="5"/>
      <c r="AW627" s="5"/>
      <c r="AX627" s="5"/>
      <c r="AY627" s="5"/>
      <c r="AZ627" s="5"/>
      <c r="BF627" s="96"/>
      <c r="BG627" s="96"/>
      <c r="BH627" s="96"/>
      <c r="BI627" s="96"/>
      <c r="BJ627" s="96"/>
      <c r="BK627" s="5"/>
      <c r="BL627" s="5"/>
      <c r="BM627" s="5"/>
      <c r="BN627" s="5"/>
      <c r="BO627" s="5"/>
      <c r="BP627" s="5"/>
    </row>
    <row r="628">
      <c r="A628" s="5"/>
      <c r="B628" s="150"/>
      <c r="C628" s="151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6"/>
      <c r="AQ628" s="5"/>
      <c r="AR628" s="7"/>
      <c r="AT628" s="5"/>
      <c r="AU628" s="5"/>
      <c r="AV628" s="5"/>
      <c r="AW628" s="5"/>
      <c r="AX628" s="5"/>
      <c r="AY628" s="5"/>
      <c r="AZ628" s="5"/>
      <c r="BF628" s="96"/>
      <c r="BG628" s="96"/>
      <c r="BH628" s="96"/>
      <c r="BI628" s="96"/>
      <c r="BJ628" s="96"/>
      <c r="BK628" s="5"/>
      <c r="BL628" s="5"/>
      <c r="BM628" s="5"/>
      <c r="BN628" s="5"/>
      <c r="BO628" s="5"/>
      <c r="BP628" s="5"/>
    </row>
    <row r="629">
      <c r="A629" s="5"/>
      <c r="B629" s="150"/>
      <c r="C629" s="151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6"/>
      <c r="AQ629" s="5"/>
      <c r="AR629" s="7"/>
      <c r="AT629" s="5"/>
      <c r="AU629" s="5"/>
      <c r="AV629" s="5"/>
      <c r="AW629" s="5"/>
      <c r="AX629" s="5"/>
      <c r="AY629" s="5"/>
      <c r="AZ629" s="5"/>
      <c r="BF629" s="96"/>
      <c r="BG629" s="96"/>
      <c r="BH629" s="96"/>
      <c r="BI629" s="96"/>
      <c r="BJ629" s="96"/>
      <c r="BK629" s="5"/>
      <c r="BL629" s="5"/>
      <c r="BM629" s="5"/>
      <c r="BN629" s="5"/>
      <c r="BO629" s="5"/>
      <c r="BP629" s="5"/>
    </row>
    <row r="630">
      <c r="A630" s="5"/>
      <c r="B630" s="150"/>
      <c r="C630" s="151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6"/>
      <c r="AQ630" s="5"/>
      <c r="AR630" s="7"/>
      <c r="AT630" s="5"/>
      <c r="AU630" s="5"/>
      <c r="AV630" s="5"/>
      <c r="AW630" s="5"/>
      <c r="AX630" s="5"/>
      <c r="AY630" s="5"/>
      <c r="AZ630" s="5"/>
      <c r="BF630" s="96"/>
      <c r="BG630" s="96"/>
      <c r="BH630" s="96"/>
      <c r="BI630" s="96"/>
      <c r="BJ630" s="96"/>
      <c r="BK630" s="5"/>
      <c r="BL630" s="5"/>
      <c r="BM630" s="5"/>
      <c r="BN630" s="5"/>
      <c r="BO630" s="5"/>
      <c r="BP630" s="5"/>
    </row>
    <row r="631">
      <c r="A631" s="5"/>
      <c r="B631" s="150"/>
      <c r="C631" s="151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6"/>
      <c r="AQ631" s="5"/>
      <c r="AR631" s="7"/>
      <c r="AT631" s="5"/>
      <c r="AU631" s="5"/>
      <c r="AV631" s="5"/>
      <c r="AW631" s="5"/>
      <c r="AX631" s="5"/>
      <c r="AY631" s="5"/>
      <c r="AZ631" s="5"/>
      <c r="BF631" s="96"/>
      <c r="BG631" s="96"/>
      <c r="BH631" s="96"/>
      <c r="BI631" s="96"/>
      <c r="BJ631" s="96"/>
      <c r="BK631" s="5"/>
      <c r="BL631" s="5"/>
      <c r="BM631" s="5"/>
      <c r="BN631" s="5"/>
      <c r="BO631" s="5"/>
      <c r="BP631" s="5"/>
    </row>
    <row r="632">
      <c r="A632" s="5"/>
      <c r="B632" s="150"/>
      <c r="C632" s="151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6"/>
      <c r="AQ632" s="5"/>
      <c r="AR632" s="7"/>
      <c r="AT632" s="5"/>
      <c r="AU632" s="5"/>
      <c r="AV632" s="5"/>
      <c r="AW632" s="5"/>
      <c r="AX632" s="5"/>
      <c r="AY632" s="5"/>
      <c r="AZ632" s="5"/>
      <c r="BF632" s="96"/>
      <c r="BG632" s="96"/>
      <c r="BH632" s="96"/>
      <c r="BI632" s="96"/>
      <c r="BJ632" s="96"/>
      <c r="BK632" s="5"/>
      <c r="BL632" s="5"/>
      <c r="BM632" s="5"/>
      <c r="BN632" s="5"/>
      <c r="BO632" s="5"/>
      <c r="BP632" s="5"/>
    </row>
    <row r="633">
      <c r="A633" s="5"/>
      <c r="B633" s="150"/>
      <c r="C633" s="151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6"/>
      <c r="AQ633" s="5"/>
      <c r="AR633" s="7"/>
      <c r="AT633" s="5"/>
      <c r="AU633" s="5"/>
      <c r="AV633" s="5"/>
      <c r="AW633" s="5"/>
      <c r="AX633" s="5"/>
      <c r="AY633" s="5"/>
      <c r="AZ633" s="5"/>
      <c r="BF633" s="96"/>
      <c r="BG633" s="96"/>
      <c r="BH633" s="96"/>
      <c r="BI633" s="96"/>
      <c r="BJ633" s="96"/>
      <c r="BK633" s="5"/>
      <c r="BL633" s="5"/>
      <c r="BM633" s="5"/>
      <c r="BN633" s="5"/>
      <c r="BO633" s="5"/>
      <c r="BP633" s="5"/>
    </row>
    <row r="634">
      <c r="A634" s="5"/>
      <c r="B634" s="150"/>
      <c r="C634" s="151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6"/>
      <c r="AQ634" s="5"/>
      <c r="AR634" s="7"/>
      <c r="AT634" s="5"/>
      <c r="AU634" s="5"/>
      <c r="AV634" s="5"/>
      <c r="AW634" s="5"/>
      <c r="AX634" s="5"/>
      <c r="AY634" s="5"/>
      <c r="AZ634" s="5"/>
      <c r="BF634" s="96"/>
      <c r="BG634" s="96"/>
      <c r="BH634" s="96"/>
      <c r="BI634" s="96"/>
      <c r="BJ634" s="96"/>
      <c r="BK634" s="5"/>
      <c r="BL634" s="5"/>
      <c r="BM634" s="5"/>
      <c r="BN634" s="5"/>
      <c r="BO634" s="5"/>
      <c r="BP634" s="5"/>
    </row>
    <row r="635">
      <c r="A635" s="5"/>
      <c r="B635" s="150"/>
      <c r="C635" s="151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6"/>
      <c r="AQ635" s="5"/>
      <c r="AR635" s="7"/>
      <c r="AT635" s="5"/>
      <c r="AU635" s="5"/>
      <c r="AV635" s="5"/>
      <c r="AW635" s="5"/>
      <c r="AX635" s="5"/>
      <c r="AY635" s="5"/>
      <c r="AZ635" s="5"/>
      <c r="BF635" s="96"/>
      <c r="BG635" s="96"/>
      <c r="BH635" s="96"/>
      <c r="BI635" s="96"/>
      <c r="BJ635" s="96"/>
      <c r="BK635" s="5"/>
      <c r="BL635" s="5"/>
      <c r="BM635" s="5"/>
      <c r="BN635" s="5"/>
      <c r="BO635" s="5"/>
      <c r="BP635" s="5"/>
    </row>
    <row r="636">
      <c r="A636" s="5"/>
      <c r="B636" s="150"/>
      <c r="C636" s="151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6"/>
      <c r="AQ636" s="5"/>
      <c r="AR636" s="7"/>
      <c r="AT636" s="5"/>
      <c r="AU636" s="5"/>
      <c r="AV636" s="5"/>
      <c r="AW636" s="5"/>
      <c r="AX636" s="5"/>
      <c r="AY636" s="5"/>
      <c r="AZ636" s="5"/>
      <c r="BF636" s="96"/>
      <c r="BG636" s="96"/>
      <c r="BH636" s="96"/>
      <c r="BI636" s="96"/>
      <c r="BJ636" s="96"/>
      <c r="BK636" s="5"/>
      <c r="BL636" s="5"/>
      <c r="BM636" s="5"/>
      <c r="BN636" s="5"/>
      <c r="BO636" s="5"/>
      <c r="BP636" s="5"/>
    </row>
    <row r="637">
      <c r="A637" s="5"/>
      <c r="B637" s="150"/>
      <c r="C637" s="151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6"/>
      <c r="AQ637" s="5"/>
      <c r="AR637" s="7"/>
      <c r="AT637" s="5"/>
      <c r="AU637" s="5"/>
      <c r="AV637" s="5"/>
      <c r="AW637" s="5"/>
      <c r="AX637" s="5"/>
      <c r="AY637" s="5"/>
      <c r="AZ637" s="5"/>
      <c r="BF637" s="96"/>
      <c r="BG637" s="96"/>
      <c r="BH637" s="96"/>
      <c r="BI637" s="96"/>
      <c r="BJ637" s="96"/>
      <c r="BK637" s="5"/>
      <c r="BL637" s="5"/>
      <c r="BM637" s="5"/>
      <c r="BN637" s="5"/>
      <c r="BO637" s="5"/>
      <c r="BP637" s="5"/>
    </row>
    <row r="638">
      <c r="A638" s="5"/>
      <c r="B638" s="150"/>
      <c r="C638" s="151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6"/>
      <c r="AQ638" s="5"/>
      <c r="AR638" s="7"/>
      <c r="AT638" s="5"/>
      <c r="AU638" s="5"/>
      <c r="AV638" s="5"/>
      <c r="AW638" s="5"/>
      <c r="AX638" s="5"/>
      <c r="AY638" s="5"/>
      <c r="AZ638" s="5"/>
      <c r="BF638" s="96"/>
      <c r="BG638" s="96"/>
      <c r="BH638" s="96"/>
      <c r="BI638" s="96"/>
      <c r="BJ638" s="96"/>
      <c r="BK638" s="5"/>
      <c r="BL638" s="5"/>
      <c r="BM638" s="5"/>
      <c r="BN638" s="5"/>
      <c r="BO638" s="5"/>
      <c r="BP638" s="5"/>
    </row>
    <row r="639">
      <c r="A639" s="5"/>
      <c r="B639" s="150"/>
      <c r="C639" s="151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6"/>
      <c r="AQ639" s="5"/>
      <c r="AR639" s="7"/>
      <c r="AT639" s="5"/>
      <c r="AU639" s="5"/>
      <c r="AV639" s="5"/>
      <c r="AW639" s="5"/>
      <c r="AX639" s="5"/>
      <c r="AY639" s="5"/>
      <c r="AZ639" s="5"/>
      <c r="BF639" s="96"/>
      <c r="BG639" s="96"/>
      <c r="BH639" s="96"/>
      <c r="BI639" s="96"/>
      <c r="BJ639" s="96"/>
      <c r="BK639" s="5"/>
      <c r="BL639" s="5"/>
      <c r="BM639" s="5"/>
      <c r="BN639" s="5"/>
      <c r="BO639" s="5"/>
      <c r="BP639" s="5"/>
    </row>
    <row r="640">
      <c r="A640" s="5"/>
      <c r="B640" s="150"/>
      <c r="C640" s="151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6"/>
      <c r="AQ640" s="5"/>
      <c r="AR640" s="7"/>
      <c r="AT640" s="5"/>
      <c r="AU640" s="5"/>
      <c r="AV640" s="5"/>
      <c r="AW640" s="5"/>
      <c r="AX640" s="5"/>
      <c r="AY640" s="5"/>
      <c r="AZ640" s="5"/>
      <c r="BF640" s="96"/>
      <c r="BG640" s="96"/>
      <c r="BH640" s="96"/>
      <c r="BI640" s="96"/>
      <c r="BJ640" s="96"/>
      <c r="BK640" s="5"/>
      <c r="BL640" s="5"/>
      <c r="BM640" s="5"/>
      <c r="BN640" s="5"/>
      <c r="BO640" s="5"/>
      <c r="BP640" s="5"/>
    </row>
    <row r="641">
      <c r="A641" s="5"/>
      <c r="B641" s="150"/>
      <c r="C641" s="151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6"/>
      <c r="AQ641" s="5"/>
      <c r="AR641" s="7"/>
      <c r="AT641" s="5"/>
      <c r="AU641" s="5"/>
      <c r="AV641" s="5"/>
      <c r="AW641" s="5"/>
      <c r="AX641" s="5"/>
      <c r="AY641" s="5"/>
      <c r="AZ641" s="5"/>
      <c r="BF641" s="96"/>
      <c r="BG641" s="96"/>
      <c r="BH641" s="96"/>
      <c r="BI641" s="96"/>
      <c r="BJ641" s="96"/>
      <c r="BK641" s="5"/>
      <c r="BL641" s="5"/>
      <c r="BM641" s="5"/>
      <c r="BN641" s="5"/>
      <c r="BO641" s="5"/>
      <c r="BP641" s="5"/>
    </row>
    <row r="642">
      <c r="A642" s="5"/>
      <c r="B642" s="150"/>
      <c r="C642" s="151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6"/>
      <c r="AQ642" s="5"/>
      <c r="AR642" s="7"/>
      <c r="AT642" s="5"/>
      <c r="AU642" s="5"/>
      <c r="AV642" s="5"/>
      <c r="AW642" s="5"/>
      <c r="AX642" s="5"/>
      <c r="AY642" s="5"/>
      <c r="AZ642" s="5"/>
      <c r="BF642" s="96"/>
      <c r="BG642" s="96"/>
      <c r="BH642" s="96"/>
      <c r="BI642" s="96"/>
      <c r="BJ642" s="96"/>
      <c r="BK642" s="5"/>
      <c r="BL642" s="5"/>
      <c r="BM642" s="5"/>
      <c r="BN642" s="5"/>
      <c r="BO642" s="5"/>
      <c r="BP642" s="5"/>
    </row>
    <row r="643">
      <c r="A643" s="5"/>
      <c r="B643" s="150"/>
      <c r="C643" s="151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6"/>
      <c r="AQ643" s="5"/>
      <c r="AR643" s="7"/>
      <c r="AT643" s="5"/>
      <c r="AU643" s="5"/>
      <c r="AV643" s="5"/>
      <c r="AW643" s="5"/>
      <c r="AX643" s="5"/>
      <c r="AY643" s="5"/>
      <c r="AZ643" s="5"/>
      <c r="BF643" s="96"/>
      <c r="BG643" s="96"/>
      <c r="BH643" s="96"/>
      <c r="BI643" s="96"/>
      <c r="BJ643" s="96"/>
      <c r="BK643" s="5"/>
      <c r="BL643" s="5"/>
      <c r="BM643" s="5"/>
      <c r="BN643" s="5"/>
      <c r="BO643" s="5"/>
      <c r="BP643" s="5"/>
    </row>
    <row r="644">
      <c r="A644" s="5"/>
      <c r="B644" s="150"/>
      <c r="C644" s="151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6"/>
      <c r="AQ644" s="5"/>
      <c r="AR644" s="7"/>
      <c r="AT644" s="5"/>
      <c r="AU644" s="5"/>
      <c r="AV644" s="5"/>
      <c r="AW644" s="5"/>
      <c r="AX644" s="5"/>
      <c r="AY644" s="5"/>
      <c r="AZ644" s="5"/>
      <c r="BF644" s="96"/>
      <c r="BG644" s="96"/>
      <c r="BH644" s="96"/>
      <c r="BI644" s="96"/>
      <c r="BJ644" s="96"/>
      <c r="BK644" s="5"/>
      <c r="BL644" s="5"/>
      <c r="BM644" s="5"/>
      <c r="BN644" s="5"/>
      <c r="BO644" s="5"/>
      <c r="BP644" s="5"/>
    </row>
    <row r="645">
      <c r="A645" s="5"/>
      <c r="B645" s="150"/>
      <c r="C645" s="151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6"/>
      <c r="AQ645" s="5"/>
      <c r="AR645" s="7"/>
      <c r="AT645" s="5"/>
      <c r="AU645" s="5"/>
      <c r="AV645" s="5"/>
      <c r="AW645" s="5"/>
      <c r="AX645" s="5"/>
      <c r="AY645" s="5"/>
      <c r="AZ645" s="5"/>
      <c r="BF645" s="96"/>
      <c r="BG645" s="96"/>
      <c r="BH645" s="96"/>
      <c r="BI645" s="96"/>
      <c r="BJ645" s="96"/>
      <c r="BK645" s="5"/>
      <c r="BL645" s="5"/>
      <c r="BM645" s="5"/>
      <c r="BN645" s="5"/>
      <c r="BO645" s="5"/>
      <c r="BP645" s="5"/>
    </row>
    <row r="646">
      <c r="A646" s="5"/>
      <c r="B646" s="150"/>
      <c r="C646" s="151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6"/>
      <c r="AQ646" s="5"/>
      <c r="AR646" s="7"/>
      <c r="AT646" s="5"/>
      <c r="AU646" s="5"/>
      <c r="AV646" s="5"/>
      <c r="AW646" s="5"/>
      <c r="AX646" s="5"/>
      <c r="AY646" s="5"/>
      <c r="AZ646" s="5"/>
      <c r="BF646" s="96"/>
      <c r="BG646" s="96"/>
      <c r="BH646" s="96"/>
      <c r="BI646" s="96"/>
      <c r="BJ646" s="96"/>
      <c r="BK646" s="5"/>
      <c r="BL646" s="5"/>
      <c r="BM646" s="5"/>
      <c r="BN646" s="5"/>
      <c r="BO646" s="5"/>
      <c r="BP646" s="5"/>
    </row>
    <row r="647">
      <c r="A647" s="5"/>
      <c r="B647" s="150"/>
      <c r="C647" s="151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6"/>
      <c r="AQ647" s="5"/>
      <c r="AR647" s="7"/>
      <c r="AT647" s="5"/>
      <c r="AU647" s="5"/>
      <c r="AV647" s="5"/>
      <c r="AW647" s="5"/>
      <c r="AX647" s="5"/>
      <c r="AY647" s="5"/>
      <c r="AZ647" s="5"/>
      <c r="BF647" s="96"/>
      <c r="BG647" s="96"/>
      <c r="BH647" s="96"/>
      <c r="BI647" s="96"/>
      <c r="BJ647" s="96"/>
      <c r="BK647" s="5"/>
      <c r="BL647" s="5"/>
      <c r="BM647" s="5"/>
      <c r="BN647" s="5"/>
      <c r="BO647" s="5"/>
      <c r="BP647" s="5"/>
    </row>
    <row r="648">
      <c r="A648" s="5"/>
      <c r="B648" s="150"/>
      <c r="C648" s="151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6"/>
      <c r="AQ648" s="5"/>
      <c r="AR648" s="7"/>
      <c r="AT648" s="5"/>
      <c r="AU648" s="5"/>
      <c r="AV648" s="5"/>
      <c r="AW648" s="5"/>
      <c r="AX648" s="5"/>
      <c r="AY648" s="5"/>
      <c r="AZ648" s="5"/>
      <c r="BF648" s="96"/>
      <c r="BG648" s="96"/>
      <c r="BH648" s="96"/>
      <c r="BI648" s="96"/>
      <c r="BJ648" s="96"/>
      <c r="BK648" s="5"/>
      <c r="BL648" s="5"/>
      <c r="BM648" s="5"/>
      <c r="BN648" s="5"/>
      <c r="BO648" s="5"/>
      <c r="BP648" s="5"/>
    </row>
    <row r="649">
      <c r="A649" s="5"/>
      <c r="B649" s="150"/>
      <c r="C649" s="151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6"/>
      <c r="AQ649" s="5"/>
      <c r="AR649" s="7"/>
      <c r="AT649" s="5"/>
      <c r="AU649" s="5"/>
      <c r="AV649" s="5"/>
      <c r="AW649" s="5"/>
      <c r="AX649" s="5"/>
      <c r="AY649" s="5"/>
      <c r="AZ649" s="5"/>
      <c r="BF649" s="96"/>
      <c r="BG649" s="96"/>
      <c r="BH649" s="96"/>
      <c r="BI649" s="96"/>
      <c r="BJ649" s="96"/>
      <c r="BK649" s="5"/>
      <c r="BL649" s="5"/>
      <c r="BM649" s="5"/>
      <c r="BN649" s="5"/>
      <c r="BO649" s="5"/>
      <c r="BP649" s="5"/>
    </row>
    <row r="650">
      <c r="A650" s="5"/>
      <c r="B650" s="150"/>
      <c r="C650" s="151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6"/>
      <c r="AQ650" s="5"/>
      <c r="AR650" s="7"/>
      <c r="AT650" s="5"/>
      <c r="AU650" s="5"/>
      <c r="AV650" s="5"/>
      <c r="AW650" s="5"/>
      <c r="AX650" s="5"/>
      <c r="AY650" s="5"/>
      <c r="AZ650" s="5"/>
      <c r="BF650" s="96"/>
      <c r="BG650" s="96"/>
      <c r="BH650" s="96"/>
      <c r="BI650" s="96"/>
      <c r="BJ650" s="96"/>
      <c r="BK650" s="5"/>
      <c r="BL650" s="5"/>
      <c r="BM650" s="5"/>
      <c r="BN650" s="5"/>
      <c r="BO650" s="5"/>
      <c r="BP650" s="5"/>
    </row>
    <row r="651">
      <c r="A651" s="5"/>
      <c r="B651" s="150"/>
      <c r="C651" s="151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6"/>
      <c r="AQ651" s="5"/>
      <c r="AR651" s="7"/>
      <c r="AT651" s="5"/>
      <c r="AU651" s="5"/>
      <c r="AV651" s="5"/>
      <c r="AW651" s="5"/>
      <c r="AX651" s="5"/>
      <c r="AY651" s="5"/>
      <c r="AZ651" s="5"/>
      <c r="BF651" s="96"/>
      <c r="BG651" s="96"/>
      <c r="BH651" s="96"/>
      <c r="BI651" s="96"/>
      <c r="BJ651" s="96"/>
      <c r="BK651" s="5"/>
      <c r="BL651" s="5"/>
      <c r="BM651" s="5"/>
      <c r="BN651" s="5"/>
      <c r="BO651" s="5"/>
      <c r="BP651" s="5"/>
    </row>
    <row r="652">
      <c r="A652" s="5"/>
      <c r="B652" s="150"/>
      <c r="C652" s="151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6"/>
      <c r="AQ652" s="5"/>
      <c r="AR652" s="7"/>
      <c r="AT652" s="5"/>
      <c r="AU652" s="5"/>
      <c r="AV652" s="5"/>
      <c r="AW652" s="5"/>
      <c r="AX652" s="5"/>
      <c r="AY652" s="5"/>
      <c r="AZ652" s="5"/>
      <c r="BF652" s="96"/>
      <c r="BG652" s="96"/>
      <c r="BH652" s="96"/>
      <c r="BI652" s="96"/>
      <c r="BJ652" s="96"/>
      <c r="BK652" s="5"/>
      <c r="BL652" s="5"/>
      <c r="BM652" s="5"/>
      <c r="BN652" s="5"/>
      <c r="BO652" s="5"/>
      <c r="BP652" s="5"/>
    </row>
    <row r="653">
      <c r="A653" s="5"/>
      <c r="B653" s="150"/>
      <c r="C653" s="151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6"/>
      <c r="AQ653" s="5"/>
      <c r="AR653" s="7"/>
      <c r="AT653" s="5"/>
      <c r="AU653" s="5"/>
      <c r="AV653" s="5"/>
      <c r="AW653" s="5"/>
      <c r="AX653" s="5"/>
      <c r="AY653" s="5"/>
      <c r="AZ653" s="5"/>
      <c r="BF653" s="96"/>
      <c r="BG653" s="96"/>
      <c r="BH653" s="96"/>
      <c r="BI653" s="96"/>
      <c r="BJ653" s="96"/>
      <c r="BK653" s="5"/>
      <c r="BL653" s="5"/>
      <c r="BM653" s="5"/>
      <c r="BN653" s="5"/>
      <c r="BO653" s="5"/>
      <c r="BP653" s="5"/>
    </row>
    <row r="654">
      <c r="A654" s="5"/>
      <c r="B654" s="150"/>
      <c r="C654" s="151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6"/>
      <c r="AQ654" s="5"/>
      <c r="AR654" s="7"/>
      <c r="AT654" s="5"/>
      <c r="AU654" s="5"/>
      <c r="AV654" s="5"/>
      <c r="AW654" s="5"/>
      <c r="AX654" s="5"/>
      <c r="AY654" s="5"/>
      <c r="AZ654" s="5"/>
      <c r="BF654" s="96"/>
      <c r="BG654" s="96"/>
      <c r="BH654" s="96"/>
      <c r="BI654" s="96"/>
      <c r="BJ654" s="96"/>
      <c r="BK654" s="5"/>
      <c r="BL654" s="5"/>
      <c r="BM654" s="5"/>
      <c r="BN654" s="5"/>
      <c r="BO654" s="5"/>
      <c r="BP654" s="5"/>
    </row>
    <row r="655">
      <c r="A655" s="5"/>
      <c r="B655" s="150"/>
      <c r="C655" s="151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6"/>
      <c r="AQ655" s="5"/>
      <c r="AR655" s="7"/>
      <c r="AT655" s="5"/>
      <c r="AU655" s="5"/>
      <c r="AV655" s="5"/>
      <c r="AW655" s="5"/>
      <c r="AX655" s="5"/>
      <c r="AY655" s="5"/>
      <c r="AZ655" s="5"/>
      <c r="BF655" s="96"/>
      <c r="BG655" s="96"/>
      <c r="BH655" s="96"/>
      <c r="BI655" s="96"/>
      <c r="BJ655" s="96"/>
      <c r="BK655" s="5"/>
      <c r="BL655" s="5"/>
      <c r="BM655" s="5"/>
      <c r="BN655" s="5"/>
      <c r="BO655" s="5"/>
      <c r="BP655" s="5"/>
    </row>
    <row r="656">
      <c r="A656" s="5"/>
      <c r="B656" s="150"/>
      <c r="C656" s="151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6"/>
      <c r="AQ656" s="5"/>
      <c r="AR656" s="7"/>
      <c r="AT656" s="5"/>
      <c r="AU656" s="5"/>
      <c r="AV656" s="5"/>
      <c r="AW656" s="5"/>
      <c r="AX656" s="5"/>
      <c r="AY656" s="5"/>
      <c r="AZ656" s="5"/>
      <c r="BF656" s="96"/>
      <c r="BG656" s="96"/>
      <c r="BH656" s="96"/>
      <c r="BI656" s="96"/>
      <c r="BJ656" s="96"/>
      <c r="BK656" s="5"/>
      <c r="BL656" s="5"/>
      <c r="BM656" s="5"/>
      <c r="BN656" s="5"/>
      <c r="BO656" s="5"/>
      <c r="BP656" s="5"/>
    </row>
    <row r="657">
      <c r="A657" s="5"/>
      <c r="B657" s="150"/>
      <c r="C657" s="151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6"/>
      <c r="AQ657" s="5"/>
      <c r="AR657" s="7"/>
      <c r="AT657" s="5"/>
      <c r="AU657" s="5"/>
      <c r="AV657" s="5"/>
      <c r="AW657" s="5"/>
      <c r="AX657" s="5"/>
      <c r="AY657" s="5"/>
      <c r="AZ657" s="5"/>
      <c r="BF657" s="96"/>
      <c r="BG657" s="96"/>
      <c r="BH657" s="96"/>
      <c r="BI657" s="96"/>
      <c r="BJ657" s="96"/>
      <c r="BK657" s="5"/>
      <c r="BL657" s="5"/>
      <c r="BM657" s="5"/>
      <c r="BN657" s="5"/>
      <c r="BO657" s="5"/>
      <c r="BP657" s="5"/>
    </row>
    <row r="658">
      <c r="A658" s="5"/>
      <c r="B658" s="150"/>
      <c r="C658" s="151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6"/>
      <c r="AQ658" s="5"/>
      <c r="AR658" s="7"/>
      <c r="AT658" s="5"/>
      <c r="AU658" s="5"/>
      <c r="AV658" s="5"/>
      <c r="AW658" s="5"/>
      <c r="AX658" s="5"/>
      <c r="AY658" s="5"/>
      <c r="AZ658" s="5"/>
      <c r="BF658" s="96"/>
      <c r="BG658" s="96"/>
      <c r="BH658" s="96"/>
      <c r="BI658" s="96"/>
      <c r="BJ658" s="96"/>
      <c r="BK658" s="5"/>
      <c r="BL658" s="5"/>
      <c r="BM658" s="5"/>
      <c r="BN658" s="5"/>
      <c r="BO658" s="5"/>
      <c r="BP658" s="5"/>
    </row>
    <row r="659">
      <c r="A659" s="5"/>
      <c r="B659" s="150"/>
      <c r="C659" s="151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6"/>
      <c r="AQ659" s="5"/>
      <c r="AR659" s="7"/>
      <c r="AT659" s="5"/>
      <c r="AU659" s="5"/>
      <c r="AV659" s="5"/>
      <c r="AW659" s="5"/>
      <c r="AX659" s="5"/>
      <c r="AY659" s="5"/>
      <c r="AZ659" s="5"/>
      <c r="BF659" s="96"/>
      <c r="BG659" s="96"/>
      <c r="BH659" s="96"/>
      <c r="BI659" s="96"/>
      <c r="BJ659" s="96"/>
      <c r="BK659" s="5"/>
      <c r="BL659" s="5"/>
      <c r="BM659" s="5"/>
      <c r="BN659" s="5"/>
      <c r="BO659" s="5"/>
      <c r="BP659" s="5"/>
    </row>
    <row r="660">
      <c r="A660" s="5"/>
      <c r="B660" s="150"/>
      <c r="C660" s="151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6"/>
      <c r="AQ660" s="5"/>
      <c r="AR660" s="7"/>
      <c r="AT660" s="5"/>
      <c r="AU660" s="5"/>
      <c r="AV660" s="5"/>
      <c r="AW660" s="5"/>
      <c r="AX660" s="5"/>
      <c r="AY660" s="5"/>
      <c r="AZ660" s="5"/>
      <c r="BF660" s="96"/>
      <c r="BG660" s="96"/>
      <c r="BH660" s="96"/>
      <c r="BI660" s="96"/>
      <c r="BJ660" s="96"/>
      <c r="BK660" s="5"/>
      <c r="BL660" s="5"/>
      <c r="BM660" s="5"/>
      <c r="BN660" s="5"/>
      <c r="BO660" s="5"/>
      <c r="BP660" s="5"/>
    </row>
    <row r="661">
      <c r="A661" s="5"/>
      <c r="B661" s="150"/>
      <c r="C661" s="151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6"/>
      <c r="AQ661" s="5"/>
      <c r="AR661" s="7"/>
      <c r="AT661" s="5"/>
      <c r="AU661" s="5"/>
      <c r="AV661" s="5"/>
      <c r="AW661" s="5"/>
      <c r="AX661" s="5"/>
      <c r="AY661" s="5"/>
      <c r="AZ661" s="5"/>
      <c r="BF661" s="96"/>
      <c r="BG661" s="96"/>
      <c r="BH661" s="96"/>
      <c r="BI661" s="96"/>
      <c r="BJ661" s="96"/>
      <c r="BK661" s="5"/>
      <c r="BL661" s="5"/>
      <c r="BM661" s="5"/>
      <c r="BN661" s="5"/>
      <c r="BO661" s="5"/>
      <c r="BP661" s="5"/>
    </row>
    <row r="662">
      <c r="A662" s="5"/>
      <c r="B662" s="150"/>
      <c r="C662" s="151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6"/>
      <c r="AQ662" s="5"/>
      <c r="AR662" s="7"/>
      <c r="AT662" s="5"/>
      <c r="AU662" s="5"/>
      <c r="AV662" s="5"/>
      <c r="AW662" s="5"/>
      <c r="AX662" s="5"/>
      <c r="AY662" s="5"/>
      <c r="AZ662" s="5"/>
      <c r="BF662" s="96"/>
      <c r="BG662" s="96"/>
      <c r="BH662" s="96"/>
      <c r="BI662" s="96"/>
      <c r="BJ662" s="96"/>
      <c r="BK662" s="5"/>
      <c r="BL662" s="5"/>
      <c r="BM662" s="5"/>
      <c r="BN662" s="5"/>
      <c r="BO662" s="5"/>
      <c r="BP662" s="5"/>
    </row>
    <row r="663">
      <c r="A663" s="5"/>
      <c r="B663" s="150"/>
      <c r="C663" s="151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6"/>
      <c r="AQ663" s="5"/>
      <c r="AR663" s="7"/>
      <c r="AT663" s="5"/>
      <c r="AU663" s="5"/>
      <c r="AV663" s="5"/>
      <c r="AW663" s="5"/>
      <c r="AX663" s="5"/>
      <c r="AY663" s="5"/>
      <c r="AZ663" s="5"/>
      <c r="BF663" s="96"/>
      <c r="BG663" s="96"/>
      <c r="BH663" s="96"/>
      <c r="BI663" s="96"/>
      <c r="BJ663" s="96"/>
      <c r="BK663" s="5"/>
      <c r="BL663" s="5"/>
      <c r="BM663" s="5"/>
      <c r="BN663" s="5"/>
      <c r="BO663" s="5"/>
      <c r="BP663" s="5"/>
    </row>
    <row r="664">
      <c r="A664" s="5"/>
      <c r="B664" s="150"/>
      <c r="C664" s="151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6"/>
      <c r="AQ664" s="5"/>
      <c r="AR664" s="7"/>
      <c r="AT664" s="5"/>
      <c r="AU664" s="5"/>
      <c r="AV664" s="5"/>
      <c r="AW664" s="5"/>
      <c r="AX664" s="5"/>
      <c r="AY664" s="5"/>
      <c r="AZ664" s="5"/>
      <c r="BF664" s="96"/>
      <c r="BG664" s="96"/>
      <c r="BH664" s="96"/>
      <c r="BI664" s="96"/>
      <c r="BJ664" s="96"/>
      <c r="BK664" s="5"/>
      <c r="BL664" s="5"/>
      <c r="BM664" s="5"/>
      <c r="BN664" s="5"/>
      <c r="BO664" s="5"/>
      <c r="BP664" s="5"/>
    </row>
    <row r="665">
      <c r="A665" s="5"/>
      <c r="B665" s="150"/>
      <c r="C665" s="151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6"/>
      <c r="AQ665" s="5"/>
      <c r="AR665" s="7"/>
      <c r="AT665" s="5"/>
      <c r="AU665" s="5"/>
      <c r="AV665" s="5"/>
      <c r="AW665" s="5"/>
      <c r="AX665" s="5"/>
      <c r="AY665" s="5"/>
      <c r="AZ665" s="5"/>
      <c r="BF665" s="96"/>
      <c r="BG665" s="96"/>
      <c r="BH665" s="96"/>
      <c r="BI665" s="96"/>
      <c r="BJ665" s="96"/>
      <c r="BK665" s="5"/>
      <c r="BL665" s="5"/>
      <c r="BM665" s="5"/>
      <c r="BN665" s="5"/>
      <c r="BO665" s="5"/>
      <c r="BP665" s="5"/>
    </row>
    <row r="666">
      <c r="A666" s="5"/>
      <c r="B666" s="150"/>
      <c r="C666" s="151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6"/>
      <c r="AQ666" s="5"/>
      <c r="AR666" s="7"/>
      <c r="AT666" s="5"/>
      <c r="AU666" s="5"/>
      <c r="AV666" s="5"/>
      <c r="AW666" s="5"/>
      <c r="AX666" s="5"/>
      <c r="AY666" s="5"/>
      <c r="AZ666" s="5"/>
      <c r="BF666" s="96"/>
      <c r="BG666" s="96"/>
      <c r="BH666" s="96"/>
      <c r="BI666" s="96"/>
      <c r="BJ666" s="96"/>
      <c r="BK666" s="5"/>
      <c r="BL666" s="5"/>
      <c r="BM666" s="5"/>
      <c r="BN666" s="5"/>
      <c r="BO666" s="5"/>
      <c r="BP666" s="5"/>
    </row>
    <row r="667">
      <c r="A667" s="5"/>
      <c r="B667" s="150"/>
      <c r="C667" s="151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6"/>
      <c r="AQ667" s="5"/>
      <c r="AR667" s="7"/>
      <c r="AT667" s="5"/>
      <c r="AU667" s="5"/>
      <c r="AV667" s="5"/>
      <c r="AW667" s="5"/>
      <c r="AX667" s="5"/>
      <c r="AY667" s="5"/>
      <c r="AZ667" s="5"/>
      <c r="BF667" s="96"/>
      <c r="BG667" s="96"/>
      <c r="BH667" s="96"/>
      <c r="BI667" s="96"/>
      <c r="BJ667" s="96"/>
      <c r="BK667" s="5"/>
      <c r="BL667" s="5"/>
      <c r="BM667" s="5"/>
      <c r="BN667" s="5"/>
      <c r="BO667" s="5"/>
      <c r="BP667" s="5"/>
    </row>
    <row r="668">
      <c r="A668" s="5"/>
      <c r="B668" s="150"/>
      <c r="C668" s="151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6"/>
      <c r="AQ668" s="5"/>
      <c r="AR668" s="7"/>
      <c r="AT668" s="5"/>
      <c r="AU668" s="5"/>
      <c r="AV668" s="5"/>
      <c r="AW668" s="5"/>
      <c r="AX668" s="5"/>
      <c r="AY668" s="5"/>
      <c r="AZ668" s="5"/>
      <c r="BF668" s="96"/>
      <c r="BG668" s="96"/>
      <c r="BH668" s="96"/>
      <c r="BI668" s="96"/>
      <c r="BJ668" s="96"/>
      <c r="BK668" s="5"/>
      <c r="BL668" s="5"/>
      <c r="BM668" s="5"/>
      <c r="BN668" s="5"/>
      <c r="BO668" s="5"/>
      <c r="BP668" s="5"/>
    </row>
    <row r="669">
      <c r="A669" s="5"/>
      <c r="B669" s="150"/>
      <c r="C669" s="151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6"/>
      <c r="AQ669" s="5"/>
      <c r="AR669" s="7"/>
      <c r="AT669" s="5"/>
      <c r="AU669" s="5"/>
      <c r="AV669" s="5"/>
      <c r="AW669" s="5"/>
      <c r="AX669" s="5"/>
      <c r="AY669" s="5"/>
      <c r="AZ669" s="5"/>
      <c r="BF669" s="96"/>
      <c r="BG669" s="96"/>
      <c r="BH669" s="96"/>
      <c r="BI669" s="96"/>
      <c r="BJ669" s="96"/>
      <c r="BK669" s="5"/>
      <c r="BL669" s="5"/>
      <c r="BM669" s="5"/>
      <c r="BN669" s="5"/>
      <c r="BO669" s="5"/>
      <c r="BP669" s="5"/>
    </row>
    <row r="670">
      <c r="A670" s="5"/>
      <c r="B670" s="150"/>
      <c r="C670" s="151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6"/>
      <c r="AQ670" s="5"/>
      <c r="AR670" s="7"/>
      <c r="AT670" s="5"/>
      <c r="AU670" s="5"/>
      <c r="AV670" s="5"/>
      <c r="AW670" s="5"/>
      <c r="AX670" s="5"/>
      <c r="AY670" s="5"/>
      <c r="AZ670" s="5"/>
      <c r="BF670" s="96"/>
      <c r="BG670" s="96"/>
      <c r="BH670" s="96"/>
      <c r="BI670" s="96"/>
      <c r="BJ670" s="96"/>
      <c r="BK670" s="5"/>
      <c r="BL670" s="5"/>
      <c r="BM670" s="5"/>
      <c r="BN670" s="5"/>
      <c r="BO670" s="5"/>
      <c r="BP670" s="5"/>
    </row>
    <row r="671">
      <c r="A671" s="5"/>
      <c r="B671" s="150"/>
      <c r="C671" s="151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6"/>
      <c r="AQ671" s="5"/>
      <c r="AR671" s="7"/>
      <c r="AT671" s="5"/>
      <c r="AU671" s="5"/>
      <c r="AV671" s="5"/>
      <c r="AW671" s="5"/>
      <c r="AX671" s="5"/>
      <c r="AY671" s="5"/>
      <c r="AZ671" s="5"/>
      <c r="BF671" s="96"/>
      <c r="BG671" s="96"/>
      <c r="BH671" s="96"/>
      <c r="BI671" s="96"/>
      <c r="BJ671" s="96"/>
      <c r="BK671" s="5"/>
      <c r="BL671" s="5"/>
      <c r="BM671" s="5"/>
      <c r="BN671" s="5"/>
      <c r="BO671" s="5"/>
      <c r="BP671" s="5"/>
    </row>
    <row r="672">
      <c r="A672" s="5"/>
      <c r="B672" s="150"/>
      <c r="C672" s="151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6"/>
      <c r="AQ672" s="5"/>
      <c r="AR672" s="7"/>
      <c r="AT672" s="5"/>
      <c r="AU672" s="5"/>
      <c r="AV672" s="5"/>
      <c r="AW672" s="5"/>
      <c r="AX672" s="5"/>
      <c r="AY672" s="5"/>
      <c r="AZ672" s="5"/>
      <c r="BF672" s="96"/>
      <c r="BG672" s="96"/>
      <c r="BH672" s="96"/>
      <c r="BI672" s="96"/>
      <c r="BJ672" s="96"/>
      <c r="BK672" s="5"/>
      <c r="BL672" s="5"/>
      <c r="BM672" s="5"/>
      <c r="BN672" s="5"/>
      <c r="BO672" s="5"/>
      <c r="BP672" s="5"/>
    </row>
    <row r="673">
      <c r="A673" s="5"/>
      <c r="B673" s="150"/>
      <c r="C673" s="151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6"/>
      <c r="AQ673" s="5"/>
      <c r="AR673" s="7"/>
      <c r="AT673" s="5"/>
      <c r="AU673" s="5"/>
      <c r="AV673" s="5"/>
      <c r="AW673" s="5"/>
      <c r="AX673" s="5"/>
      <c r="AY673" s="5"/>
      <c r="AZ673" s="5"/>
      <c r="BF673" s="96"/>
      <c r="BG673" s="96"/>
      <c r="BH673" s="96"/>
      <c r="BI673" s="96"/>
      <c r="BJ673" s="96"/>
      <c r="BK673" s="5"/>
      <c r="BL673" s="5"/>
      <c r="BM673" s="5"/>
      <c r="BN673" s="5"/>
      <c r="BO673" s="5"/>
      <c r="BP673" s="5"/>
    </row>
    <row r="674">
      <c r="A674" s="5"/>
      <c r="B674" s="150"/>
      <c r="C674" s="151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6"/>
      <c r="AQ674" s="5"/>
      <c r="AR674" s="7"/>
      <c r="AT674" s="5"/>
      <c r="AU674" s="5"/>
      <c r="AV674" s="5"/>
      <c r="AW674" s="5"/>
      <c r="AX674" s="5"/>
      <c r="AY674" s="5"/>
      <c r="AZ674" s="5"/>
      <c r="BF674" s="96"/>
      <c r="BG674" s="96"/>
      <c r="BH674" s="96"/>
      <c r="BI674" s="96"/>
      <c r="BJ674" s="96"/>
      <c r="BK674" s="5"/>
      <c r="BL674" s="5"/>
      <c r="BM674" s="5"/>
      <c r="BN674" s="5"/>
      <c r="BO674" s="5"/>
      <c r="BP674" s="5"/>
    </row>
    <row r="675">
      <c r="A675" s="5"/>
      <c r="B675" s="150"/>
      <c r="C675" s="151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6"/>
      <c r="AQ675" s="5"/>
      <c r="AR675" s="7"/>
      <c r="AT675" s="5"/>
      <c r="AU675" s="5"/>
      <c r="AV675" s="5"/>
      <c r="AW675" s="5"/>
      <c r="AX675" s="5"/>
      <c r="AY675" s="5"/>
      <c r="AZ675" s="5"/>
      <c r="BF675" s="96"/>
      <c r="BG675" s="96"/>
      <c r="BH675" s="96"/>
      <c r="BI675" s="96"/>
      <c r="BJ675" s="96"/>
      <c r="BK675" s="5"/>
      <c r="BL675" s="5"/>
      <c r="BM675" s="5"/>
      <c r="BN675" s="5"/>
      <c r="BO675" s="5"/>
      <c r="BP675" s="5"/>
    </row>
    <row r="676">
      <c r="A676" s="5"/>
      <c r="B676" s="150"/>
      <c r="C676" s="151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6"/>
      <c r="AQ676" s="5"/>
      <c r="AR676" s="7"/>
      <c r="AT676" s="5"/>
      <c r="AU676" s="5"/>
      <c r="AV676" s="5"/>
      <c r="AW676" s="5"/>
      <c r="AX676" s="5"/>
      <c r="AY676" s="5"/>
      <c r="AZ676" s="5"/>
      <c r="BF676" s="96"/>
      <c r="BG676" s="96"/>
      <c r="BH676" s="96"/>
      <c r="BI676" s="96"/>
      <c r="BJ676" s="96"/>
      <c r="BK676" s="5"/>
      <c r="BL676" s="5"/>
      <c r="BM676" s="5"/>
      <c r="BN676" s="5"/>
      <c r="BO676" s="5"/>
      <c r="BP676" s="5"/>
    </row>
    <row r="677">
      <c r="A677" s="5"/>
      <c r="B677" s="150"/>
      <c r="C677" s="151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6"/>
      <c r="AQ677" s="5"/>
      <c r="AR677" s="7"/>
      <c r="AT677" s="5"/>
      <c r="AU677" s="5"/>
      <c r="AV677" s="5"/>
      <c r="AW677" s="5"/>
      <c r="AX677" s="5"/>
      <c r="AY677" s="5"/>
      <c r="AZ677" s="5"/>
      <c r="BF677" s="96"/>
      <c r="BG677" s="96"/>
      <c r="BH677" s="96"/>
      <c r="BI677" s="96"/>
      <c r="BJ677" s="96"/>
      <c r="BK677" s="5"/>
      <c r="BL677" s="5"/>
      <c r="BM677" s="5"/>
      <c r="BN677" s="5"/>
      <c r="BO677" s="5"/>
      <c r="BP677" s="5"/>
    </row>
    <row r="678">
      <c r="A678" s="5"/>
      <c r="B678" s="150"/>
      <c r="C678" s="151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6"/>
      <c r="AQ678" s="5"/>
      <c r="AR678" s="7"/>
      <c r="AT678" s="5"/>
      <c r="AU678" s="5"/>
      <c r="AV678" s="5"/>
      <c r="AW678" s="5"/>
      <c r="AX678" s="5"/>
      <c r="AY678" s="5"/>
      <c r="AZ678" s="5"/>
      <c r="BF678" s="96"/>
      <c r="BG678" s="96"/>
      <c r="BH678" s="96"/>
      <c r="BI678" s="96"/>
      <c r="BJ678" s="96"/>
      <c r="BK678" s="5"/>
      <c r="BL678" s="5"/>
      <c r="BM678" s="5"/>
      <c r="BN678" s="5"/>
      <c r="BO678" s="5"/>
      <c r="BP678" s="5"/>
    </row>
    <row r="679">
      <c r="A679" s="5"/>
      <c r="B679" s="150"/>
      <c r="C679" s="151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6"/>
      <c r="AQ679" s="5"/>
      <c r="AR679" s="7"/>
      <c r="AT679" s="5"/>
      <c r="AU679" s="5"/>
      <c r="AV679" s="5"/>
      <c r="AW679" s="5"/>
      <c r="AX679" s="5"/>
      <c r="AY679" s="5"/>
      <c r="AZ679" s="5"/>
      <c r="BF679" s="96"/>
      <c r="BG679" s="96"/>
      <c r="BH679" s="96"/>
      <c r="BI679" s="96"/>
      <c r="BJ679" s="96"/>
      <c r="BK679" s="5"/>
      <c r="BL679" s="5"/>
      <c r="BM679" s="5"/>
      <c r="BN679" s="5"/>
      <c r="BO679" s="5"/>
      <c r="BP679" s="5"/>
    </row>
    <row r="680">
      <c r="A680" s="5"/>
      <c r="B680" s="150"/>
      <c r="C680" s="151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6"/>
      <c r="AQ680" s="5"/>
      <c r="AR680" s="7"/>
      <c r="AT680" s="5"/>
      <c r="AU680" s="5"/>
      <c r="AV680" s="5"/>
      <c r="AW680" s="5"/>
      <c r="AX680" s="5"/>
      <c r="AY680" s="5"/>
      <c r="AZ680" s="5"/>
      <c r="BF680" s="96"/>
      <c r="BG680" s="96"/>
      <c r="BH680" s="96"/>
      <c r="BI680" s="96"/>
      <c r="BJ680" s="96"/>
      <c r="BK680" s="5"/>
      <c r="BL680" s="5"/>
      <c r="BM680" s="5"/>
      <c r="BN680" s="5"/>
      <c r="BO680" s="5"/>
      <c r="BP680" s="5"/>
    </row>
    <row r="681">
      <c r="A681" s="5"/>
      <c r="B681" s="150"/>
      <c r="C681" s="151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6"/>
      <c r="AQ681" s="5"/>
      <c r="AR681" s="7"/>
      <c r="AT681" s="5"/>
      <c r="AU681" s="5"/>
      <c r="AV681" s="5"/>
      <c r="AW681" s="5"/>
      <c r="AX681" s="5"/>
      <c r="AY681" s="5"/>
      <c r="AZ681" s="5"/>
      <c r="BF681" s="96"/>
      <c r="BG681" s="96"/>
      <c r="BH681" s="96"/>
      <c r="BI681" s="96"/>
      <c r="BJ681" s="96"/>
      <c r="BK681" s="5"/>
      <c r="BL681" s="5"/>
      <c r="BM681" s="5"/>
      <c r="BN681" s="5"/>
      <c r="BO681" s="5"/>
      <c r="BP681" s="5"/>
    </row>
    <row r="682">
      <c r="A682" s="5"/>
      <c r="B682" s="150"/>
      <c r="C682" s="151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6"/>
      <c r="AQ682" s="5"/>
      <c r="AR682" s="7"/>
      <c r="AT682" s="5"/>
      <c r="AU682" s="5"/>
      <c r="AV682" s="5"/>
      <c r="AW682" s="5"/>
      <c r="AX682" s="5"/>
      <c r="AY682" s="5"/>
      <c r="AZ682" s="5"/>
      <c r="BF682" s="96"/>
      <c r="BG682" s="96"/>
      <c r="BH682" s="96"/>
      <c r="BI682" s="96"/>
      <c r="BJ682" s="96"/>
      <c r="BK682" s="5"/>
      <c r="BL682" s="5"/>
      <c r="BM682" s="5"/>
      <c r="BN682" s="5"/>
      <c r="BO682" s="5"/>
      <c r="BP682" s="5"/>
    </row>
    <row r="683">
      <c r="A683" s="5"/>
      <c r="B683" s="150"/>
      <c r="C683" s="151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6"/>
      <c r="AQ683" s="5"/>
      <c r="AR683" s="7"/>
      <c r="AT683" s="5"/>
      <c r="AU683" s="5"/>
      <c r="AV683" s="5"/>
      <c r="AW683" s="5"/>
      <c r="AX683" s="5"/>
      <c r="AY683" s="5"/>
      <c r="AZ683" s="5"/>
      <c r="BF683" s="96"/>
      <c r="BG683" s="96"/>
      <c r="BH683" s="96"/>
      <c r="BI683" s="96"/>
      <c r="BJ683" s="96"/>
      <c r="BK683" s="5"/>
      <c r="BL683" s="5"/>
      <c r="BM683" s="5"/>
      <c r="BN683" s="5"/>
      <c r="BO683" s="5"/>
      <c r="BP683" s="5"/>
    </row>
    <row r="684">
      <c r="A684" s="5"/>
      <c r="B684" s="150"/>
      <c r="C684" s="151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6"/>
      <c r="AQ684" s="5"/>
      <c r="AR684" s="7"/>
      <c r="AT684" s="5"/>
      <c r="AU684" s="5"/>
      <c r="AV684" s="5"/>
      <c r="AW684" s="5"/>
      <c r="AX684" s="5"/>
      <c r="AY684" s="5"/>
      <c r="AZ684" s="5"/>
      <c r="BF684" s="96"/>
      <c r="BG684" s="96"/>
      <c r="BH684" s="96"/>
      <c r="BI684" s="96"/>
      <c r="BJ684" s="96"/>
      <c r="BK684" s="5"/>
      <c r="BL684" s="5"/>
      <c r="BM684" s="5"/>
      <c r="BN684" s="5"/>
      <c r="BO684" s="5"/>
      <c r="BP684" s="5"/>
    </row>
    <row r="685">
      <c r="A685" s="5"/>
      <c r="B685" s="150"/>
      <c r="C685" s="151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6"/>
      <c r="AQ685" s="5"/>
      <c r="AR685" s="7"/>
      <c r="AT685" s="5"/>
      <c r="AU685" s="5"/>
      <c r="AV685" s="5"/>
      <c r="AW685" s="5"/>
      <c r="AX685" s="5"/>
      <c r="AY685" s="5"/>
      <c r="AZ685" s="5"/>
      <c r="BF685" s="96"/>
      <c r="BG685" s="96"/>
      <c r="BH685" s="96"/>
      <c r="BI685" s="96"/>
      <c r="BJ685" s="96"/>
      <c r="BK685" s="5"/>
      <c r="BL685" s="5"/>
      <c r="BM685" s="5"/>
      <c r="BN685" s="5"/>
      <c r="BO685" s="5"/>
      <c r="BP685" s="5"/>
    </row>
    <row r="686">
      <c r="A686" s="5"/>
      <c r="B686" s="150"/>
      <c r="C686" s="151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6"/>
      <c r="AQ686" s="5"/>
      <c r="AR686" s="7"/>
      <c r="AT686" s="5"/>
      <c r="AU686" s="5"/>
      <c r="AV686" s="5"/>
      <c r="AW686" s="5"/>
      <c r="AX686" s="5"/>
      <c r="AY686" s="5"/>
      <c r="AZ686" s="5"/>
      <c r="BF686" s="96"/>
      <c r="BG686" s="96"/>
      <c r="BH686" s="96"/>
      <c r="BI686" s="96"/>
      <c r="BJ686" s="96"/>
      <c r="BK686" s="5"/>
      <c r="BL686" s="5"/>
      <c r="BM686" s="5"/>
      <c r="BN686" s="5"/>
      <c r="BO686" s="5"/>
      <c r="BP686" s="5"/>
    </row>
    <row r="687">
      <c r="A687" s="5"/>
      <c r="B687" s="150"/>
      <c r="C687" s="151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6"/>
      <c r="AQ687" s="5"/>
      <c r="AR687" s="7"/>
      <c r="AT687" s="5"/>
      <c r="AU687" s="5"/>
      <c r="AV687" s="5"/>
      <c r="AW687" s="5"/>
      <c r="AX687" s="5"/>
      <c r="AY687" s="5"/>
      <c r="AZ687" s="5"/>
      <c r="BF687" s="96"/>
      <c r="BG687" s="96"/>
      <c r="BH687" s="96"/>
      <c r="BI687" s="96"/>
      <c r="BJ687" s="96"/>
      <c r="BK687" s="5"/>
      <c r="BL687" s="5"/>
      <c r="BM687" s="5"/>
      <c r="BN687" s="5"/>
      <c r="BO687" s="5"/>
      <c r="BP687" s="5"/>
    </row>
    <row r="688">
      <c r="A688" s="5"/>
      <c r="B688" s="150"/>
      <c r="C688" s="151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6"/>
      <c r="AQ688" s="5"/>
      <c r="AR688" s="7"/>
      <c r="AT688" s="5"/>
      <c r="AU688" s="5"/>
      <c r="AV688" s="5"/>
      <c r="AW688" s="5"/>
      <c r="AX688" s="5"/>
      <c r="AY688" s="5"/>
      <c r="AZ688" s="5"/>
      <c r="BF688" s="96"/>
      <c r="BG688" s="96"/>
      <c r="BH688" s="96"/>
      <c r="BI688" s="96"/>
      <c r="BJ688" s="96"/>
      <c r="BK688" s="5"/>
      <c r="BL688" s="5"/>
      <c r="BM688" s="5"/>
      <c r="BN688" s="5"/>
      <c r="BO688" s="5"/>
      <c r="BP688" s="5"/>
    </row>
    <row r="689">
      <c r="A689" s="5"/>
      <c r="B689" s="150"/>
      <c r="C689" s="151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6"/>
      <c r="AQ689" s="5"/>
      <c r="AR689" s="7"/>
      <c r="AT689" s="5"/>
      <c r="AU689" s="5"/>
      <c r="AV689" s="5"/>
      <c r="AW689" s="5"/>
      <c r="AX689" s="5"/>
      <c r="AY689" s="5"/>
      <c r="AZ689" s="5"/>
      <c r="BF689" s="96"/>
      <c r="BG689" s="96"/>
      <c r="BH689" s="96"/>
      <c r="BI689" s="96"/>
      <c r="BJ689" s="96"/>
      <c r="BK689" s="5"/>
      <c r="BL689" s="5"/>
      <c r="BM689" s="5"/>
      <c r="BN689" s="5"/>
      <c r="BO689" s="5"/>
      <c r="BP689" s="5"/>
    </row>
    <row r="690">
      <c r="A690" s="5"/>
      <c r="B690" s="150"/>
      <c r="C690" s="151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6"/>
      <c r="AQ690" s="5"/>
      <c r="AR690" s="7"/>
      <c r="AT690" s="5"/>
      <c r="AU690" s="5"/>
      <c r="AV690" s="5"/>
      <c r="AW690" s="5"/>
      <c r="AX690" s="5"/>
      <c r="AY690" s="5"/>
      <c r="AZ690" s="5"/>
      <c r="BF690" s="96"/>
      <c r="BG690" s="96"/>
      <c r="BH690" s="96"/>
      <c r="BI690" s="96"/>
      <c r="BJ690" s="96"/>
      <c r="BK690" s="5"/>
      <c r="BL690" s="5"/>
      <c r="BM690" s="5"/>
      <c r="BN690" s="5"/>
      <c r="BO690" s="5"/>
      <c r="BP690" s="5"/>
    </row>
    <row r="691">
      <c r="A691" s="5"/>
      <c r="B691" s="150"/>
      <c r="C691" s="151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6"/>
      <c r="AQ691" s="5"/>
      <c r="AR691" s="7"/>
      <c r="AT691" s="5"/>
      <c r="AU691" s="5"/>
      <c r="AV691" s="5"/>
      <c r="AW691" s="5"/>
      <c r="AX691" s="5"/>
      <c r="AY691" s="5"/>
      <c r="AZ691" s="5"/>
      <c r="BF691" s="96"/>
      <c r="BG691" s="96"/>
      <c r="BH691" s="96"/>
      <c r="BI691" s="96"/>
      <c r="BJ691" s="96"/>
      <c r="BK691" s="5"/>
      <c r="BL691" s="5"/>
      <c r="BM691" s="5"/>
      <c r="BN691" s="5"/>
      <c r="BO691" s="5"/>
      <c r="BP691" s="5"/>
    </row>
    <row r="692">
      <c r="A692" s="5"/>
      <c r="B692" s="150"/>
      <c r="C692" s="151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6"/>
      <c r="AQ692" s="5"/>
      <c r="AR692" s="7"/>
      <c r="AT692" s="5"/>
      <c r="AU692" s="5"/>
      <c r="AV692" s="5"/>
      <c r="AW692" s="5"/>
      <c r="AX692" s="5"/>
      <c r="AY692" s="5"/>
      <c r="AZ692" s="5"/>
      <c r="BF692" s="96"/>
      <c r="BG692" s="96"/>
      <c r="BH692" s="96"/>
      <c r="BI692" s="96"/>
      <c r="BJ692" s="96"/>
      <c r="BK692" s="5"/>
      <c r="BL692" s="5"/>
      <c r="BM692" s="5"/>
      <c r="BN692" s="5"/>
      <c r="BO692" s="5"/>
      <c r="BP692" s="5"/>
    </row>
    <row r="693">
      <c r="A693" s="5"/>
      <c r="B693" s="150"/>
      <c r="C693" s="151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6"/>
      <c r="AQ693" s="5"/>
      <c r="AR693" s="7"/>
      <c r="AT693" s="5"/>
      <c r="AU693" s="5"/>
      <c r="AV693" s="5"/>
      <c r="AW693" s="5"/>
      <c r="AX693" s="5"/>
      <c r="AY693" s="5"/>
      <c r="AZ693" s="5"/>
      <c r="BF693" s="96"/>
      <c r="BG693" s="96"/>
      <c r="BH693" s="96"/>
      <c r="BI693" s="96"/>
      <c r="BJ693" s="96"/>
      <c r="BK693" s="5"/>
      <c r="BL693" s="5"/>
      <c r="BM693" s="5"/>
      <c r="BN693" s="5"/>
      <c r="BO693" s="5"/>
      <c r="BP693" s="5"/>
    </row>
    <row r="694">
      <c r="A694" s="5"/>
      <c r="B694" s="150"/>
      <c r="C694" s="151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6"/>
      <c r="AQ694" s="5"/>
      <c r="AR694" s="7"/>
      <c r="AT694" s="5"/>
      <c r="AU694" s="5"/>
      <c r="AV694" s="5"/>
      <c r="AW694" s="5"/>
      <c r="AX694" s="5"/>
      <c r="AY694" s="5"/>
      <c r="AZ694" s="5"/>
      <c r="BF694" s="96"/>
      <c r="BG694" s="96"/>
      <c r="BH694" s="96"/>
      <c r="BI694" s="96"/>
      <c r="BJ694" s="96"/>
      <c r="BK694" s="5"/>
      <c r="BL694" s="5"/>
      <c r="BM694" s="5"/>
      <c r="BN694" s="5"/>
      <c r="BO694" s="5"/>
      <c r="BP694" s="5"/>
    </row>
    <row r="695">
      <c r="A695" s="5"/>
      <c r="B695" s="150"/>
      <c r="C695" s="151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6"/>
      <c r="AQ695" s="5"/>
      <c r="AR695" s="7"/>
      <c r="AT695" s="5"/>
      <c r="AU695" s="5"/>
      <c r="AV695" s="5"/>
      <c r="AW695" s="5"/>
      <c r="AX695" s="5"/>
      <c r="AY695" s="5"/>
      <c r="AZ695" s="5"/>
      <c r="BF695" s="96"/>
      <c r="BG695" s="96"/>
      <c r="BH695" s="96"/>
      <c r="BI695" s="96"/>
      <c r="BJ695" s="96"/>
      <c r="BK695" s="5"/>
      <c r="BL695" s="5"/>
      <c r="BM695" s="5"/>
      <c r="BN695" s="5"/>
      <c r="BO695" s="5"/>
      <c r="BP695" s="5"/>
    </row>
    <row r="696">
      <c r="A696" s="5"/>
      <c r="B696" s="150"/>
      <c r="C696" s="151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6"/>
      <c r="AQ696" s="5"/>
      <c r="AR696" s="7"/>
      <c r="AT696" s="5"/>
      <c r="AU696" s="5"/>
      <c r="AV696" s="5"/>
      <c r="AW696" s="5"/>
      <c r="AX696" s="5"/>
      <c r="AY696" s="5"/>
      <c r="AZ696" s="5"/>
      <c r="BF696" s="96"/>
      <c r="BG696" s="96"/>
      <c r="BH696" s="96"/>
      <c r="BI696" s="96"/>
      <c r="BJ696" s="96"/>
      <c r="BK696" s="5"/>
      <c r="BL696" s="5"/>
      <c r="BM696" s="5"/>
      <c r="BN696" s="5"/>
      <c r="BO696" s="5"/>
      <c r="BP696" s="5"/>
    </row>
    <row r="697">
      <c r="A697" s="5"/>
      <c r="B697" s="150"/>
      <c r="C697" s="151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6"/>
      <c r="AQ697" s="5"/>
      <c r="AR697" s="7"/>
      <c r="AT697" s="5"/>
      <c r="AU697" s="5"/>
      <c r="AV697" s="5"/>
      <c r="AW697" s="5"/>
      <c r="AX697" s="5"/>
      <c r="AY697" s="5"/>
      <c r="AZ697" s="5"/>
      <c r="BF697" s="96"/>
      <c r="BG697" s="96"/>
      <c r="BH697" s="96"/>
      <c r="BI697" s="96"/>
      <c r="BJ697" s="96"/>
      <c r="BK697" s="5"/>
      <c r="BL697" s="5"/>
      <c r="BM697" s="5"/>
      <c r="BN697" s="5"/>
      <c r="BO697" s="5"/>
      <c r="BP697" s="5"/>
    </row>
    <row r="698">
      <c r="A698" s="5"/>
      <c r="B698" s="150"/>
      <c r="C698" s="151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6"/>
      <c r="AQ698" s="5"/>
      <c r="AR698" s="7"/>
      <c r="AT698" s="5"/>
      <c r="AU698" s="5"/>
      <c r="AV698" s="5"/>
      <c r="AW698" s="5"/>
      <c r="AX698" s="5"/>
      <c r="AY698" s="5"/>
      <c r="AZ698" s="5"/>
      <c r="BF698" s="96"/>
      <c r="BG698" s="96"/>
      <c r="BH698" s="96"/>
      <c r="BI698" s="96"/>
      <c r="BJ698" s="96"/>
      <c r="BK698" s="5"/>
      <c r="BL698" s="5"/>
      <c r="BM698" s="5"/>
      <c r="BN698" s="5"/>
      <c r="BO698" s="5"/>
      <c r="BP698" s="5"/>
    </row>
    <row r="699">
      <c r="A699" s="5"/>
      <c r="B699" s="150"/>
      <c r="C699" s="151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6"/>
      <c r="AQ699" s="5"/>
      <c r="AR699" s="7"/>
      <c r="AT699" s="5"/>
      <c r="AU699" s="5"/>
      <c r="AV699" s="5"/>
      <c r="AW699" s="5"/>
      <c r="AX699" s="5"/>
      <c r="AY699" s="5"/>
      <c r="AZ699" s="5"/>
      <c r="BF699" s="96"/>
      <c r="BG699" s="96"/>
      <c r="BH699" s="96"/>
      <c r="BI699" s="96"/>
      <c r="BJ699" s="96"/>
      <c r="BK699" s="5"/>
      <c r="BL699" s="5"/>
      <c r="BM699" s="5"/>
      <c r="BN699" s="5"/>
      <c r="BO699" s="5"/>
      <c r="BP699" s="5"/>
    </row>
    <row r="700">
      <c r="A700" s="5"/>
      <c r="B700" s="150"/>
      <c r="C700" s="151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6"/>
      <c r="AQ700" s="5"/>
      <c r="AR700" s="7"/>
      <c r="AT700" s="5"/>
      <c r="AU700" s="5"/>
      <c r="AV700" s="5"/>
      <c r="AW700" s="5"/>
      <c r="AX700" s="5"/>
      <c r="AY700" s="5"/>
      <c r="AZ700" s="5"/>
      <c r="BF700" s="96"/>
      <c r="BG700" s="96"/>
      <c r="BH700" s="96"/>
      <c r="BI700" s="96"/>
      <c r="BJ700" s="96"/>
      <c r="BK700" s="5"/>
      <c r="BL700" s="5"/>
      <c r="BM700" s="5"/>
      <c r="BN700" s="5"/>
      <c r="BO700" s="5"/>
      <c r="BP700" s="5"/>
    </row>
    <row r="701">
      <c r="A701" s="5"/>
      <c r="B701" s="150"/>
      <c r="C701" s="151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6"/>
      <c r="AQ701" s="5"/>
      <c r="AR701" s="7"/>
      <c r="AT701" s="5"/>
      <c r="AU701" s="5"/>
      <c r="AV701" s="5"/>
      <c r="AW701" s="5"/>
      <c r="AX701" s="5"/>
      <c r="AY701" s="5"/>
      <c r="AZ701" s="5"/>
      <c r="BF701" s="96"/>
      <c r="BG701" s="96"/>
      <c r="BH701" s="96"/>
      <c r="BI701" s="96"/>
      <c r="BJ701" s="96"/>
      <c r="BK701" s="5"/>
      <c r="BL701" s="5"/>
      <c r="BM701" s="5"/>
      <c r="BN701" s="5"/>
      <c r="BO701" s="5"/>
      <c r="BP701" s="5"/>
    </row>
    <row r="702">
      <c r="A702" s="5"/>
      <c r="B702" s="150"/>
      <c r="C702" s="151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6"/>
      <c r="AQ702" s="5"/>
      <c r="AR702" s="7"/>
      <c r="AT702" s="5"/>
      <c r="AU702" s="5"/>
      <c r="AV702" s="5"/>
      <c r="AW702" s="5"/>
      <c r="AX702" s="5"/>
      <c r="AY702" s="5"/>
      <c r="AZ702" s="5"/>
      <c r="BF702" s="96"/>
      <c r="BG702" s="96"/>
      <c r="BH702" s="96"/>
      <c r="BI702" s="96"/>
      <c r="BJ702" s="96"/>
      <c r="BK702" s="5"/>
      <c r="BL702" s="5"/>
      <c r="BM702" s="5"/>
      <c r="BN702" s="5"/>
      <c r="BO702" s="5"/>
      <c r="BP702" s="5"/>
    </row>
    <row r="703">
      <c r="A703" s="5"/>
      <c r="B703" s="150"/>
      <c r="C703" s="151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6"/>
      <c r="AQ703" s="5"/>
      <c r="AR703" s="7"/>
      <c r="AT703" s="5"/>
      <c r="AU703" s="5"/>
      <c r="AV703" s="5"/>
      <c r="AW703" s="5"/>
      <c r="AX703" s="5"/>
      <c r="AY703" s="5"/>
      <c r="AZ703" s="5"/>
      <c r="BF703" s="96"/>
      <c r="BG703" s="96"/>
      <c r="BH703" s="96"/>
      <c r="BI703" s="96"/>
      <c r="BJ703" s="96"/>
      <c r="BK703" s="5"/>
      <c r="BL703" s="5"/>
      <c r="BM703" s="5"/>
      <c r="BN703" s="5"/>
      <c r="BO703" s="5"/>
      <c r="BP703" s="5"/>
    </row>
    <row r="704">
      <c r="A704" s="5"/>
      <c r="B704" s="150"/>
      <c r="C704" s="151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6"/>
      <c r="AQ704" s="5"/>
      <c r="AR704" s="7"/>
      <c r="AT704" s="5"/>
      <c r="AU704" s="5"/>
      <c r="AV704" s="5"/>
      <c r="AW704" s="5"/>
      <c r="AX704" s="5"/>
      <c r="AY704" s="5"/>
      <c r="AZ704" s="5"/>
      <c r="BF704" s="96"/>
      <c r="BG704" s="96"/>
      <c r="BH704" s="96"/>
      <c r="BI704" s="96"/>
      <c r="BJ704" s="96"/>
      <c r="BK704" s="5"/>
      <c r="BL704" s="5"/>
      <c r="BM704" s="5"/>
      <c r="BN704" s="5"/>
      <c r="BO704" s="5"/>
      <c r="BP704" s="5"/>
    </row>
    <row r="705">
      <c r="A705" s="5"/>
      <c r="B705" s="150"/>
      <c r="C705" s="151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6"/>
      <c r="AQ705" s="5"/>
      <c r="AR705" s="7"/>
      <c r="AT705" s="5"/>
      <c r="AU705" s="5"/>
      <c r="AV705" s="5"/>
      <c r="AW705" s="5"/>
      <c r="AX705" s="5"/>
      <c r="AY705" s="5"/>
      <c r="AZ705" s="5"/>
      <c r="BF705" s="96"/>
      <c r="BG705" s="96"/>
      <c r="BH705" s="96"/>
      <c r="BI705" s="96"/>
      <c r="BJ705" s="96"/>
      <c r="BK705" s="5"/>
      <c r="BL705" s="5"/>
      <c r="BM705" s="5"/>
      <c r="BN705" s="5"/>
      <c r="BO705" s="5"/>
      <c r="BP705" s="5"/>
    </row>
    <row r="706">
      <c r="A706" s="5"/>
      <c r="B706" s="150"/>
      <c r="C706" s="151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6"/>
      <c r="AQ706" s="5"/>
      <c r="AR706" s="7"/>
      <c r="AT706" s="5"/>
      <c r="AU706" s="5"/>
      <c r="AV706" s="5"/>
      <c r="AW706" s="5"/>
      <c r="AX706" s="5"/>
      <c r="AY706" s="5"/>
      <c r="AZ706" s="5"/>
      <c r="BF706" s="96"/>
      <c r="BG706" s="96"/>
      <c r="BH706" s="96"/>
      <c r="BI706" s="96"/>
      <c r="BJ706" s="96"/>
      <c r="BK706" s="5"/>
      <c r="BL706" s="5"/>
      <c r="BM706" s="5"/>
      <c r="BN706" s="5"/>
      <c r="BO706" s="5"/>
      <c r="BP706" s="5"/>
    </row>
    <row r="707">
      <c r="A707" s="5"/>
      <c r="B707" s="150"/>
      <c r="C707" s="151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6"/>
      <c r="AQ707" s="5"/>
      <c r="AR707" s="7"/>
      <c r="AT707" s="5"/>
      <c r="AU707" s="5"/>
      <c r="AV707" s="5"/>
      <c r="AW707" s="5"/>
      <c r="AX707" s="5"/>
      <c r="AY707" s="5"/>
      <c r="AZ707" s="5"/>
      <c r="BF707" s="96"/>
      <c r="BG707" s="96"/>
      <c r="BH707" s="96"/>
      <c r="BI707" s="96"/>
      <c r="BJ707" s="96"/>
      <c r="BK707" s="5"/>
      <c r="BL707" s="5"/>
      <c r="BM707" s="5"/>
      <c r="BN707" s="5"/>
      <c r="BO707" s="5"/>
      <c r="BP707" s="5"/>
    </row>
    <row r="708">
      <c r="A708" s="5"/>
      <c r="B708" s="150"/>
      <c r="C708" s="151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6"/>
      <c r="AQ708" s="5"/>
      <c r="AR708" s="7"/>
      <c r="AT708" s="5"/>
      <c r="AU708" s="5"/>
      <c r="AV708" s="5"/>
      <c r="AW708" s="5"/>
      <c r="AX708" s="5"/>
      <c r="AY708" s="5"/>
      <c r="AZ708" s="5"/>
      <c r="BF708" s="96"/>
      <c r="BG708" s="96"/>
      <c r="BH708" s="96"/>
      <c r="BI708" s="96"/>
      <c r="BJ708" s="96"/>
      <c r="BK708" s="5"/>
      <c r="BL708" s="5"/>
      <c r="BM708" s="5"/>
      <c r="BN708" s="5"/>
      <c r="BO708" s="5"/>
      <c r="BP708" s="5"/>
    </row>
    <row r="709">
      <c r="A709" s="5"/>
      <c r="B709" s="150"/>
      <c r="C709" s="151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6"/>
      <c r="AQ709" s="5"/>
      <c r="AR709" s="7"/>
      <c r="AT709" s="5"/>
      <c r="AU709" s="5"/>
      <c r="AV709" s="5"/>
      <c r="AW709" s="5"/>
      <c r="AX709" s="5"/>
      <c r="AY709" s="5"/>
      <c r="AZ709" s="5"/>
      <c r="BF709" s="96"/>
      <c r="BG709" s="96"/>
      <c r="BH709" s="96"/>
      <c r="BI709" s="96"/>
      <c r="BJ709" s="96"/>
      <c r="BK709" s="5"/>
      <c r="BL709" s="5"/>
      <c r="BM709" s="5"/>
      <c r="BN709" s="5"/>
      <c r="BO709" s="5"/>
      <c r="BP709" s="5"/>
    </row>
    <row r="710">
      <c r="A710" s="5"/>
      <c r="B710" s="150"/>
      <c r="C710" s="151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6"/>
      <c r="AQ710" s="5"/>
      <c r="AR710" s="7"/>
      <c r="AT710" s="5"/>
      <c r="AU710" s="5"/>
      <c r="AV710" s="5"/>
      <c r="AW710" s="5"/>
      <c r="AX710" s="5"/>
      <c r="AY710" s="5"/>
      <c r="AZ710" s="5"/>
      <c r="BF710" s="96"/>
      <c r="BG710" s="96"/>
      <c r="BH710" s="96"/>
      <c r="BI710" s="96"/>
      <c r="BJ710" s="96"/>
      <c r="BK710" s="5"/>
      <c r="BL710" s="5"/>
      <c r="BM710" s="5"/>
      <c r="BN710" s="5"/>
      <c r="BO710" s="5"/>
      <c r="BP710" s="5"/>
    </row>
    <row r="711">
      <c r="A711" s="5"/>
      <c r="B711" s="150"/>
      <c r="C711" s="151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6"/>
      <c r="AQ711" s="5"/>
      <c r="AR711" s="7"/>
      <c r="AT711" s="5"/>
      <c r="AU711" s="5"/>
      <c r="AV711" s="5"/>
      <c r="AW711" s="5"/>
      <c r="AX711" s="5"/>
      <c r="AY711" s="5"/>
      <c r="AZ711" s="5"/>
      <c r="BF711" s="96"/>
      <c r="BG711" s="96"/>
      <c r="BH711" s="96"/>
      <c r="BI711" s="96"/>
      <c r="BJ711" s="96"/>
      <c r="BK711" s="5"/>
      <c r="BL711" s="5"/>
      <c r="BM711" s="5"/>
      <c r="BN711" s="5"/>
      <c r="BO711" s="5"/>
      <c r="BP711" s="5"/>
    </row>
    <row r="712">
      <c r="A712" s="5"/>
      <c r="B712" s="150"/>
      <c r="C712" s="151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6"/>
      <c r="AQ712" s="5"/>
      <c r="AR712" s="7"/>
      <c r="AT712" s="5"/>
      <c r="AU712" s="5"/>
      <c r="AV712" s="5"/>
      <c r="AW712" s="5"/>
      <c r="AX712" s="5"/>
      <c r="AY712" s="5"/>
      <c r="AZ712" s="5"/>
      <c r="BF712" s="96"/>
      <c r="BG712" s="96"/>
      <c r="BH712" s="96"/>
      <c r="BI712" s="96"/>
      <c r="BJ712" s="96"/>
      <c r="BK712" s="5"/>
      <c r="BL712" s="5"/>
      <c r="BM712" s="5"/>
      <c r="BN712" s="5"/>
      <c r="BO712" s="5"/>
      <c r="BP712" s="5"/>
    </row>
    <row r="713">
      <c r="A713" s="5"/>
      <c r="B713" s="150"/>
      <c r="C713" s="151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6"/>
      <c r="AQ713" s="5"/>
      <c r="AR713" s="7"/>
      <c r="AT713" s="5"/>
      <c r="AU713" s="5"/>
      <c r="AV713" s="5"/>
      <c r="AW713" s="5"/>
      <c r="AX713" s="5"/>
      <c r="AY713" s="5"/>
      <c r="AZ713" s="5"/>
      <c r="BF713" s="96"/>
      <c r="BG713" s="96"/>
      <c r="BH713" s="96"/>
      <c r="BI713" s="96"/>
      <c r="BJ713" s="96"/>
      <c r="BK713" s="5"/>
      <c r="BL713" s="5"/>
      <c r="BM713" s="5"/>
      <c r="BN713" s="5"/>
      <c r="BO713" s="5"/>
      <c r="BP713" s="5"/>
    </row>
    <row r="714">
      <c r="A714" s="5"/>
      <c r="B714" s="150"/>
      <c r="C714" s="151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6"/>
      <c r="AQ714" s="5"/>
      <c r="AR714" s="7"/>
      <c r="AT714" s="5"/>
      <c r="AU714" s="5"/>
      <c r="AV714" s="5"/>
      <c r="AW714" s="5"/>
      <c r="AX714" s="5"/>
      <c r="AY714" s="5"/>
      <c r="AZ714" s="5"/>
      <c r="BF714" s="96"/>
      <c r="BG714" s="96"/>
      <c r="BH714" s="96"/>
      <c r="BI714" s="96"/>
      <c r="BJ714" s="96"/>
      <c r="BK714" s="5"/>
      <c r="BL714" s="5"/>
      <c r="BM714" s="5"/>
      <c r="BN714" s="5"/>
      <c r="BO714" s="5"/>
      <c r="BP714" s="5"/>
    </row>
    <row r="715">
      <c r="A715" s="5"/>
      <c r="B715" s="150"/>
      <c r="C715" s="151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6"/>
      <c r="AQ715" s="5"/>
      <c r="AR715" s="7"/>
      <c r="AT715" s="5"/>
      <c r="AU715" s="5"/>
      <c r="AV715" s="5"/>
      <c r="AW715" s="5"/>
      <c r="AX715" s="5"/>
      <c r="AY715" s="5"/>
      <c r="AZ715" s="5"/>
      <c r="BF715" s="96"/>
      <c r="BG715" s="96"/>
      <c r="BH715" s="96"/>
      <c r="BI715" s="96"/>
      <c r="BJ715" s="96"/>
      <c r="BK715" s="5"/>
      <c r="BL715" s="5"/>
      <c r="BM715" s="5"/>
      <c r="BN715" s="5"/>
      <c r="BO715" s="5"/>
      <c r="BP715" s="5"/>
    </row>
    <row r="716">
      <c r="A716" s="5"/>
      <c r="B716" s="150"/>
      <c r="C716" s="151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6"/>
      <c r="AQ716" s="5"/>
      <c r="AR716" s="7"/>
      <c r="AT716" s="5"/>
      <c r="AU716" s="5"/>
      <c r="AV716" s="5"/>
      <c r="AW716" s="5"/>
      <c r="AX716" s="5"/>
      <c r="AY716" s="5"/>
      <c r="AZ716" s="5"/>
      <c r="BF716" s="96"/>
      <c r="BG716" s="96"/>
      <c r="BH716" s="96"/>
      <c r="BI716" s="96"/>
      <c r="BJ716" s="96"/>
      <c r="BK716" s="5"/>
      <c r="BL716" s="5"/>
      <c r="BM716" s="5"/>
      <c r="BN716" s="5"/>
      <c r="BO716" s="5"/>
      <c r="BP716" s="5"/>
    </row>
    <row r="717">
      <c r="A717" s="5"/>
      <c r="B717" s="150"/>
      <c r="C717" s="151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6"/>
      <c r="AQ717" s="5"/>
      <c r="AR717" s="7"/>
      <c r="AT717" s="5"/>
      <c r="AU717" s="5"/>
      <c r="AV717" s="5"/>
      <c r="AW717" s="5"/>
      <c r="AX717" s="5"/>
      <c r="AY717" s="5"/>
      <c r="AZ717" s="5"/>
      <c r="BF717" s="96"/>
      <c r="BG717" s="96"/>
      <c r="BH717" s="96"/>
      <c r="BI717" s="96"/>
      <c r="BJ717" s="96"/>
      <c r="BK717" s="5"/>
      <c r="BL717" s="5"/>
      <c r="BM717" s="5"/>
      <c r="BN717" s="5"/>
      <c r="BO717" s="5"/>
      <c r="BP717" s="5"/>
    </row>
    <row r="718">
      <c r="A718" s="5"/>
      <c r="B718" s="150"/>
      <c r="C718" s="151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6"/>
      <c r="AQ718" s="5"/>
      <c r="AR718" s="7"/>
      <c r="AT718" s="5"/>
      <c r="AU718" s="5"/>
      <c r="AV718" s="5"/>
      <c r="AW718" s="5"/>
      <c r="AX718" s="5"/>
      <c r="AY718" s="5"/>
      <c r="AZ718" s="5"/>
      <c r="BF718" s="96"/>
      <c r="BG718" s="96"/>
      <c r="BH718" s="96"/>
      <c r="BI718" s="96"/>
      <c r="BJ718" s="96"/>
      <c r="BK718" s="5"/>
      <c r="BL718" s="5"/>
      <c r="BM718" s="5"/>
      <c r="BN718" s="5"/>
      <c r="BO718" s="5"/>
      <c r="BP718" s="5"/>
    </row>
    <row r="719">
      <c r="A719" s="5"/>
      <c r="B719" s="150"/>
      <c r="C719" s="151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6"/>
      <c r="AQ719" s="5"/>
      <c r="AR719" s="7"/>
      <c r="AT719" s="5"/>
      <c r="AU719" s="5"/>
      <c r="AV719" s="5"/>
      <c r="AW719" s="5"/>
      <c r="AX719" s="5"/>
      <c r="AY719" s="5"/>
      <c r="AZ719" s="5"/>
      <c r="BF719" s="96"/>
      <c r="BG719" s="96"/>
      <c r="BH719" s="96"/>
      <c r="BI719" s="96"/>
      <c r="BJ719" s="96"/>
      <c r="BK719" s="5"/>
      <c r="BL719" s="5"/>
      <c r="BM719" s="5"/>
      <c r="BN719" s="5"/>
      <c r="BO719" s="5"/>
      <c r="BP719" s="5"/>
    </row>
    <row r="720">
      <c r="A720" s="5"/>
      <c r="B720" s="150"/>
      <c r="C720" s="151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6"/>
      <c r="AQ720" s="5"/>
      <c r="AR720" s="7"/>
      <c r="AT720" s="5"/>
      <c r="AU720" s="5"/>
      <c r="AV720" s="5"/>
      <c r="AW720" s="5"/>
      <c r="AX720" s="5"/>
      <c r="AY720" s="5"/>
      <c r="AZ720" s="5"/>
      <c r="BF720" s="96"/>
      <c r="BG720" s="96"/>
      <c r="BH720" s="96"/>
      <c r="BI720" s="96"/>
      <c r="BJ720" s="96"/>
      <c r="BK720" s="5"/>
      <c r="BL720" s="5"/>
      <c r="BM720" s="5"/>
      <c r="BN720" s="5"/>
      <c r="BO720" s="5"/>
      <c r="BP720" s="5"/>
    </row>
    <row r="721">
      <c r="A721" s="5"/>
      <c r="B721" s="150"/>
      <c r="C721" s="151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6"/>
      <c r="AQ721" s="5"/>
      <c r="AR721" s="7"/>
      <c r="AT721" s="5"/>
      <c r="AU721" s="5"/>
      <c r="AV721" s="5"/>
      <c r="AW721" s="5"/>
      <c r="AX721" s="5"/>
      <c r="AY721" s="5"/>
      <c r="AZ721" s="5"/>
      <c r="BF721" s="96"/>
      <c r="BG721" s="96"/>
      <c r="BH721" s="96"/>
      <c r="BI721" s="96"/>
      <c r="BJ721" s="96"/>
      <c r="BK721" s="5"/>
      <c r="BL721" s="5"/>
      <c r="BM721" s="5"/>
      <c r="BN721" s="5"/>
      <c r="BO721" s="5"/>
      <c r="BP721" s="5"/>
    </row>
    <row r="722">
      <c r="A722" s="5"/>
      <c r="B722" s="150"/>
      <c r="C722" s="151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6"/>
      <c r="AQ722" s="5"/>
      <c r="AR722" s="7"/>
      <c r="AT722" s="5"/>
      <c r="AU722" s="5"/>
      <c r="AV722" s="5"/>
      <c r="AW722" s="5"/>
      <c r="AX722" s="5"/>
      <c r="AY722" s="5"/>
      <c r="AZ722" s="5"/>
      <c r="BF722" s="96"/>
      <c r="BG722" s="96"/>
      <c r="BH722" s="96"/>
      <c r="BI722" s="96"/>
      <c r="BJ722" s="96"/>
      <c r="BK722" s="5"/>
      <c r="BL722" s="5"/>
      <c r="BM722" s="5"/>
      <c r="BN722" s="5"/>
      <c r="BO722" s="5"/>
      <c r="BP722" s="5"/>
    </row>
    <row r="723">
      <c r="A723" s="5"/>
      <c r="B723" s="150"/>
      <c r="C723" s="151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6"/>
      <c r="AQ723" s="5"/>
      <c r="AR723" s="7"/>
      <c r="AT723" s="5"/>
      <c r="AU723" s="5"/>
      <c r="AV723" s="5"/>
      <c r="AW723" s="5"/>
      <c r="AX723" s="5"/>
      <c r="AY723" s="5"/>
      <c r="AZ723" s="5"/>
      <c r="BF723" s="96"/>
      <c r="BG723" s="96"/>
      <c r="BH723" s="96"/>
      <c r="BI723" s="96"/>
      <c r="BJ723" s="96"/>
      <c r="BK723" s="5"/>
      <c r="BL723" s="5"/>
      <c r="BM723" s="5"/>
      <c r="BN723" s="5"/>
      <c r="BO723" s="5"/>
      <c r="BP723" s="5"/>
    </row>
    <row r="724">
      <c r="A724" s="5"/>
      <c r="B724" s="150"/>
      <c r="C724" s="151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6"/>
      <c r="AQ724" s="5"/>
      <c r="AR724" s="7"/>
      <c r="AT724" s="5"/>
      <c r="AU724" s="5"/>
      <c r="AV724" s="5"/>
      <c r="AW724" s="5"/>
      <c r="AX724" s="5"/>
      <c r="AY724" s="5"/>
      <c r="AZ724" s="5"/>
      <c r="BF724" s="96"/>
      <c r="BG724" s="96"/>
      <c r="BH724" s="96"/>
      <c r="BI724" s="96"/>
      <c r="BJ724" s="96"/>
      <c r="BK724" s="5"/>
      <c r="BL724" s="5"/>
      <c r="BM724" s="5"/>
      <c r="BN724" s="5"/>
      <c r="BO724" s="5"/>
      <c r="BP724" s="5"/>
    </row>
    <row r="725">
      <c r="A725" s="5"/>
      <c r="B725" s="150"/>
      <c r="C725" s="151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6"/>
      <c r="AQ725" s="5"/>
      <c r="AR725" s="7"/>
      <c r="AT725" s="5"/>
      <c r="AU725" s="5"/>
      <c r="AV725" s="5"/>
      <c r="AW725" s="5"/>
      <c r="AX725" s="5"/>
      <c r="AY725" s="5"/>
      <c r="AZ725" s="5"/>
      <c r="BF725" s="96"/>
      <c r="BG725" s="96"/>
      <c r="BH725" s="96"/>
      <c r="BI725" s="96"/>
      <c r="BJ725" s="96"/>
      <c r="BK725" s="5"/>
      <c r="BL725" s="5"/>
      <c r="BM725" s="5"/>
      <c r="BN725" s="5"/>
      <c r="BO725" s="5"/>
      <c r="BP725" s="5"/>
    </row>
    <row r="726">
      <c r="A726" s="5"/>
      <c r="B726" s="150"/>
      <c r="C726" s="151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6"/>
      <c r="AQ726" s="5"/>
      <c r="AR726" s="7"/>
      <c r="AT726" s="5"/>
      <c r="AU726" s="5"/>
      <c r="AV726" s="5"/>
      <c r="AW726" s="5"/>
      <c r="AX726" s="5"/>
      <c r="AY726" s="5"/>
      <c r="AZ726" s="5"/>
      <c r="BF726" s="96"/>
      <c r="BG726" s="96"/>
      <c r="BH726" s="96"/>
      <c r="BI726" s="96"/>
      <c r="BJ726" s="96"/>
      <c r="BK726" s="5"/>
      <c r="BL726" s="5"/>
      <c r="BM726" s="5"/>
      <c r="BN726" s="5"/>
      <c r="BO726" s="5"/>
      <c r="BP726" s="5"/>
    </row>
    <row r="727">
      <c r="A727" s="5"/>
      <c r="B727" s="150"/>
      <c r="C727" s="151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6"/>
      <c r="AQ727" s="5"/>
      <c r="AR727" s="7"/>
      <c r="AT727" s="5"/>
      <c r="AU727" s="5"/>
      <c r="AV727" s="5"/>
      <c r="AW727" s="5"/>
      <c r="AX727" s="5"/>
      <c r="AY727" s="5"/>
      <c r="AZ727" s="5"/>
      <c r="BF727" s="96"/>
      <c r="BG727" s="96"/>
      <c r="BH727" s="96"/>
      <c r="BI727" s="96"/>
      <c r="BJ727" s="96"/>
      <c r="BK727" s="5"/>
      <c r="BL727" s="5"/>
      <c r="BM727" s="5"/>
      <c r="BN727" s="5"/>
      <c r="BO727" s="5"/>
      <c r="BP727" s="5"/>
    </row>
    <row r="728">
      <c r="A728" s="5"/>
      <c r="B728" s="150"/>
      <c r="C728" s="151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6"/>
      <c r="AQ728" s="5"/>
      <c r="AR728" s="7"/>
      <c r="AT728" s="5"/>
      <c r="AU728" s="5"/>
      <c r="AV728" s="5"/>
      <c r="AW728" s="5"/>
      <c r="AX728" s="5"/>
      <c r="AY728" s="5"/>
      <c r="AZ728" s="5"/>
      <c r="BF728" s="96"/>
      <c r="BG728" s="96"/>
      <c r="BH728" s="96"/>
      <c r="BI728" s="96"/>
      <c r="BJ728" s="96"/>
      <c r="BK728" s="5"/>
      <c r="BL728" s="5"/>
      <c r="BM728" s="5"/>
      <c r="BN728" s="5"/>
      <c r="BO728" s="5"/>
      <c r="BP728" s="5"/>
    </row>
    <row r="729">
      <c r="A729" s="5"/>
      <c r="B729" s="150"/>
      <c r="C729" s="151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6"/>
      <c r="AQ729" s="5"/>
      <c r="AR729" s="7"/>
      <c r="AT729" s="5"/>
      <c r="AU729" s="5"/>
      <c r="AV729" s="5"/>
      <c r="AW729" s="5"/>
      <c r="AX729" s="5"/>
      <c r="AY729" s="5"/>
      <c r="AZ729" s="5"/>
      <c r="BF729" s="96"/>
      <c r="BG729" s="96"/>
      <c r="BH729" s="96"/>
      <c r="BI729" s="96"/>
      <c r="BJ729" s="96"/>
      <c r="BK729" s="5"/>
      <c r="BL729" s="5"/>
      <c r="BM729" s="5"/>
      <c r="BN729" s="5"/>
      <c r="BO729" s="5"/>
      <c r="BP729" s="5"/>
    </row>
    <row r="730">
      <c r="A730" s="5"/>
      <c r="B730" s="150"/>
      <c r="C730" s="151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6"/>
      <c r="AQ730" s="5"/>
      <c r="AR730" s="7"/>
      <c r="AT730" s="5"/>
      <c r="AU730" s="5"/>
      <c r="AV730" s="5"/>
      <c r="AW730" s="5"/>
      <c r="AX730" s="5"/>
      <c r="AY730" s="5"/>
      <c r="AZ730" s="5"/>
      <c r="BF730" s="96"/>
      <c r="BG730" s="96"/>
      <c r="BH730" s="96"/>
      <c r="BI730" s="96"/>
      <c r="BJ730" s="96"/>
      <c r="BK730" s="5"/>
      <c r="BL730" s="5"/>
      <c r="BM730" s="5"/>
      <c r="BN730" s="5"/>
      <c r="BO730" s="5"/>
      <c r="BP730" s="5"/>
    </row>
    <row r="731">
      <c r="A731" s="5"/>
      <c r="B731" s="150"/>
      <c r="C731" s="151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6"/>
      <c r="AQ731" s="5"/>
      <c r="AR731" s="7"/>
      <c r="AT731" s="5"/>
      <c r="AU731" s="5"/>
      <c r="AV731" s="5"/>
      <c r="AW731" s="5"/>
      <c r="AX731" s="5"/>
      <c r="AY731" s="5"/>
      <c r="AZ731" s="5"/>
      <c r="BF731" s="96"/>
      <c r="BG731" s="96"/>
      <c r="BH731" s="96"/>
      <c r="BI731" s="96"/>
      <c r="BJ731" s="96"/>
      <c r="BK731" s="5"/>
      <c r="BL731" s="5"/>
      <c r="BM731" s="5"/>
      <c r="BN731" s="5"/>
      <c r="BO731" s="5"/>
      <c r="BP731" s="5"/>
    </row>
    <row r="732">
      <c r="A732" s="5"/>
      <c r="B732" s="150"/>
      <c r="C732" s="151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6"/>
      <c r="AQ732" s="5"/>
      <c r="AR732" s="7"/>
      <c r="AT732" s="5"/>
      <c r="AU732" s="5"/>
      <c r="AV732" s="5"/>
      <c r="AW732" s="5"/>
      <c r="AX732" s="5"/>
      <c r="AY732" s="5"/>
      <c r="AZ732" s="5"/>
      <c r="BF732" s="96"/>
      <c r="BG732" s="96"/>
      <c r="BH732" s="96"/>
      <c r="BI732" s="96"/>
      <c r="BJ732" s="96"/>
      <c r="BK732" s="5"/>
      <c r="BL732" s="5"/>
      <c r="BM732" s="5"/>
      <c r="BN732" s="5"/>
      <c r="BO732" s="5"/>
      <c r="BP732" s="5"/>
    </row>
    <row r="733">
      <c r="A733" s="5"/>
      <c r="B733" s="150"/>
      <c r="C733" s="151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6"/>
      <c r="AQ733" s="5"/>
      <c r="AR733" s="7"/>
      <c r="AT733" s="5"/>
      <c r="AU733" s="5"/>
      <c r="AV733" s="5"/>
      <c r="AW733" s="5"/>
      <c r="AX733" s="5"/>
      <c r="AY733" s="5"/>
      <c r="AZ733" s="5"/>
      <c r="BF733" s="96"/>
      <c r="BG733" s="96"/>
      <c r="BH733" s="96"/>
      <c r="BI733" s="96"/>
      <c r="BJ733" s="96"/>
      <c r="BK733" s="5"/>
      <c r="BL733" s="5"/>
      <c r="BM733" s="5"/>
      <c r="BN733" s="5"/>
      <c r="BO733" s="5"/>
      <c r="BP733" s="5"/>
    </row>
    <row r="734">
      <c r="A734" s="5"/>
      <c r="B734" s="150"/>
      <c r="C734" s="151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6"/>
      <c r="AQ734" s="5"/>
      <c r="AR734" s="7"/>
      <c r="AT734" s="5"/>
      <c r="AU734" s="5"/>
      <c r="AV734" s="5"/>
      <c r="AW734" s="5"/>
      <c r="AX734" s="5"/>
      <c r="AY734" s="5"/>
      <c r="AZ734" s="5"/>
      <c r="BF734" s="96"/>
      <c r="BG734" s="96"/>
      <c r="BH734" s="96"/>
      <c r="BI734" s="96"/>
      <c r="BJ734" s="96"/>
      <c r="BK734" s="5"/>
      <c r="BL734" s="5"/>
      <c r="BM734" s="5"/>
      <c r="BN734" s="5"/>
      <c r="BO734" s="5"/>
      <c r="BP734" s="5"/>
    </row>
    <row r="735">
      <c r="A735" s="5"/>
      <c r="B735" s="150"/>
      <c r="C735" s="151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6"/>
      <c r="AQ735" s="5"/>
      <c r="AR735" s="7"/>
      <c r="AT735" s="5"/>
      <c r="AU735" s="5"/>
      <c r="AV735" s="5"/>
      <c r="AW735" s="5"/>
      <c r="AX735" s="5"/>
      <c r="AY735" s="5"/>
      <c r="AZ735" s="5"/>
      <c r="BF735" s="96"/>
      <c r="BG735" s="96"/>
      <c r="BH735" s="96"/>
      <c r="BI735" s="96"/>
      <c r="BJ735" s="96"/>
      <c r="BK735" s="5"/>
      <c r="BL735" s="5"/>
      <c r="BM735" s="5"/>
      <c r="BN735" s="5"/>
      <c r="BO735" s="5"/>
      <c r="BP735" s="5"/>
    </row>
    <row r="736">
      <c r="A736" s="5"/>
      <c r="B736" s="150"/>
      <c r="C736" s="151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6"/>
      <c r="AQ736" s="5"/>
      <c r="AR736" s="7"/>
      <c r="AT736" s="5"/>
      <c r="AU736" s="5"/>
      <c r="AV736" s="5"/>
      <c r="AW736" s="5"/>
      <c r="AX736" s="5"/>
      <c r="AY736" s="5"/>
      <c r="AZ736" s="5"/>
      <c r="BF736" s="96"/>
      <c r="BG736" s="96"/>
      <c r="BH736" s="96"/>
      <c r="BI736" s="96"/>
      <c r="BJ736" s="96"/>
      <c r="BK736" s="5"/>
      <c r="BL736" s="5"/>
      <c r="BM736" s="5"/>
      <c r="BN736" s="5"/>
      <c r="BO736" s="5"/>
      <c r="BP736" s="5"/>
    </row>
    <row r="737">
      <c r="A737" s="5"/>
      <c r="B737" s="150"/>
      <c r="C737" s="151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6"/>
      <c r="AQ737" s="5"/>
      <c r="AR737" s="7"/>
      <c r="AT737" s="5"/>
      <c r="AU737" s="5"/>
      <c r="AV737" s="5"/>
      <c r="AW737" s="5"/>
      <c r="AX737" s="5"/>
      <c r="AY737" s="5"/>
      <c r="AZ737" s="5"/>
      <c r="BF737" s="96"/>
      <c r="BG737" s="96"/>
      <c r="BH737" s="96"/>
      <c r="BI737" s="96"/>
      <c r="BJ737" s="96"/>
      <c r="BK737" s="5"/>
      <c r="BL737" s="5"/>
      <c r="BM737" s="5"/>
      <c r="BN737" s="5"/>
      <c r="BO737" s="5"/>
      <c r="BP737" s="5"/>
    </row>
    <row r="738">
      <c r="A738" s="5"/>
      <c r="B738" s="150"/>
      <c r="C738" s="151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6"/>
      <c r="AQ738" s="5"/>
      <c r="AR738" s="7"/>
      <c r="AT738" s="5"/>
      <c r="AU738" s="5"/>
      <c r="AV738" s="5"/>
      <c r="AW738" s="5"/>
      <c r="AX738" s="5"/>
      <c r="AY738" s="5"/>
      <c r="AZ738" s="5"/>
      <c r="BF738" s="96"/>
      <c r="BG738" s="96"/>
      <c r="BH738" s="96"/>
      <c r="BI738" s="96"/>
      <c r="BJ738" s="96"/>
      <c r="BK738" s="5"/>
      <c r="BL738" s="5"/>
      <c r="BM738" s="5"/>
      <c r="BN738" s="5"/>
      <c r="BO738" s="5"/>
      <c r="BP738" s="5"/>
    </row>
    <row r="739">
      <c r="A739" s="5"/>
      <c r="B739" s="150"/>
      <c r="C739" s="151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6"/>
      <c r="AQ739" s="5"/>
      <c r="AR739" s="7"/>
      <c r="AT739" s="5"/>
      <c r="AU739" s="5"/>
      <c r="AV739" s="5"/>
      <c r="AW739" s="5"/>
      <c r="AX739" s="5"/>
      <c r="AY739" s="5"/>
      <c r="AZ739" s="5"/>
      <c r="BF739" s="96"/>
      <c r="BG739" s="96"/>
      <c r="BH739" s="96"/>
      <c r="BI739" s="96"/>
      <c r="BJ739" s="96"/>
      <c r="BK739" s="5"/>
      <c r="BL739" s="5"/>
      <c r="BM739" s="5"/>
      <c r="BN739" s="5"/>
      <c r="BO739" s="5"/>
      <c r="BP739" s="5"/>
    </row>
    <row r="740">
      <c r="A740" s="5"/>
      <c r="B740" s="150"/>
      <c r="C740" s="151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6"/>
      <c r="AQ740" s="5"/>
      <c r="AR740" s="7"/>
      <c r="AT740" s="5"/>
      <c r="AU740" s="5"/>
      <c r="AV740" s="5"/>
      <c r="AW740" s="5"/>
      <c r="AX740" s="5"/>
      <c r="AY740" s="5"/>
      <c r="AZ740" s="5"/>
      <c r="BF740" s="96"/>
      <c r="BG740" s="96"/>
      <c r="BH740" s="96"/>
      <c r="BI740" s="96"/>
      <c r="BJ740" s="96"/>
      <c r="BK740" s="5"/>
      <c r="BL740" s="5"/>
      <c r="BM740" s="5"/>
      <c r="BN740" s="5"/>
      <c r="BO740" s="5"/>
      <c r="BP740" s="5"/>
    </row>
    <row r="741">
      <c r="A741" s="5"/>
      <c r="B741" s="150"/>
      <c r="C741" s="151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6"/>
      <c r="AQ741" s="5"/>
      <c r="AR741" s="7"/>
      <c r="AT741" s="5"/>
      <c r="AU741" s="5"/>
      <c r="AV741" s="5"/>
      <c r="AW741" s="5"/>
      <c r="AX741" s="5"/>
      <c r="AY741" s="5"/>
      <c r="AZ741" s="5"/>
      <c r="BF741" s="96"/>
      <c r="BG741" s="96"/>
      <c r="BH741" s="96"/>
      <c r="BI741" s="96"/>
      <c r="BJ741" s="96"/>
      <c r="BK741" s="5"/>
      <c r="BL741" s="5"/>
      <c r="BM741" s="5"/>
      <c r="BN741" s="5"/>
      <c r="BO741" s="5"/>
      <c r="BP741" s="5"/>
    </row>
    <row r="742">
      <c r="A742" s="5"/>
      <c r="B742" s="150"/>
      <c r="C742" s="151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6"/>
      <c r="AQ742" s="5"/>
      <c r="AR742" s="7"/>
      <c r="AT742" s="5"/>
      <c r="AU742" s="5"/>
      <c r="AV742" s="5"/>
      <c r="AW742" s="5"/>
      <c r="AX742" s="5"/>
      <c r="AY742" s="5"/>
      <c r="AZ742" s="5"/>
      <c r="BF742" s="96"/>
      <c r="BG742" s="96"/>
      <c r="BH742" s="96"/>
      <c r="BI742" s="96"/>
      <c r="BJ742" s="96"/>
      <c r="BK742" s="5"/>
      <c r="BL742" s="5"/>
      <c r="BM742" s="5"/>
      <c r="BN742" s="5"/>
      <c r="BO742" s="5"/>
      <c r="BP742" s="5"/>
    </row>
    <row r="743">
      <c r="A743" s="5"/>
      <c r="B743" s="150"/>
      <c r="C743" s="151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6"/>
      <c r="AQ743" s="5"/>
      <c r="AR743" s="7"/>
      <c r="AT743" s="5"/>
      <c r="AU743" s="5"/>
      <c r="AV743" s="5"/>
      <c r="AW743" s="5"/>
      <c r="AX743" s="5"/>
      <c r="AY743" s="5"/>
      <c r="AZ743" s="5"/>
      <c r="BF743" s="96"/>
      <c r="BG743" s="96"/>
      <c r="BH743" s="96"/>
      <c r="BI743" s="96"/>
      <c r="BJ743" s="96"/>
      <c r="BK743" s="5"/>
      <c r="BL743" s="5"/>
      <c r="BM743" s="5"/>
      <c r="BN743" s="5"/>
      <c r="BO743" s="5"/>
      <c r="BP743" s="5"/>
    </row>
    <row r="744">
      <c r="A744" s="5"/>
      <c r="B744" s="150"/>
      <c r="C744" s="151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6"/>
      <c r="AQ744" s="5"/>
      <c r="AR744" s="7"/>
      <c r="AT744" s="5"/>
      <c r="AU744" s="5"/>
      <c r="AV744" s="5"/>
      <c r="AW744" s="5"/>
      <c r="AX744" s="5"/>
      <c r="AY744" s="5"/>
      <c r="AZ744" s="5"/>
      <c r="BF744" s="96"/>
      <c r="BG744" s="96"/>
      <c r="BH744" s="96"/>
      <c r="BI744" s="96"/>
      <c r="BJ744" s="96"/>
      <c r="BK744" s="5"/>
      <c r="BL744" s="5"/>
      <c r="BM744" s="5"/>
      <c r="BN744" s="5"/>
      <c r="BO744" s="5"/>
      <c r="BP744" s="5"/>
    </row>
    <row r="745">
      <c r="A745" s="5"/>
      <c r="B745" s="150"/>
      <c r="C745" s="151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6"/>
      <c r="AQ745" s="5"/>
      <c r="AR745" s="7"/>
      <c r="AT745" s="5"/>
      <c r="AU745" s="5"/>
      <c r="AV745" s="5"/>
      <c r="AW745" s="5"/>
      <c r="AX745" s="5"/>
      <c r="AY745" s="5"/>
      <c r="AZ745" s="5"/>
      <c r="BF745" s="96"/>
      <c r="BG745" s="96"/>
      <c r="BH745" s="96"/>
      <c r="BI745" s="96"/>
      <c r="BJ745" s="96"/>
      <c r="BK745" s="5"/>
      <c r="BL745" s="5"/>
      <c r="BM745" s="5"/>
      <c r="BN745" s="5"/>
      <c r="BO745" s="5"/>
      <c r="BP745" s="5"/>
    </row>
    <row r="746">
      <c r="A746" s="5"/>
      <c r="B746" s="150"/>
      <c r="C746" s="151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6"/>
      <c r="AQ746" s="5"/>
      <c r="AR746" s="7"/>
      <c r="AT746" s="5"/>
      <c r="AU746" s="5"/>
      <c r="AV746" s="5"/>
      <c r="AW746" s="5"/>
      <c r="AX746" s="5"/>
      <c r="AY746" s="5"/>
      <c r="AZ746" s="5"/>
      <c r="BF746" s="96"/>
      <c r="BG746" s="96"/>
      <c r="BH746" s="96"/>
      <c r="BI746" s="96"/>
      <c r="BJ746" s="96"/>
      <c r="BK746" s="5"/>
      <c r="BL746" s="5"/>
      <c r="BM746" s="5"/>
      <c r="BN746" s="5"/>
      <c r="BO746" s="5"/>
      <c r="BP746" s="5"/>
    </row>
    <row r="747">
      <c r="A747" s="5"/>
      <c r="B747" s="150"/>
      <c r="C747" s="151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6"/>
      <c r="AQ747" s="5"/>
      <c r="AR747" s="7"/>
      <c r="AT747" s="5"/>
      <c r="AU747" s="5"/>
      <c r="AV747" s="5"/>
      <c r="AW747" s="5"/>
      <c r="AX747" s="5"/>
      <c r="AY747" s="5"/>
      <c r="AZ747" s="5"/>
      <c r="BF747" s="96"/>
      <c r="BG747" s="96"/>
      <c r="BH747" s="96"/>
      <c r="BI747" s="96"/>
      <c r="BJ747" s="96"/>
      <c r="BK747" s="5"/>
      <c r="BL747" s="5"/>
      <c r="BM747" s="5"/>
      <c r="BN747" s="5"/>
      <c r="BO747" s="5"/>
      <c r="BP747" s="5"/>
    </row>
    <row r="748">
      <c r="A748" s="5"/>
      <c r="B748" s="150"/>
      <c r="C748" s="151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6"/>
      <c r="AQ748" s="5"/>
      <c r="AR748" s="7"/>
      <c r="AT748" s="5"/>
      <c r="AU748" s="5"/>
      <c r="AV748" s="5"/>
      <c r="AW748" s="5"/>
      <c r="AX748" s="5"/>
      <c r="AY748" s="5"/>
      <c r="AZ748" s="5"/>
      <c r="BF748" s="96"/>
      <c r="BG748" s="96"/>
      <c r="BH748" s="96"/>
      <c r="BI748" s="96"/>
      <c r="BJ748" s="96"/>
      <c r="BK748" s="5"/>
      <c r="BL748" s="5"/>
      <c r="BM748" s="5"/>
      <c r="BN748" s="5"/>
      <c r="BO748" s="5"/>
      <c r="BP748" s="5"/>
    </row>
    <row r="749">
      <c r="A749" s="5"/>
      <c r="B749" s="150"/>
      <c r="C749" s="151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6"/>
      <c r="AQ749" s="5"/>
      <c r="AR749" s="7"/>
      <c r="AT749" s="5"/>
      <c r="AU749" s="5"/>
      <c r="AV749" s="5"/>
      <c r="AW749" s="5"/>
      <c r="AX749" s="5"/>
      <c r="AY749" s="5"/>
      <c r="AZ749" s="5"/>
      <c r="BF749" s="96"/>
      <c r="BG749" s="96"/>
      <c r="BH749" s="96"/>
      <c r="BI749" s="96"/>
      <c r="BJ749" s="96"/>
      <c r="BK749" s="5"/>
      <c r="BL749" s="5"/>
      <c r="BM749" s="5"/>
      <c r="BN749" s="5"/>
      <c r="BO749" s="5"/>
      <c r="BP749" s="5"/>
    </row>
    <row r="750">
      <c r="A750" s="5"/>
      <c r="B750" s="150"/>
      <c r="C750" s="151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6"/>
      <c r="AQ750" s="5"/>
      <c r="AR750" s="7"/>
      <c r="AT750" s="5"/>
      <c r="AU750" s="5"/>
      <c r="AV750" s="5"/>
      <c r="AW750" s="5"/>
      <c r="AX750" s="5"/>
      <c r="AY750" s="5"/>
      <c r="AZ750" s="5"/>
      <c r="BF750" s="96"/>
      <c r="BG750" s="96"/>
      <c r="BH750" s="96"/>
      <c r="BI750" s="96"/>
      <c r="BJ750" s="96"/>
      <c r="BK750" s="5"/>
      <c r="BL750" s="5"/>
      <c r="BM750" s="5"/>
      <c r="BN750" s="5"/>
      <c r="BO750" s="5"/>
      <c r="BP750" s="5"/>
    </row>
    <row r="751">
      <c r="A751" s="5"/>
      <c r="B751" s="150"/>
      <c r="C751" s="151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6"/>
      <c r="AQ751" s="5"/>
      <c r="AR751" s="7"/>
      <c r="AT751" s="5"/>
      <c r="AU751" s="5"/>
      <c r="AV751" s="5"/>
      <c r="AW751" s="5"/>
      <c r="AX751" s="5"/>
      <c r="AY751" s="5"/>
      <c r="AZ751" s="5"/>
      <c r="BF751" s="96"/>
      <c r="BG751" s="96"/>
      <c r="BH751" s="96"/>
      <c r="BI751" s="96"/>
      <c r="BJ751" s="96"/>
      <c r="BK751" s="5"/>
      <c r="BL751" s="5"/>
      <c r="BM751" s="5"/>
      <c r="BN751" s="5"/>
      <c r="BO751" s="5"/>
      <c r="BP751" s="5"/>
    </row>
    <row r="752">
      <c r="A752" s="5"/>
      <c r="B752" s="150"/>
      <c r="C752" s="151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6"/>
      <c r="AQ752" s="5"/>
      <c r="AR752" s="7"/>
      <c r="AT752" s="5"/>
      <c r="AU752" s="5"/>
      <c r="AV752" s="5"/>
      <c r="AW752" s="5"/>
      <c r="AX752" s="5"/>
      <c r="AY752" s="5"/>
      <c r="AZ752" s="5"/>
      <c r="BF752" s="96"/>
      <c r="BG752" s="96"/>
      <c r="BH752" s="96"/>
      <c r="BI752" s="96"/>
      <c r="BJ752" s="96"/>
      <c r="BK752" s="5"/>
      <c r="BL752" s="5"/>
      <c r="BM752" s="5"/>
      <c r="BN752" s="5"/>
      <c r="BO752" s="5"/>
      <c r="BP752" s="5"/>
    </row>
    <row r="753">
      <c r="A753" s="5"/>
      <c r="B753" s="150"/>
      <c r="C753" s="151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6"/>
      <c r="AQ753" s="5"/>
      <c r="AR753" s="7"/>
      <c r="AT753" s="5"/>
      <c r="AU753" s="5"/>
      <c r="AV753" s="5"/>
      <c r="AW753" s="5"/>
      <c r="AX753" s="5"/>
      <c r="AY753" s="5"/>
      <c r="AZ753" s="5"/>
      <c r="BF753" s="96"/>
      <c r="BG753" s="96"/>
      <c r="BH753" s="96"/>
      <c r="BI753" s="96"/>
      <c r="BJ753" s="96"/>
      <c r="BK753" s="5"/>
      <c r="BL753" s="5"/>
      <c r="BM753" s="5"/>
      <c r="BN753" s="5"/>
      <c r="BO753" s="5"/>
      <c r="BP753" s="5"/>
    </row>
    <row r="754">
      <c r="A754" s="5"/>
      <c r="B754" s="150"/>
      <c r="C754" s="151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6"/>
      <c r="AQ754" s="5"/>
      <c r="AR754" s="7"/>
      <c r="AT754" s="5"/>
      <c r="AU754" s="5"/>
      <c r="AV754" s="5"/>
      <c r="AW754" s="5"/>
      <c r="AX754" s="5"/>
      <c r="AY754" s="5"/>
      <c r="AZ754" s="5"/>
      <c r="BF754" s="96"/>
      <c r="BG754" s="96"/>
      <c r="BH754" s="96"/>
      <c r="BI754" s="96"/>
      <c r="BJ754" s="96"/>
      <c r="BK754" s="5"/>
      <c r="BL754" s="5"/>
      <c r="BM754" s="5"/>
      <c r="BN754" s="5"/>
      <c r="BO754" s="5"/>
      <c r="BP754" s="5"/>
    </row>
    <row r="755">
      <c r="A755" s="5"/>
      <c r="B755" s="150"/>
      <c r="C755" s="151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6"/>
      <c r="AQ755" s="5"/>
      <c r="AR755" s="7"/>
      <c r="AT755" s="5"/>
      <c r="AU755" s="5"/>
      <c r="AV755" s="5"/>
      <c r="AW755" s="5"/>
      <c r="AX755" s="5"/>
      <c r="AY755" s="5"/>
      <c r="AZ755" s="5"/>
      <c r="BF755" s="96"/>
      <c r="BG755" s="96"/>
      <c r="BH755" s="96"/>
      <c r="BI755" s="96"/>
      <c r="BJ755" s="96"/>
      <c r="BK755" s="5"/>
      <c r="BL755" s="5"/>
      <c r="BM755" s="5"/>
      <c r="BN755" s="5"/>
      <c r="BO755" s="5"/>
      <c r="BP755" s="5"/>
    </row>
    <row r="756">
      <c r="A756" s="5"/>
      <c r="B756" s="150"/>
      <c r="C756" s="151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6"/>
      <c r="AQ756" s="5"/>
      <c r="AR756" s="7"/>
      <c r="AT756" s="5"/>
      <c r="AU756" s="5"/>
      <c r="AV756" s="5"/>
      <c r="AW756" s="5"/>
      <c r="AX756" s="5"/>
      <c r="AY756" s="5"/>
      <c r="AZ756" s="5"/>
      <c r="BF756" s="96"/>
      <c r="BG756" s="96"/>
      <c r="BH756" s="96"/>
      <c r="BI756" s="96"/>
      <c r="BJ756" s="96"/>
      <c r="BK756" s="5"/>
      <c r="BL756" s="5"/>
      <c r="BM756" s="5"/>
      <c r="BN756" s="5"/>
      <c r="BO756" s="5"/>
      <c r="BP756" s="5"/>
    </row>
    <row r="757">
      <c r="A757" s="5"/>
      <c r="B757" s="150"/>
      <c r="C757" s="151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6"/>
      <c r="AQ757" s="5"/>
      <c r="AR757" s="7"/>
      <c r="AT757" s="5"/>
      <c r="AU757" s="5"/>
      <c r="AV757" s="5"/>
      <c r="AW757" s="5"/>
      <c r="AX757" s="5"/>
      <c r="AY757" s="5"/>
      <c r="AZ757" s="5"/>
      <c r="BF757" s="96"/>
      <c r="BG757" s="96"/>
      <c r="BH757" s="96"/>
      <c r="BI757" s="96"/>
      <c r="BJ757" s="96"/>
      <c r="BK757" s="5"/>
      <c r="BL757" s="5"/>
      <c r="BM757" s="5"/>
      <c r="BN757" s="5"/>
      <c r="BO757" s="5"/>
      <c r="BP757" s="5"/>
    </row>
    <row r="758">
      <c r="A758" s="5"/>
      <c r="B758" s="150"/>
      <c r="C758" s="151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6"/>
      <c r="AQ758" s="5"/>
      <c r="AR758" s="7"/>
      <c r="AT758" s="5"/>
      <c r="AU758" s="5"/>
      <c r="AV758" s="5"/>
      <c r="AW758" s="5"/>
      <c r="AX758" s="5"/>
      <c r="AY758" s="5"/>
      <c r="AZ758" s="5"/>
      <c r="BF758" s="96"/>
      <c r="BG758" s="96"/>
      <c r="BH758" s="96"/>
      <c r="BI758" s="96"/>
      <c r="BJ758" s="96"/>
      <c r="BK758" s="5"/>
      <c r="BL758" s="5"/>
      <c r="BM758" s="5"/>
      <c r="BN758" s="5"/>
      <c r="BO758" s="5"/>
      <c r="BP758" s="5"/>
    </row>
    <row r="759">
      <c r="A759" s="5"/>
      <c r="B759" s="150"/>
      <c r="C759" s="151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6"/>
      <c r="AQ759" s="5"/>
      <c r="AR759" s="7"/>
      <c r="AT759" s="5"/>
      <c r="AU759" s="5"/>
      <c r="AV759" s="5"/>
      <c r="AW759" s="5"/>
      <c r="AX759" s="5"/>
      <c r="AY759" s="5"/>
      <c r="AZ759" s="5"/>
      <c r="BF759" s="96"/>
      <c r="BG759" s="96"/>
      <c r="BH759" s="96"/>
      <c r="BI759" s="96"/>
      <c r="BJ759" s="96"/>
      <c r="BK759" s="5"/>
      <c r="BL759" s="5"/>
      <c r="BM759" s="5"/>
      <c r="BN759" s="5"/>
      <c r="BO759" s="5"/>
      <c r="BP759" s="5"/>
    </row>
    <row r="760">
      <c r="A760" s="5"/>
      <c r="B760" s="150"/>
      <c r="C760" s="151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6"/>
      <c r="AQ760" s="5"/>
      <c r="AR760" s="7"/>
      <c r="AT760" s="5"/>
      <c r="AU760" s="5"/>
      <c r="AV760" s="5"/>
      <c r="AW760" s="5"/>
      <c r="AX760" s="5"/>
      <c r="AY760" s="5"/>
      <c r="AZ760" s="5"/>
      <c r="BF760" s="96"/>
      <c r="BG760" s="96"/>
      <c r="BH760" s="96"/>
      <c r="BI760" s="96"/>
      <c r="BJ760" s="96"/>
      <c r="BK760" s="5"/>
      <c r="BL760" s="5"/>
      <c r="BM760" s="5"/>
      <c r="BN760" s="5"/>
      <c r="BO760" s="5"/>
      <c r="BP760" s="5"/>
    </row>
    <row r="761">
      <c r="A761" s="5"/>
      <c r="B761" s="150"/>
      <c r="C761" s="151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6"/>
      <c r="AQ761" s="5"/>
      <c r="AR761" s="7"/>
      <c r="AT761" s="5"/>
      <c r="AU761" s="5"/>
      <c r="AV761" s="5"/>
      <c r="AW761" s="5"/>
      <c r="AX761" s="5"/>
      <c r="AY761" s="5"/>
      <c r="AZ761" s="5"/>
      <c r="BF761" s="96"/>
      <c r="BG761" s="96"/>
      <c r="BH761" s="96"/>
      <c r="BI761" s="96"/>
      <c r="BJ761" s="96"/>
      <c r="BK761" s="5"/>
      <c r="BL761" s="5"/>
      <c r="BM761" s="5"/>
      <c r="BN761" s="5"/>
      <c r="BO761" s="5"/>
      <c r="BP761" s="5"/>
    </row>
    <row r="762">
      <c r="A762" s="5"/>
      <c r="B762" s="150"/>
      <c r="C762" s="151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6"/>
      <c r="AQ762" s="5"/>
      <c r="AR762" s="7"/>
      <c r="AT762" s="5"/>
      <c r="AU762" s="5"/>
      <c r="AV762" s="5"/>
      <c r="AW762" s="5"/>
      <c r="AX762" s="5"/>
      <c r="AY762" s="5"/>
      <c r="AZ762" s="5"/>
      <c r="BF762" s="96"/>
      <c r="BG762" s="96"/>
      <c r="BH762" s="96"/>
      <c r="BI762" s="96"/>
      <c r="BJ762" s="96"/>
      <c r="BK762" s="5"/>
      <c r="BL762" s="5"/>
      <c r="BM762" s="5"/>
      <c r="BN762" s="5"/>
      <c r="BO762" s="5"/>
      <c r="BP762" s="5"/>
    </row>
    <row r="763">
      <c r="A763" s="5"/>
      <c r="B763" s="150"/>
      <c r="C763" s="151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6"/>
      <c r="AQ763" s="5"/>
      <c r="AR763" s="7"/>
      <c r="AT763" s="5"/>
      <c r="AU763" s="5"/>
      <c r="AV763" s="5"/>
      <c r="AW763" s="5"/>
      <c r="AX763" s="5"/>
      <c r="AY763" s="5"/>
      <c r="AZ763" s="5"/>
      <c r="BF763" s="96"/>
      <c r="BG763" s="96"/>
      <c r="BH763" s="96"/>
      <c r="BI763" s="96"/>
      <c r="BJ763" s="96"/>
      <c r="BK763" s="5"/>
      <c r="BL763" s="5"/>
      <c r="BM763" s="5"/>
      <c r="BN763" s="5"/>
      <c r="BO763" s="5"/>
      <c r="BP763" s="5"/>
    </row>
    <row r="764">
      <c r="A764" s="5"/>
      <c r="B764" s="150"/>
      <c r="C764" s="151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6"/>
      <c r="AQ764" s="5"/>
      <c r="AR764" s="7"/>
      <c r="AT764" s="5"/>
      <c r="AU764" s="5"/>
      <c r="AV764" s="5"/>
      <c r="AW764" s="5"/>
      <c r="AX764" s="5"/>
      <c r="AY764" s="5"/>
      <c r="AZ764" s="5"/>
      <c r="BF764" s="96"/>
      <c r="BG764" s="96"/>
      <c r="BH764" s="96"/>
      <c r="BI764" s="96"/>
      <c r="BJ764" s="96"/>
      <c r="BK764" s="5"/>
      <c r="BL764" s="5"/>
      <c r="BM764" s="5"/>
      <c r="BN764" s="5"/>
      <c r="BO764" s="5"/>
      <c r="BP764" s="5"/>
    </row>
    <row r="765">
      <c r="A765" s="5"/>
      <c r="B765" s="150"/>
      <c r="C765" s="151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6"/>
      <c r="AQ765" s="5"/>
      <c r="AR765" s="7"/>
      <c r="AT765" s="5"/>
      <c r="AU765" s="5"/>
      <c r="AV765" s="5"/>
      <c r="AW765" s="5"/>
      <c r="AX765" s="5"/>
      <c r="AY765" s="5"/>
      <c r="AZ765" s="5"/>
      <c r="BF765" s="96"/>
      <c r="BG765" s="96"/>
      <c r="BH765" s="96"/>
      <c r="BI765" s="96"/>
      <c r="BJ765" s="96"/>
      <c r="BK765" s="5"/>
      <c r="BL765" s="5"/>
      <c r="BM765" s="5"/>
      <c r="BN765" s="5"/>
      <c r="BO765" s="5"/>
      <c r="BP765" s="5"/>
    </row>
    <row r="766">
      <c r="A766" s="5"/>
      <c r="B766" s="150"/>
      <c r="C766" s="151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6"/>
      <c r="AQ766" s="5"/>
      <c r="AR766" s="7"/>
      <c r="AT766" s="5"/>
      <c r="AU766" s="5"/>
      <c r="AV766" s="5"/>
      <c r="AW766" s="5"/>
      <c r="AX766" s="5"/>
      <c r="AY766" s="5"/>
      <c r="AZ766" s="5"/>
      <c r="BF766" s="96"/>
      <c r="BG766" s="96"/>
      <c r="BH766" s="96"/>
      <c r="BI766" s="96"/>
      <c r="BJ766" s="96"/>
      <c r="BK766" s="5"/>
      <c r="BL766" s="5"/>
      <c r="BM766" s="5"/>
      <c r="BN766" s="5"/>
      <c r="BO766" s="5"/>
      <c r="BP766" s="5"/>
    </row>
    <row r="767">
      <c r="A767" s="5"/>
      <c r="B767" s="150"/>
      <c r="C767" s="151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6"/>
      <c r="AQ767" s="5"/>
      <c r="AR767" s="7"/>
      <c r="AT767" s="5"/>
      <c r="AU767" s="5"/>
      <c r="AV767" s="5"/>
      <c r="AW767" s="5"/>
      <c r="AX767" s="5"/>
      <c r="AY767" s="5"/>
      <c r="AZ767" s="5"/>
      <c r="BF767" s="96"/>
      <c r="BG767" s="96"/>
      <c r="BH767" s="96"/>
      <c r="BI767" s="96"/>
      <c r="BJ767" s="96"/>
      <c r="BK767" s="5"/>
      <c r="BL767" s="5"/>
      <c r="BM767" s="5"/>
      <c r="BN767" s="5"/>
      <c r="BO767" s="5"/>
      <c r="BP767" s="5"/>
    </row>
    <row r="768">
      <c r="A768" s="5"/>
      <c r="B768" s="150"/>
      <c r="C768" s="151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6"/>
      <c r="AQ768" s="5"/>
      <c r="AR768" s="7"/>
      <c r="AT768" s="5"/>
      <c r="AU768" s="5"/>
      <c r="AV768" s="5"/>
      <c r="AW768" s="5"/>
      <c r="AX768" s="5"/>
      <c r="AY768" s="5"/>
      <c r="AZ768" s="5"/>
      <c r="BF768" s="96"/>
      <c r="BG768" s="96"/>
      <c r="BH768" s="96"/>
      <c r="BI768" s="96"/>
      <c r="BJ768" s="96"/>
      <c r="BK768" s="5"/>
      <c r="BL768" s="5"/>
      <c r="BM768" s="5"/>
      <c r="BN768" s="5"/>
      <c r="BO768" s="5"/>
      <c r="BP768" s="5"/>
    </row>
    <row r="769">
      <c r="A769" s="5"/>
      <c r="B769" s="150"/>
      <c r="C769" s="151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6"/>
      <c r="AQ769" s="5"/>
      <c r="AR769" s="7"/>
      <c r="AT769" s="5"/>
      <c r="AU769" s="5"/>
      <c r="AV769" s="5"/>
      <c r="AW769" s="5"/>
      <c r="AX769" s="5"/>
      <c r="AY769" s="5"/>
      <c r="AZ769" s="5"/>
      <c r="BF769" s="96"/>
      <c r="BG769" s="96"/>
      <c r="BH769" s="96"/>
      <c r="BI769" s="96"/>
      <c r="BJ769" s="96"/>
      <c r="BK769" s="5"/>
      <c r="BL769" s="5"/>
      <c r="BM769" s="5"/>
      <c r="BN769" s="5"/>
      <c r="BO769" s="5"/>
      <c r="BP769" s="5"/>
    </row>
    <row r="770">
      <c r="A770" s="5"/>
      <c r="B770" s="150"/>
      <c r="C770" s="151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6"/>
      <c r="AQ770" s="5"/>
      <c r="AR770" s="7"/>
      <c r="AT770" s="5"/>
      <c r="AU770" s="5"/>
      <c r="AV770" s="5"/>
      <c r="AW770" s="5"/>
      <c r="AX770" s="5"/>
      <c r="AY770" s="5"/>
      <c r="AZ770" s="5"/>
      <c r="BF770" s="96"/>
      <c r="BG770" s="96"/>
      <c r="BH770" s="96"/>
      <c r="BI770" s="96"/>
      <c r="BJ770" s="96"/>
      <c r="BK770" s="5"/>
      <c r="BL770" s="5"/>
      <c r="BM770" s="5"/>
      <c r="BN770" s="5"/>
      <c r="BO770" s="5"/>
      <c r="BP770" s="5"/>
    </row>
    <row r="771">
      <c r="A771" s="5"/>
      <c r="B771" s="150"/>
      <c r="C771" s="151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6"/>
      <c r="AQ771" s="5"/>
      <c r="AR771" s="7"/>
      <c r="AT771" s="5"/>
      <c r="AU771" s="5"/>
      <c r="AV771" s="5"/>
      <c r="AW771" s="5"/>
      <c r="AX771" s="5"/>
      <c r="AY771" s="5"/>
      <c r="AZ771" s="5"/>
      <c r="BF771" s="96"/>
      <c r="BG771" s="96"/>
      <c r="BH771" s="96"/>
      <c r="BI771" s="96"/>
      <c r="BJ771" s="96"/>
      <c r="BK771" s="5"/>
      <c r="BL771" s="5"/>
      <c r="BM771" s="5"/>
      <c r="BN771" s="5"/>
      <c r="BO771" s="5"/>
      <c r="BP771" s="5"/>
    </row>
    <row r="772">
      <c r="A772" s="5"/>
      <c r="B772" s="150"/>
      <c r="C772" s="151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6"/>
      <c r="AQ772" s="5"/>
      <c r="AR772" s="7"/>
      <c r="AT772" s="5"/>
      <c r="AU772" s="5"/>
      <c r="AV772" s="5"/>
      <c r="AW772" s="5"/>
      <c r="AX772" s="5"/>
      <c r="AY772" s="5"/>
      <c r="AZ772" s="5"/>
      <c r="BF772" s="96"/>
      <c r="BG772" s="96"/>
      <c r="BH772" s="96"/>
      <c r="BI772" s="96"/>
      <c r="BJ772" s="96"/>
      <c r="BK772" s="5"/>
      <c r="BL772" s="5"/>
      <c r="BM772" s="5"/>
      <c r="BN772" s="5"/>
      <c r="BO772" s="5"/>
      <c r="BP772" s="5"/>
    </row>
    <row r="773">
      <c r="A773" s="5"/>
      <c r="B773" s="150"/>
      <c r="C773" s="151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6"/>
      <c r="AQ773" s="5"/>
      <c r="AR773" s="7"/>
      <c r="AT773" s="5"/>
      <c r="AU773" s="5"/>
      <c r="AV773" s="5"/>
      <c r="AW773" s="5"/>
      <c r="AX773" s="5"/>
      <c r="AY773" s="5"/>
      <c r="AZ773" s="5"/>
      <c r="BF773" s="96"/>
      <c r="BG773" s="96"/>
      <c r="BH773" s="96"/>
      <c r="BI773" s="96"/>
      <c r="BJ773" s="96"/>
      <c r="BK773" s="5"/>
      <c r="BL773" s="5"/>
      <c r="BM773" s="5"/>
      <c r="BN773" s="5"/>
      <c r="BO773" s="5"/>
      <c r="BP773" s="5"/>
    </row>
    <row r="774">
      <c r="A774" s="5"/>
      <c r="B774" s="150"/>
      <c r="C774" s="151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6"/>
      <c r="AQ774" s="5"/>
      <c r="AR774" s="7"/>
      <c r="AT774" s="5"/>
      <c r="AU774" s="5"/>
      <c r="AV774" s="5"/>
      <c r="AW774" s="5"/>
      <c r="AX774" s="5"/>
      <c r="AY774" s="5"/>
      <c r="AZ774" s="5"/>
      <c r="BF774" s="96"/>
      <c r="BG774" s="96"/>
      <c r="BH774" s="96"/>
      <c r="BI774" s="96"/>
      <c r="BJ774" s="96"/>
      <c r="BK774" s="5"/>
      <c r="BL774" s="5"/>
      <c r="BM774" s="5"/>
      <c r="BN774" s="5"/>
      <c r="BO774" s="5"/>
      <c r="BP774" s="5"/>
    </row>
    <row r="775">
      <c r="A775" s="5"/>
      <c r="B775" s="150"/>
      <c r="C775" s="151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6"/>
      <c r="AQ775" s="5"/>
      <c r="AR775" s="7"/>
      <c r="AT775" s="5"/>
      <c r="AU775" s="5"/>
      <c r="AV775" s="5"/>
      <c r="AW775" s="5"/>
      <c r="AX775" s="5"/>
      <c r="AY775" s="5"/>
      <c r="AZ775" s="5"/>
      <c r="BF775" s="96"/>
      <c r="BG775" s="96"/>
      <c r="BH775" s="96"/>
      <c r="BI775" s="96"/>
      <c r="BJ775" s="96"/>
      <c r="BK775" s="5"/>
      <c r="BL775" s="5"/>
      <c r="BM775" s="5"/>
      <c r="BN775" s="5"/>
      <c r="BO775" s="5"/>
      <c r="BP775" s="5"/>
    </row>
    <row r="776">
      <c r="A776" s="5"/>
      <c r="B776" s="150"/>
      <c r="C776" s="151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6"/>
      <c r="AQ776" s="5"/>
      <c r="AR776" s="7"/>
      <c r="AT776" s="5"/>
      <c r="AU776" s="5"/>
      <c r="AV776" s="5"/>
      <c r="AW776" s="5"/>
      <c r="AX776" s="5"/>
      <c r="AY776" s="5"/>
      <c r="AZ776" s="5"/>
      <c r="BF776" s="96"/>
      <c r="BG776" s="96"/>
      <c r="BH776" s="96"/>
      <c r="BI776" s="96"/>
      <c r="BJ776" s="96"/>
      <c r="BK776" s="5"/>
      <c r="BL776" s="5"/>
      <c r="BM776" s="5"/>
      <c r="BN776" s="5"/>
      <c r="BO776" s="5"/>
      <c r="BP776" s="5"/>
    </row>
    <row r="777">
      <c r="A777" s="5"/>
      <c r="B777" s="150"/>
      <c r="C777" s="151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6"/>
      <c r="AQ777" s="5"/>
      <c r="AR777" s="7"/>
      <c r="AT777" s="5"/>
      <c r="AU777" s="5"/>
      <c r="AV777" s="5"/>
      <c r="AW777" s="5"/>
      <c r="AX777" s="5"/>
      <c r="AY777" s="5"/>
      <c r="AZ777" s="5"/>
      <c r="BF777" s="96"/>
      <c r="BG777" s="96"/>
      <c r="BH777" s="96"/>
      <c r="BI777" s="96"/>
      <c r="BJ777" s="96"/>
      <c r="BK777" s="5"/>
      <c r="BL777" s="5"/>
      <c r="BM777" s="5"/>
      <c r="BN777" s="5"/>
      <c r="BO777" s="5"/>
      <c r="BP777" s="5"/>
    </row>
    <row r="778">
      <c r="A778" s="5"/>
      <c r="B778" s="150"/>
      <c r="C778" s="151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6"/>
      <c r="AQ778" s="5"/>
      <c r="AR778" s="7"/>
      <c r="AT778" s="5"/>
      <c r="AU778" s="5"/>
      <c r="AV778" s="5"/>
      <c r="AW778" s="5"/>
      <c r="AX778" s="5"/>
      <c r="AY778" s="5"/>
      <c r="AZ778" s="5"/>
      <c r="BF778" s="96"/>
      <c r="BG778" s="96"/>
      <c r="BH778" s="96"/>
      <c r="BI778" s="96"/>
      <c r="BJ778" s="96"/>
      <c r="BK778" s="5"/>
      <c r="BL778" s="5"/>
      <c r="BM778" s="5"/>
      <c r="BN778" s="5"/>
      <c r="BO778" s="5"/>
      <c r="BP778" s="5"/>
    </row>
    <row r="779">
      <c r="A779" s="5"/>
      <c r="B779" s="150"/>
      <c r="C779" s="151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6"/>
      <c r="AQ779" s="5"/>
      <c r="AR779" s="7"/>
      <c r="AT779" s="5"/>
      <c r="AU779" s="5"/>
      <c r="AV779" s="5"/>
      <c r="AW779" s="5"/>
      <c r="AX779" s="5"/>
      <c r="AY779" s="5"/>
      <c r="AZ779" s="5"/>
      <c r="BF779" s="96"/>
      <c r="BG779" s="96"/>
      <c r="BH779" s="96"/>
      <c r="BI779" s="96"/>
      <c r="BJ779" s="96"/>
      <c r="BK779" s="5"/>
      <c r="BL779" s="5"/>
      <c r="BM779" s="5"/>
      <c r="BN779" s="5"/>
      <c r="BO779" s="5"/>
      <c r="BP779" s="5"/>
    </row>
    <row r="780">
      <c r="A780" s="5"/>
      <c r="B780" s="150"/>
      <c r="C780" s="151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6"/>
      <c r="AQ780" s="5"/>
      <c r="AR780" s="7"/>
      <c r="AT780" s="5"/>
      <c r="AU780" s="5"/>
      <c r="AV780" s="5"/>
      <c r="AW780" s="5"/>
      <c r="AX780" s="5"/>
      <c r="AY780" s="5"/>
      <c r="AZ780" s="5"/>
      <c r="BF780" s="96"/>
      <c r="BG780" s="96"/>
      <c r="BH780" s="96"/>
      <c r="BI780" s="96"/>
      <c r="BJ780" s="96"/>
      <c r="BK780" s="5"/>
      <c r="BL780" s="5"/>
      <c r="BM780" s="5"/>
      <c r="BN780" s="5"/>
      <c r="BO780" s="5"/>
      <c r="BP780" s="5"/>
    </row>
    <row r="781">
      <c r="A781" s="5"/>
      <c r="B781" s="150"/>
      <c r="C781" s="151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6"/>
      <c r="AQ781" s="5"/>
      <c r="AR781" s="7"/>
      <c r="AT781" s="5"/>
      <c r="AU781" s="5"/>
      <c r="AV781" s="5"/>
      <c r="AW781" s="5"/>
      <c r="AX781" s="5"/>
      <c r="AY781" s="5"/>
      <c r="AZ781" s="5"/>
      <c r="BF781" s="96"/>
      <c r="BG781" s="96"/>
      <c r="BH781" s="96"/>
      <c r="BI781" s="96"/>
      <c r="BJ781" s="96"/>
      <c r="BK781" s="5"/>
      <c r="BL781" s="5"/>
      <c r="BM781" s="5"/>
      <c r="BN781" s="5"/>
      <c r="BO781" s="5"/>
      <c r="BP781" s="5"/>
    </row>
    <row r="782">
      <c r="A782" s="5"/>
      <c r="B782" s="150"/>
      <c r="C782" s="151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6"/>
      <c r="AQ782" s="5"/>
      <c r="AR782" s="7"/>
      <c r="AT782" s="5"/>
      <c r="AU782" s="5"/>
      <c r="AV782" s="5"/>
      <c r="AW782" s="5"/>
      <c r="AX782" s="5"/>
      <c r="AY782" s="5"/>
      <c r="AZ782" s="5"/>
      <c r="BF782" s="96"/>
      <c r="BG782" s="96"/>
      <c r="BH782" s="96"/>
      <c r="BI782" s="96"/>
      <c r="BJ782" s="96"/>
      <c r="BK782" s="5"/>
      <c r="BL782" s="5"/>
      <c r="BM782" s="5"/>
      <c r="BN782" s="5"/>
      <c r="BO782" s="5"/>
      <c r="BP782" s="5"/>
    </row>
    <row r="783">
      <c r="A783" s="5"/>
      <c r="B783" s="150"/>
      <c r="C783" s="151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6"/>
      <c r="AQ783" s="5"/>
      <c r="AR783" s="7"/>
      <c r="AT783" s="5"/>
      <c r="AU783" s="5"/>
      <c r="AV783" s="5"/>
      <c r="AW783" s="5"/>
      <c r="AX783" s="5"/>
      <c r="AY783" s="5"/>
      <c r="AZ783" s="5"/>
      <c r="BF783" s="96"/>
      <c r="BG783" s="96"/>
      <c r="BH783" s="96"/>
      <c r="BI783" s="96"/>
      <c r="BJ783" s="96"/>
      <c r="BK783" s="5"/>
      <c r="BL783" s="5"/>
      <c r="BM783" s="5"/>
      <c r="BN783" s="5"/>
      <c r="BO783" s="5"/>
      <c r="BP783" s="5"/>
    </row>
    <row r="784">
      <c r="A784" s="5"/>
      <c r="B784" s="150"/>
      <c r="C784" s="151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6"/>
      <c r="AQ784" s="5"/>
      <c r="AR784" s="7"/>
      <c r="AT784" s="5"/>
      <c r="AU784" s="5"/>
      <c r="AV784" s="5"/>
      <c r="AW784" s="5"/>
      <c r="AX784" s="5"/>
      <c r="AY784" s="5"/>
      <c r="AZ784" s="5"/>
      <c r="BF784" s="96"/>
      <c r="BG784" s="96"/>
      <c r="BH784" s="96"/>
      <c r="BI784" s="96"/>
      <c r="BJ784" s="96"/>
      <c r="BK784" s="5"/>
      <c r="BL784" s="5"/>
      <c r="BM784" s="5"/>
      <c r="BN784" s="5"/>
      <c r="BO784" s="5"/>
      <c r="BP784" s="5"/>
    </row>
    <row r="785">
      <c r="A785" s="5"/>
      <c r="B785" s="150"/>
      <c r="C785" s="151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6"/>
      <c r="AQ785" s="5"/>
      <c r="AR785" s="7"/>
      <c r="AT785" s="5"/>
      <c r="AU785" s="5"/>
      <c r="AV785" s="5"/>
      <c r="AW785" s="5"/>
      <c r="AX785" s="5"/>
      <c r="AY785" s="5"/>
      <c r="AZ785" s="5"/>
      <c r="BF785" s="96"/>
      <c r="BG785" s="96"/>
      <c r="BH785" s="96"/>
      <c r="BI785" s="96"/>
      <c r="BJ785" s="96"/>
      <c r="BK785" s="5"/>
      <c r="BL785" s="5"/>
      <c r="BM785" s="5"/>
      <c r="BN785" s="5"/>
      <c r="BO785" s="5"/>
      <c r="BP785" s="5"/>
    </row>
    <row r="786">
      <c r="A786" s="5"/>
      <c r="B786" s="150"/>
      <c r="C786" s="151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6"/>
      <c r="AQ786" s="5"/>
      <c r="AR786" s="7"/>
      <c r="AT786" s="5"/>
      <c r="AU786" s="5"/>
      <c r="AV786" s="5"/>
      <c r="AW786" s="5"/>
      <c r="AX786" s="5"/>
      <c r="AY786" s="5"/>
      <c r="AZ786" s="5"/>
      <c r="BF786" s="96"/>
      <c r="BG786" s="96"/>
      <c r="BH786" s="96"/>
      <c r="BI786" s="96"/>
      <c r="BJ786" s="96"/>
      <c r="BK786" s="5"/>
      <c r="BL786" s="5"/>
      <c r="BM786" s="5"/>
      <c r="BN786" s="5"/>
      <c r="BO786" s="5"/>
      <c r="BP786" s="5"/>
    </row>
    <row r="787">
      <c r="A787" s="5"/>
      <c r="B787" s="150"/>
      <c r="C787" s="151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6"/>
      <c r="AQ787" s="5"/>
      <c r="AR787" s="7"/>
      <c r="AT787" s="5"/>
      <c r="AU787" s="5"/>
      <c r="AV787" s="5"/>
      <c r="AW787" s="5"/>
      <c r="AX787" s="5"/>
      <c r="AY787" s="5"/>
      <c r="AZ787" s="5"/>
      <c r="BF787" s="96"/>
      <c r="BG787" s="96"/>
      <c r="BH787" s="96"/>
      <c r="BI787" s="96"/>
      <c r="BJ787" s="96"/>
      <c r="BK787" s="5"/>
      <c r="BL787" s="5"/>
      <c r="BM787" s="5"/>
      <c r="BN787" s="5"/>
      <c r="BO787" s="5"/>
      <c r="BP787" s="5"/>
    </row>
    <row r="788">
      <c r="A788" s="5"/>
      <c r="B788" s="150"/>
      <c r="C788" s="151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6"/>
      <c r="AQ788" s="5"/>
      <c r="AR788" s="7"/>
      <c r="AT788" s="5"/>
      <c r="AU788" s="5"/>
      <c r="AV788" s="5"/>
      <c r="AW788" s="5"/>
      <c r="AX788" s="5"/>
      <c r="AY788" s="5"/>
      <c r="AZ788" s="5"/>
      <c r="BF788" s="96"/>
      <c r="BG788" s="96"/>
      <c r="BH788" s="96"/>
      <c r="BI788" s="96"/>
      <c r="BJ788" s="96"/>
      <c r="BK788" s="5"/>
      <c r="BL788" s="5"/>
      <c r="BM788" s="5"/>
      <c r="BN788" s="5"/>
      <c r="BO788" s="5"/>
      <c r="BP788" s="5"/>
    </row>
    <row r="789">
      <c r="A789" s="5"/>
      <c r="B789" s="150"/>
      <c r="C789" s="151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6"/>
      <c r="AQ789" s="5"/>
      <c r="AR789" s="7"/>
      <c r="AT789" s="5"/>
      <c r="AU789" s="5"/>
      <c r="AV789" s="5"/>
      <c r="AW789" s="5"/>
      <c r="AX789" s="5"/>
      <c r="AY789" s="5"/>
      <c r="AZ789" s="5"/>
      <c r="BF789" s="96"/>
      <c r="BG789" s="96"/>
      <c r="BH789" s="96"/>
      <c r="BI789" s="96"/>
      <c r="BJ789" s="96"/>
      <c r="BK789" s="5"/>
      <c r="BL789" s="5"/>
      <c r="BM789" s="5"/>
      <c r="BN789" s="5"/>
      <c r="BO789" s="5"/>
      <c r="BP789" s="5"/>
    </row>
    <row r="790">
      <c r="A790" s="5"/>
      <c r="B790" s="150"/>
      <c r="C790" s="151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6"/>
      <c r="AQ790" s="5"/>
      <c r="AR790" s="7"/>
      <c r="AT790" s="5"/>
      <c r="AU790" s="5"/>
      <c r="AV790" s="5"/>
      <c r="AW790" s="5"/>
      <c r="AX790" s="5"/>
      <c r="AY790" s="5"/>
      <c r="AZ790" s="5"/>
      <c r="BF790" s="96"/>
      <c r="BG790" s="96"/>
      <c r="BH790" s="96"/>
      <c r="BI790" s="96"/>
      <c r="BJ790" s="96"/>
      <c r="BK790" s="5"/>
      <c r="BL790" s="5"/>
      <c r="BM790" s="5"/>
      <c r="BN790" s="5"/>
      <c r="BO790" s="5"/>
      <c r="BP790" s="5"/>
    </row>
    <row r="791">
      <c r="A791" s="5"/>
      <c r="B791" s="150"/>
      <c r="C791" s="151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6"/>
      <c r="AQ791" s="5"/>
      <c r="AR791" s="7"/>
      <c r="AT791" s="5"/>
      <c r="AU791" s="5"/>
      <c r="AV791" s="5"/>
      <c r="AW791" s="5"/>
      <c r="AX791" s="5"/>
      <c r="AY791" s="5"/>
      <c r="AZ791" s="5"/>
      <c r="BF791" s="96"/>
      <c r="BG791" s="96"/>
      <c r="BH791" s="96"/>
      <c r="BI791" s="96"/>
      <c r="BJ791" s="96"/>
      <c r="BK791" s="5"/>
      <c r="BL791" s="5"/>
      <c r="BM791" s="5"/>
      <c r="BN791" s="5"/>
      <c r="BO791" s="5"/>
      <c r="BP791" s="5"/>
    </row>
    <row r="792">
      <c r="A792" s="5"/>
      <c r="B792" s="150"/>
      <c r="C792" s="151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6"/>
      <c r="AQ792" s="5"/>
      <c r="AR792" s="7"/>
      <c r="AT792" s="5"/>
      <c r="AU792" s="5"/>
      <c r="AV792" s="5"/>
      <c r="AW792" s="5"/>
      <c r="AX792" s="5"/>
      <c r="AY792" s="5"/>
      <c r="AZ792" s="5"/>
      <c r="BF792" s="96"/>
      <c r="BG792" s="96"/>
      <c r="BH792" s="96"/>
      <c r="BI792" s="96"/>
      <c r="BJ792" s="96"/>
      <c r="BK792" s="5"/>
      <c r="BL792" s="5"/>
      <c r="BM792" s="5"/>
      <c r="BN792" s="5"/>
      <c r="BO792" s="5"/>
      <c r="BP792" s="5"/>
    </row>
    <row r="793">
      <c r="A793" s="5"/>
      <c r="B793" s="150"/>
      <c r="C793" s="151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6"/>
      <c r="AQ793" s="5"/>
      <c r="AR793" s="7"/>
      <c r="AT793" s="5"/>
      <c r="AU793" s="5"/>
      <c r="AV793" s="5"/>
      <c r="AW793" s="5"/>
      <c r="AX793" s="5"/>
      <c r="AY793" s="5"/>
      <c r="AZ793" s="5"/>
      <c r="BF793" s="96"/>
      <c r="BG793" s="96"/>
      <c r="BH793" s="96"/>
      <c r="BI793" s="96"/>
      <c r="BJ793" s="96"/>
      <c r="BK793" s="5"/>
      <c r="BL793" s="5"/>
      <c r="BM793" s="5"/>
      <c r="BN793" s="5"/>
      <c r="BO793" s="5"/>
      <c r="BP793" s="5"/>
    </row>
    <row r="794">
      <c r="A794" s="5"/>
      <c r="B794" s="150"/>
      <c r="C794" s="151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6"/>
      <c r="AQ794" s="5"/>
      <c r="AR794" s="7"/>
      <c r="AT794" s="5"/>
      <c r="AU794" s="5"/>
      <c r="AV794" s="5"/>
      <c r="AW794" s="5"/>
      <c r="AX794" s="5"/>
      <c r="AY794" s="5"/>
      <c r="AZ794" s="5"/>
      <c r="BF794" s="96"/>
      <c r="BG794" s="96"/>
      <c r="BH794" s="96"/>
      <c r="BI794" s="96"/>
      <c r="BJ794" s="96"/>
      <c r="BK794" s="5"/>
      <c r="BL794" s="5"/>
      <c r="BM794" s="5"/>
      <c r="BN794" s="5"/>
      <c r="BO794" s="5"/>
      <c r="BP794" s="5"/>
    </row>
    <row r="795">
      <c r="A795" s="5"/>
      <c r="B795" s="150"/>
      <c r="C795" s="151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6"/>
      <c r="AQ795" s="5"/>
      <c r="AR795" s="7"/>
      <c r="AT795" s="5"/>
      <c r="AU795" s="5"/>
      <c r="AV795" s="5"/>
      <c r="AW795" s="5"/>
      <c r="AX795" s="5"/>
      <c r="AY795" s="5"/>
      <c r="AZ795" s="5"/>
      <c r="BF795" s="96"/>
      <c r="BG795" s="96"/>
      <c r="BH795" s="96"/>
      <c r="BI795" s="96"/>
      <c r="BJ795" s="96"/>
      <c r="BK795" s="5"/>
      <c r="BL795" s="5"/>
      <c r="BM795" s="5"/>
      <c r="BN795" s="5"/>
      <c r="BO795" s="5"/>
      <c r="BP795" s="5"/>
    </row>
    <row r="796">
      <c r="A796" s="5"/>
      <c r="B796" s="150"/>
      <c r="C796" s="151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6"/>
      <c r="AQ796" s="5"/>
      <c r="AR796" s="7"/>
      <c r="AT796" s="5"/>
      <c r="AU796" s="5"/>
      <c r="AV796" s="5"/>
      <c r="AW796" s="5"/>
      <c r="AX796" s="5"/>
      <c r="AY796" s="5"/>
      <c r="AZ796" s="5"/>
      <c r="BF796" s="96"/>
      <c r="BG796" s="96"/>
      <c r="BH796" s="96"/>
      <c r="BI796" s="96"/>
      <c r="BJ796" s="96"/>
      <c r="BK796" s="5"/>
      <c r="BL796" s="5"/>
      <c r="BM796" s="5"/>
      <c r="BN796" s="5"/>
      <c r="BO796" s="5"/>
      <c r="BP796" s="5"/>
    </row>
    <row r="797">
      <c r="A797" s="5"/>
      <c r="B797" s="150"/>
      <c r="C797" s="151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6"/>
      <c r="AQ797" s="5"/>
      <c r="AR797" s="7"/>
      <c r="AT797" s="5"/>
      <c r="AU797" s="5"/>
      <c r="AV797" s="5"/>
      <c r="AW797" s="5"/>
      <c r="AX797" s="5"/>
      <c r="AY797" s="5"/>
      <c r="AZ797" s="5"/>
      <c r="BF797" s="96"/>
      <c r="BG797" s="96"/>
      <c r="BH797" s="96"/>
      <c r="BI797" s="96"/>
      <c r="BJ797" s="96"/>
      <c r="BK797" s="5"/>
      <c r="BL797" s="5"/>
      <c r="BM797" s="5"/>
      <c r="BN797" s="5"/>
      <c r="BO797" s="5"/>
      <c r="BP797" s="5"/>
    </row>
    <row r="798">
      <c r="A798" s="5"/>
      <c r="B798" s="150"/>
      <c r="C798" s="151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6"/>
      <c r="AQ798" s="5"/>
      <c r="AR798" s="7"/>
      <c r="AT798" s="5"/>
      <c r="AU798" s="5"/>
      <c r="AV798" s="5"/>
      <c r="AW798" s="5"/>
      <c r="AX798" s="5"/>
      <c r="AY798" s="5"/>
      <c r="AZ798" s="5"/>
      <c r="BF798" s="96"/>
      <c r="BG798" s="96"/>
      <c r="BH798" s="96"/>
      <c r="BI798" s="96"/>
      <c r="BJ798" s="96"/>
      <c r="BK798" s="5"/>
      <c r="BL798" s="5"/>
      <c r="BM798" s="5"/>
      <c r="BN798" s="5"/>
      <c r="BO798" s="5"/>
      <c r="BP798" s="5"/>
    </row>
    <row r="799">
      <c r="A799" s="5"/>
      <c r="B799" s="150"/>
      <c r="C799" s="151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6"/>
      <c r="AQ799" s="5"/>
      <c r="AR799" s="7"/>
      <c r="AT799" s="5"/>
      <c r="AU799" s="5"/>
      <c r="AV799" s="5"/>
      <c r="AW799" s="5"/>
      <c r="AX799" s="5"/>
      <c r="AY799" s="5"/>
      <c r="AZ799" s="5"/>
      <c r="BF799" s="96"/>
      <c r="BG799" s="96"/>
      <c r="BH799" s="96"/>
      <c r="BI799" s="96"/>
      <c r="BJ799" s="96"/>
      <c r="BK799" s="5"/>
      <c r="BL799" s="5"/>
      <c r="BM799" s="5"/>
      <c r="BN799" s="5"/>
      <c r="BO799" s="5"/>
      <c r="BP799" s="5"/>
    </row>
    <row r="800">
      <c r="A800" s="5"/>
      <c r="B800" s="150"/>
      <c r="C800" s="151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6"/>
      <c r="AQ800" s="5"/>
      <c r="AR800" s="7"/>
      <c r="AT800" s="5"/>
      <c r="AU800" s="5"/>
      <c r="AV800" s="5"/>
      <c r="AW800" s="5"/>
      <c r="AX800" s="5"/>
      <c r="AY800" s="5"/>
      <c r="AZ800" s="5"/>
      <c r="BF800" s="96"/>
      <c r="BG800" s="96"/>
      <c r="BH800" s="96"/>
      <c r="BI800" s="96"/>
      <c r="BJ800" s="96"/>
      <c r="BK800" s="5"/>
      <c r="BL800" s="5"/>
      <c r="BM800" s="5"/>
      <c r="BN800" s="5"/>
      <c r="BO800" s="5"/>
      <c r="BP800" s="5"/>
    </row>
    <row r="801">
      <c r="A801" s="5"/>
      <c r="B801" s="150"/>
      <c r="C801" s="151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6"/>
      <c r="AQ801" s="5"/>
      <c r="AR801" s="7"/>
      <c r="AT801" s="5"/>
      <c r="AU801" s="5"/>
      <c r="AV801" s="5"/>
      <c r="AW801" s="5"/>
      <c r="AX801" s="5"/>
      <c r="AY801" s="5"/>
      <c r="AZ801" s="5"/>
      <c r="BF801" s="96"/>
      <c r="BG801" s="96"/>
      <c r="BH801" s="96"/>
      <c r="BI801" s="96"/>
      <c r="BJ801" s="96"/>
      <c r="BK801" s="5"/>
      <c r="BL801" s="5"/>
      <c r="BM801" s="5"/>
      <c r="BN801" s="5"/>
      <c r="BO801" s="5"/>
      <c r="BP801" s="5"/>
    </row>
    <row r="802">
      <c r="A802" s="5"/>
      <c r="B802" s="150"/>
      <c r="C802" s="151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6"/>
      <c r="AQ802" s="5"/>
      <c r="AR802" s="7"/>
      <c r="AT802" s="5"/>
      <c r="AU802" s="5"/>
      <c r="AV802" s="5"/>
      <c r="AW802" s="5"/>
      <c r="AX802" s="5"/>
      <c r="AY802" s="5"/>
      <c r="AZ802" s="5"/>
      <c r="BF802" s="96"/>
      <c r="BG802" s="96"/>
      <c r="BH802" s="96"/>
      <c r="BI802" s="96"/>
      <c r="BJ802" s="96"/>
      <c r="BK802" s="5"/>
      <c r="BL802" s="5"/>
      <c r="BM802" s="5"/>
      <c r="BN802" s="5"/>
      <c r="BO802" s="5"/>
      <c r="BP802" s="5"/>
    </row>
    <row r="803">
      <c r="A803" s="5"/>
      <c r="B803" s="150"/>
      <c r="C803" s="151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6"/>
      <c r="AQ803" s="5"/>
      <c r="AR803" s="7"/>
      <c r="AT803" s="5"/>
      <c r="AU803" s="5"/>
      <c r="AV803" s="5"/>
      <c r="AW803" s="5"/>
      <c r="AX803" s="5"/>
      <c r="AY803" s="5"/>
      <c r="AZ803" s="5"/>
      <c r="BF803" s="96"/>
      <c r="BG803" s="96"/>
      <c r="BH803" s="96"/>
      <c r="BI803" s="96"/>
      <c r="BJ803" s="96"/>
      <c r="BK803" s="5"/>
      <c r="BL803" s="5"/>
      <c r="BM803" s="5"/>
      <c r="BN803" s="5"/>
      <c r="BO803" s="5"/>
      <c r="BP803" s="5"/>
    </row>
    <row r="804">
      <c r="A804" s="5"/>
      <c r="B804" s="150"/>
      <c r="C804" s="151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6"/>
      <c r="AQ804" s="5"/>
      <c r="AR804" s="7"/>
      <c r="AT804" s="5"/>
      <c r="AU804" s="5"/>
      <c r="AV804" s="5"/>
      <c r="AW804" s="5"/>
      <c r="AX804" s="5"/>
      <c r="AY804" s="5"/>
      <c r="AZ804" s="5"/>
      <c r="BF804" s="96"/>
      <c r="BG804" s="96"/>
      <c r="BH804" s="96"/>
      <c r="BI804" s="96"/>
      <c r="BJ804" s="96"/>
      <c r="BK804" s="5"/>
      <c r="BL804" s="5"/>
      <c r="BM804" s="5"/>
      <c r="BN804" s="5"/>
      <c r="BO804" s="5"/>
      <c r="BP804" s="5"/>
    </row>
    <row r="805">
      <c r="A805" s="5"/>
      <c r="B805" s="150"/>
      <c r="C805" s="151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6"/>
      <c r="AQ805" s="5"/>
      <c r="AR805" s="7"/>
      <c r="AT805" s="5"/>
      <c r="AU805" s="5"/>
      <c r="AV805" s="5"/>
      <c r="AW805" s="5"/>
      <c r="AX805" s="5"/>
      <c r="AY805" s="5"/>
      <c r="AZ805" s="5"/>
      <c r="BF805" s="96"/>
      <c r="BG805" s="96"/>
      <c r="BH805" s="96"/>
      <c r="BI805" s="96"/>
      <c r="BJ805" s="96"/>
      <c r="BK805" s="5"/>
      <c r="BL805" s="5"/>
      <c r="BM805" s="5"/>
      <c r="BN805" s="5"/>
      <c r="BO805" s="5"/>
      <c r="BP805" s="5"/>
    </row>
    <row r="806">
      <c r="A806" s="5"/>
      <c r="B806" s="150"/>
      <c r="C806" s="151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6"/>
      <c r="AQ806" s="5"/>
      <c r="AR806" s="7"/>
      <c r="AT806" s="5"/>
      <c r="AU806" s="5"/>
      <c r="AV806" s="5"/>
      <c r="AW806" s="5"/>
      <c r="AX806" s="5"/>
      <c r="AY806" s="5"/>
      <c r="AZ806" s="5"/>
      <c r="BF806" s="96"/>
      <c r="BG806" s="96"/>
      <c r="BH806" s="96"/>
      <c r="BI806" s="96"/>
      <c r="BJ806" s="96"/>
      <c r="BK806" s="5"/>
      <c r="BL806" s="5"/>
      <c r="BM806" s="5"/>
      <c r="BN806" s="5"/>
      <c r="BO806" s="5"/>
      <c r="BP806" s="5"/>
    </row>
    <row r="807">
      <c r="A807" s="5"/>
      <c r="B807" s="150"/>
      <c r="C807" s="151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6"/>
      <c r="AQ807" s="5"/>
      <c r="AR807" s="7"/>
      <c r="AT807" s="5"/>
      <c r="AU807" s="5"/>
      <c r="AV807" s="5"/>
      <c r="AW807" s="5"/>
      <c r="AX807" s="5"/>
      <c r="AY807" s="5"/>
      <c r="AZ807" s="5"/>
      <c r="BF807" s="96"/>
      <c r="BG807" s="96"/>
      <c r="BH807" s="96"/>
      <c r="BI807" s="96"/>
      <c r="BJ807" s="96"/>
      <c r="BK807" s="5"/>
      <c r="BL807" s="5"/>
      <c r="BM807" s="5"/>
      <c r="BN807" s="5"/>
      <c r="BO807" s="5"/>
      <c r="BP807" s="5"/>
    </row>
    <row r="808">
      <c r="A808" s="5"/>
      <c r="B808" s="150"/>
      <c r="C808" s="151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6"/>
      <c r="AQ808" s="5"/>
      <c r="AR808" s="7"/>
      <c r="AT808" s="5"/>
      <c r="AU808" s="5"/>
      <c r="AV808" s="5"/>
      <c r="AW808" s="5"/>
      <c r="AX808" s="5"/>
      <c r="AY808" s="5"/>
      <c r="AZ808" s="5"/>
      <c r="BF808" s="96"/>
      <c r="BG808" s="96"/>
      <c r="BH808" s="96"/>
      <c r="BI808" s="96"/>
      <c r="BJ808" s="96"/>
      <c r="BK808" s="5"/>
      <c r="BL808" s="5"/>
      <c r="BM808" s="5"/>
      <c r="BN808" s="5"/>
      <c r="BO808" s="5"/>
      <c r="BP808" s="5"/>
    </row>
    <row r="809">
      <c r="A809" s="5"/>
      <c r="B809" s="150"/>
      <c r="C809" s="151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6"/>
      <c r="AQ809" s="5"/>
      <c r="AR809" s="7"/>
      <c r="AT809" s="5"/>
      <c r="AU809" s="5"/>
      <c r="AV809" s="5"/>
      <c r="AW809" s="5"/>
      <c r="AX809" s="5"/>
      <c r="AY809" s="5"/>
      <c r="AZ809" s="5"/>
      <c r="BF809" s="96"/>
      <c r="BG809" s="96"/>
      <c r="BH809" s="96"/>
      <c r="BI809" s="96"/>
      <c r="BJ809" s="96"/>
      <c r="BK809" s="5"/>
      <c r="BL809" s="5"/>
      <c r="BM809" s="5"/>
      <c r="BN809" s="5"/>
      <c r="BO809" s="5"/>
      <c r="BP809" s="5"/>
    </row>
    <row r="810">
      <c r="A810" s="5"/>
      <c r="B810" s="150"/>
      <c r="C810" s="151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6"/>
      <c r="AQ810" s="5"/>
      <c r="AR810" s="7"/>
      <c r="AT810" s="5"/>
      <c r="AU810" s="5"/>
      <c r="AV810" s="5"/>
      <c r="AW810" s="5"/>
      <c r="AX810" s="5"/>
      <c r="AY810" s="5"/>
      <c r="AZ810" s="5"/>
      <c r="BF810" s="96"/>
      <c r="BG810" s="96"/>
      <c r="BH810" s="96"/>
      <c r="BI810" s="96"/>
      <c r="BJ810" s="96"/>
      <c r="BK810" s="5"/>
      <c r="BL810" s="5"/>
      <c r="BM810" s="5"/>
      <c r="BN810" s="5"/>
      <c r="BO810" s="5"/>
      <c r="BP810" s="5"/>
    </row>
    <row r="811">
      <c r="A811" s="5"/>
      <c r="B811" s="150"/>
      <c r="C811" s="151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6"/>
      <c r="AQ811" s="5"/>
      <c r="AR811" s="7"/>
      <c r="AT811" s="5"/>
      <c r="AU811" s="5"/>
      <c r="AV811" s="5"/>
      <c r="AW811" s="5"/>
      <c r="AX811" s="5"/>
      <c r="AY811" s="5"/>
      <c r="AZ811" s="5"/>
      <c r="BF811" s="96"/>
      <c r="BG811" s="96"/>
      <c r="BH811" s="96"/>
      <c r="BI811" s="96"/>
      <c r="BJ811" s="96"/>
      <c r="BK811" s="5"/>
      <c r="BL811" s="5"/>
      <c r="BM811" s="5"/>
      <c r="BN811" s="5"/>
      <c r="BO811" s="5"/>
      <c r="BP811" s="5"/>
    </row>
    <row r="812">
      <c r="A812" s="5"/>
      <c r="B812" s="150"/>
      <c r="C812" s="151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6"/>
      <c r="AQ812" s="5"/>
      <c r="AR812" s="7"/>
      <c r="AT812" s="5"/>
      <c r="AU812" s="5"/>
      <c r="AV812" s="5"/>
      <c r="AW812" s="5"/>
      <c r="AX812" s="5"/>
      <c r="AY812" s="5"/>
      <c r="AZ812" s="5"/>
      <c r="BF812" s="96"/>
      <c r="BG812" s="96"/>
      <c r="BH812" s="96"/>
      <c r="BI812" s="96"/>
      <c r="BJ812" s="96"/>
      <c r="BK812" s="5"/>
      <c r="BL812" s="5"/>
      <c r="BM812" s="5"/>
      <c r="BN812" s="5"/>
      <c r="BO812" s="5"/>
      <c r="BP812" s="5"/>
    </row>
    <row r="813">
      <c r="A813" s="5"/>
      <c r="B813" s="150"/>
      <c r="C813" s="151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6"/>
      <c r="AQ813" s="5"/>
      <c r="AR813" s="7"/>
      <c r="AT813" s="5"/>
      <c r="AU813" s="5"/>
      <c r="AV813" s="5"/>
      <c r="AW813" s="5"/>
      <c r="AX813" s="5"/>
      <c r="AY813" s="5"/>
      <c r="AZ813" s="5"/>
      <c r="BF813" s="96"/>
      <c r="BG813" s="96"/>
      <c r="BH813" s="96"/>
      <c r="BI813" s="96"/>
      <c r="BJ813" s="96"/>
      <c r="BK813" s="5"/>
      <c r="BL813" s="5"/>
      <c r="BM813" s="5"/>
      <c r="BN813" s="5"/>
      <c r="BO813" s="5"/>
      <c r="BP813" s="5"/>
    </row>
    <row r="814">
      <c r="A814" s="5"/>
      <c r="B814" s="150"/>
      <c r="C814" s="151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6"/>
      <c r="AQ814" s="5"/>
      <c r="AR814" s="7"/>
      <c r="AT814" s="5"/>
      <c r="AU814" s="5"/>
      <c r="AV814" s="5"/>
      <c r="AW814" s="5"/>
      <c r="AX814" s="5"/>
      <c r="AY814" s="5"/>
      <c r="AZ814" s="5"/>
      <c r="BF814" s="96"/>
      <c r="BG814" s="96"/>
      <c r="BH814" s="96"/>
      <c r="BI814" s="96"/>
      <c r="BJ814" s="96"/>
      <c r="BK814" s="5"/>
      <c r="BL814" s="5"/>
      <c r="BM814" s="5"/>
      <c r="BN814" s="5"/>
      <c r="BO814" s="5"/>
      <c r="BP814" s="5"/>
    </row>
    <row r="815">
      <c r="A815" s="5"/>
      <c r="B815" s="150"/>
      <c r="C815" s="151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6"/>
      <c r="AQ815" s="5"/>
      <c r="AR815" s="7"/>
      <c r="AT815" s="5"/>
      <c r="AU815" s="5"/>
      <c r="AV815" s="5"/>
      <c r="AW815" s="5"/>
      <c r="AX815" s="5"/>
      <c r="AY815" s="5"/>
      <c r="AZ815" s="5"/>
      <c r="BF815" s="96"/>
      <c r="BG815" s="96"/>
      <c r="BH815" s="96"/>
      <c r="BI815" s="96"/>
      <c r="BJ815" s="96"/>
      <c r="BK815" s="5"/>
      <c r="BL815" s="5"/>
      <c r="BM815" s="5"/>
      <c r="BN815" s="5"/>
      <c r="BO815" s="5"/>
      <c r="BP815" s="5"/>
    </row>
    <row r="816">
      <c r="A816" s="5"/>
      <c r="B816" s="150"/>
      <c r="C816" s="151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6"/>
      <c r="AQ816" s="5"/>
      <c r="AR816" s="7"/>
      <c r="AT816" s="5"/>
      <c r="AU816" s="5"/>
      <c r="AV816" s="5"/>
      <c r="AW816" s="5"/>
      <c r="AX816" s="5"/>
      <c r="AY816" s="5"/>
      <c r="AZ816" s="5"/>
      <c r="BF816" s="96"/>
      <c r="BG816" s="96"/>
      <c r="BH816" s="96"/>
      <c r="BI816" s="96"/>
      <c r="BJ816" s="96"/>
      <c r="BK816" s="5"/>
      <c r="BL816" s="5"/>
      <c r="BM816" s="5"/>
      <c r="BN816" s="5"/>
      <c r="BO816" s="5"/>
      <c r="BP816" s="5"/>
    </row>
    <row r="817">
      <c r="A817" s="5"/>
      <c r="B817" s="150"/>
      <c r="C817" s="151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6"/>
      <c r="AQ817" s="5"/>
      <c r="AR817" s="7"/>
      <c r="AT817" s="5"/>
      <c r="AU817" s="5"/>
      <c r="AV817" s="5"/>
      <c r="AW817" s="5"/>
      <c r="AX817" s="5"/>
      <c r="AY817" s="5"/>
      <c r="AZ817" s="5"/>
      <c r="BF817" s="96"/>
      <c r="BG817" s="96"/>
      <c r="BH817" s="96"/>
      <c r="BI817" s="96"/>
      <c r="BJ817" s="96"/>
      <c r="BK817" s="5"/>
      <c r="BL817" s="5"/>
      <c r="BM817" s="5"/>
      <c r="BN817" s="5"/>
      <c r="BO817" s="5"/>
      <c r="BP817" s="5"/>
    </row>
    <row r="818">
      <c r="A818" s="5"/>
      <c r="B818" s="150"/>
      <c r="C818" s="151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6"/>
      <c r="AQ818" s="5"/>
      <c r="AR818" s="7"/>
      <c r="AT818" s="5"/>
      <c r="AU818" s="5"/>
      <c r="AV818" s="5"/>
      <c r="AW818" s="5"/>
      <c r="AX818" s="5"/>
      <c r="AY818" s="5"/>
      <c r="AZ818" s="5"/>
      <c r="BF818" s="96"/>
      <c r="BG818" s="96"/>
      <c r="BH818" s="96"/>
      <c r="BI818" s="96"/>
      <c r="BJ818" s="96"/>
      <c r="BK818" s="5"/>
      <c r="BL818" s="5"/>
      <c r="BM818" s="5"/>
      <c r="BN818" s="5"/>
      <c r="BO818" s="5"/>
      <c r="BP818" s="5"/>
    </row>
    <row r="819">
      <c r="A819" s="5"/>
      <c r="B819" s="150"/>
      <c r="C819" s="151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6"/>
      <c r="AQ819" s="5"/>
      <c r="AR819" s="7"/>
      <c r="AT819" s="5"/>
      <c r="AU819" s="5"/>
      <c r="AV819" s="5"/>
      <c r="AW819" s="5"/>
      <c r="AX819" s="5"/>
      <c r="AY819" s="5"/>
      <c r="AZ819" s="5"/>
      <c r="BF819" s="96"/>
      <c r="BG819" s="96"/>
      <c r="BH819" s="96"/>
      <c r="BI819" s="96"/>
      <c r="BJ819" s="96"/>
      <c r="BK819" s="5"/>
      <c r="BL819" s="5"/>
      <c r="BM819" s="5"/>
      <c r="BN819" s="5"/>
      <c r="BO819" s="5"/>
      <c r="BP819" s="5"/>
    </row>
    <row r="820">
      <c r="A820" s="5"/>
      <c r="B820" s="150"/>
      <c r="C820" s="151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6"/>
      <c r="AQ820" s="5"/>
      <c r="AR820" s="7"/>
      <c r="AT820" s="5"/>
      <c r="AU820" s="5"/>
      <c r="AV820" s="5"/>
      <c r="AW820" s="5"/>
      <c r="AX820" s="5"/>
      <c r="AY820" s="5"/>
      <c r="AZ820" s="5"/>
      <c r="BF820" s="96"/>
      <c r="BG820" s="96"/>
      <c r="BH820" s="96"/>
      <c r="BI820" s="96"/>
      <c r="BJ820" s="96"/>
      <c r="BK820" s="5"/>
      <c r="BL820" s="5"/>
      <c r="BM820" s="5"/>
      <c r="BN820" s="5"/>
      <c r="BO820" s="5"/>
      <c r="BP820" s="5"/>
    </row>
    <row r="821">
      <c r="A821" s="5"/>
      <c r="B821" s="150"/>
      <c r="C821" s="151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6"/>
      <c r="AQ821" s="5"/>
      <c r="AR821" s="7"/>
      <c r="AT821" s="5"/>
      <c r="AU821" s="5"/>
      <c r="AV821" s="5"/>
      <c r="AW821" s="5"/>
      <c r="AX821" s="5"/>
      <c r="AY821" s="5"/>
      <c r="AZ821" s="5"/>
      <c r="BF821" s="96"/>
      <c r="BG821" s="96"/>
      <c r="BH821" s="96"/>
      <c r="BI821" s="96"/>
      <c r="BJ821" s="96"/>
      <c r="BK821" s="5"/>
      <c r="BL821" s="5"/>
      <c r="BM821" s="5"/>
      <c r="BN821" s="5"/>
      <c r="BO821" s="5"/>
      <c r="BP821" s="5"/>
    </row>
    <row r="822">
      <c r="A822" s="5"/>
      <c r="B822" s="150"/>
      <c r="C822" s="151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6"/>
      <c r="AQ822" s="5"/>
      <c r="AR822" s="7"/>
      <c r="AT822" s="5"/>
      <c r="AU822" s="5"/>
      <c r="AV822" s="5"/>
      <c r="AW822" s="5"/>
      <c r="AX822" s="5"/>
      <c r="AY822" s="5"/>
      <c r="AZ822" s="5"/>
      <c r="BF822" s="96"/>
      <c r="BG822" s="96"/>
      <c r="BH822" s="96"/>
      <c r="BI822" s="96"/>
      <c r="BJ822" s="96"/>
      <c r="BK822" s="5"/>
      <c r="BL822" s="5"/>
      <c r="BM822" s="5"/>
      <c r="BN822" s="5"/>
      <c r="BO822" s="5"/>
      <c r="BP822" s="5"/>
    </row>
    <row r="823">
      <c r="A823" s="5"/>
      <c r="B823" s="150"/>
      <c r="C823" s="151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6"/>
      <c r="AQ823" s="5"/>
      <c r="AR823" s="7"/>
      <c r="AT823" s="5"/>
      <c r="AU823" s="5"/>
      <c r="AV823" s="5"/>
      <c r="AW823" s="5"/>
      <c r="AX823" s="5"/>
      <c r="AY823" s="5"/>
      <c r="AZ823" s="5"/>
      <c r="BF823" s="96"/>
      <c r="BG823" s="96"/>
      <c r="BH823" s="96"/>
      <c r="BI823" s="96"/>
      <c r="BJ823" s="96"/>
      <c r="BK823" s="5"/>
      <c r="BL823" s="5"/>
      <c r="BM823" s="5"/>
      <c r="BN823" s="5"/>
      <c r="BO823" s="5"/>
      <c r="BP823" s="5"/>
    </row>
    <row r="824">
      <c r="A824" s="5"/>
      <c r="B824" s="150"/>
      <c r="C824" s="151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6"/>
      <c r="AQ824" s="5"/>
      <c r="AR824" s="7"/>
      <c r="AT824" s="5"/>
      <c r="AU824" s="5"/>
      <c r="AV824" s="5"/>
      <c r="AW824" s="5"/>
      <c r="AX824" s="5"/>
      <c r="AY824" s="5"/>
      <c r="AZ824" s="5"/>
      <c r="BF824" s="96"/>
      <c r="BG824" s="96"/>
      <c r="BH824" s="96"/>
      <c r="BI824" s="96"/>
      <c r="BJ824" s="96"/>
      <c r="BK824" s="5"/>
      <c r="BL824" s="5"/>
      <c r="BM824" s="5"/>
      <c r="BN824" s="5"/>
      <c r="BO824" s="5"/>
      <c r="BP824" s="5"/>
    </row>
    <row r="825">
      <c r="A825" s="5"/>
      <c r="B825" s="150"/>
      <c r="C825" s="151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6"/>
      <c r="AQ825" s="5"/>
      <c r="AR825" s="7"/>
      <c r="AT825" s="5"/>
      <c r="AU825" s="5"/>
      <c r="AV825" s="5"/>
      <c r="AW825" s="5"/>
      <c r="AX825" s="5"/>
      <c r="AY825" s="5"/>
      <c r="AZ825" s="5"/>
      <c r="BF825" s="96"/>
      <c r="BG825" s="96"/>
      <c r="BH825" s="96"/>
      <c r="BI825" s="96"/>
      <c r="BJ825" s="96"/>
      <c r="BK825" s="5"/>
      <c r="BL825" s="5"/>
      <c r="BM825" s="5"/>
      <c r="BN825" s="5"/>
      <c r="BO825" s="5"/>
      <c r="BP825" s="5"/>
    </row>
    <row r="826">
      <c r="A826" s="5"/>
      <c r="B826" s="150"/>
      <c r="C826" s="151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6"/>
      <c r="AQ826" s="5"/>
      <c r="AR826" s="7"/>
      <c r="AT826" s="5"/>
      <c r="AU826" s="5"/>
      <c r="AV826" s="5"/>
      <c r="AW826" s="5"/>
      <c r="AX826" s="5"/>
      <c r="AY826" s="5"/>
      <c r="AZ826" s="5"/>
      <c r="BF826" s="96"/>
      <c r="BG826" s="96"/>
      <c r="BH826" s="96"/>
      <c r="BI826" s="96"/>
      <c r="BJ826" s="96"/>
      <c r="BK826" s="5"/>
      <c r="BL826" s="5"/>
      <c r="BM826" s="5"/>
      <c r="BN826" s="5"/>
      <c r="BO826" s="5"/>
      <c r="BP826" s="5"/>
    </row>
    <row r="827">
      <c r="A827" s="5"/>
      <c r="B827" s="150"/>
      <c r="C827" s="151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6"/>
      <c r="AQ827" s="5"/>
      <c r="AR827" s="7"/>
      <c r="AT827" s="5"/>
      <c r="AU827" s="5"/>
      <c r="AV827" s="5"/>
      <c r="AW827" s="5"/>
      <c r="AX827" s="5"/>
      <c r="AY827" s="5"/>
      <c r="AZ827" s="5"/>
      <c r="BF827" s="96"/>
      <c r="BG827" s="96"/>
      <c r="BH827" s="96"/>
      <c r="BI827" s="96"/>
      <c r="BJ827" s="96"/>
      <c r="BK827" s="5"/>
      <c r="BL827" s="5"/>
      <c r="BM827" s="5"/>
      <c r="BN827" s="5"/>
      <c r="BO827" s="5"/>
      <c r="BP827" s="5"/>
    </row>
    <row r="828">
      <c r="A828" s="5"/>
      <c r="B828" s="150"/>
      <c r="C828" s="151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6"/>
      <c r="AQ828" s="5"/>
      <c r="AR828" s="7"/>
      <c r="AT828" s="5"/>
      <c r="AU828" s="5"/>
      <c r="AV828" s="5"/>
      <c r="AW828" s="5"/>
      <c r="AX828" s="5"/>
      <c r="AY828" s="5"/>
      <c r="AZ828" s="5"/>
      <c r="BF828" s="96"/>
      <c r="BG828" s="96"/>
      <c r="BH828" s="96"/>
      <c r="BI828" s="96"/>
      <c r="BJ828" s="96"/>
      <c r="BK828" s="5"/>
      <c r="BL828" s="5"/>
      <c r="BM828" s="5"/>
      <c r="BN828" s="5"/>
      <c r="BO828" s="5"/>
      <c r="BP828" s="5"/>
    </row>
    <row r="829">
      <c r="A829" s="5"/>
      <c r="B829" s="150"/>
      <c r="C829" s="151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6"/>
      <c r="AQ829" s="5"/>
      <c r="AR829" s="7"/>
      <c r="AT829" s="5"/>
      <c r="AU829" s="5"/>
      <c r="AV829" s="5"/>
      <c r="AW829" s="5"/>
      <c r="AX829" s="5"/>
      <c r="AY829" s="5"/>
      <c r="AZ829" s="5"/>
      <c r="BF829" s="96"/>
      <c r="BG829" s="96"/>
      <c r="BH829" s="96"/>
      <c r="BI829" s="96"/>
      <c r="BJ829" s="96"/>
      <c r="BK829" s="5"/>
      <c r="BL829" s="5"/>
      <c r="BM829" s="5"/>
      <c r="BN829" s="5"/>
      <c r="BO829" s="5"/>
      <c r="BP829" s="5"/>
    </row>
    <row r="830">
      <c r="A830" s="5"/>
      <c r="B830" s="150"/>
      <c r="C830" s="151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6"/>
      <c r="AQ830" s="5"/>
      <c r="AR830" s="7"/>
      <c r="AT830" s="5"/>
      <c r="AU830" s="5"/>
      <c r="AV830" s="5"/>
      <c r="AW830" s="5"/>
      <c r="AX830" s="5"/>
      <c r="AY830" s="5"/>
      <c r="AZ830" s="5"/>
      <c r="BF830" s="96"/>
      <c r="BG830" s="96"/>
      <c r="BH830" s="96"/>
      <c r="BI830" s="96"/>
      <c r="BJ830" s="96"/>
      <c r="BK830" s="5"/>
      <c r="BL830" s="5"/>
      <c r="BM830" s="5"/>
      <c r="BN830" s="5"/>
      <c r="BO830" s="5"/>
      <c r="BP830" s="5"/>
    </row>
    <row r="831">
      <c r="A831" s="5"/>
      <c r="B831" s="150"/>
      <c r="C831" s="151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6"/>
      <c r="AQ831" s="5"/>
      <c r="AR831" s="7"/>
      <c r="AT831" s="5"/>
      <c r="AU831" s="5"/>
      <c r="AV831" s="5"/>
      <c r="AW831" s="5"/>
      <c r="AX831" s="5"/>
      <c r="AY831" s="5"/>
      <c r="AZ831" s="5"/>
      <c r="BF831" s="96"/>
      <c r="BG831" s="96"/>
      <c r="BH831" s="96"/>
      <c r="BI831" s="96"/>
      <c r="BJ831" s="96"/>
      <c r="BK831" s="5"/>
      <c r="BL831" s="5"/>
      <c r="BM831" s="5"/>
      <c r="BN831" s="5"/>
      <c r="BO831" s="5"/>
      <c r="BP831" s="5"/>
    </row>
    <row r="832">
      <c r="A832" s="5"/>
      <c r="B832" s="150"/>
      <c r="C832" s="151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6"/>
      <c r="AQ832" s="5"/>
      <c r="AR832" s="7"/>
      <c r="AT832" s="5"/>
      <c r="AU832" s="5"/>
      <c r="AV832" s="5"/>
      <c r="AW832" s="5"/>
      <c r="AX832" s="5"/>
      <c r="AY832" s="5"/>
      <c r="AZ832" s="5"/>
      <c r="BF832" s="96"/>
      <c r="BG832" s="96"/>
      <c r="BH832" s="96"/>
      <c r="BI832" s="96"/>
      <c r="BJ832" s="96"/>
      <c r="BK832" s="5"/>
      <c r="BL832" s="5"/>
      <c r="BM832" s="5"/>
      <c r="BN832" s="5"/>
      <c r="BO832" s="5"/>
      <c r="BP832" s="5"/>
    </row>
    <row r="833">
      <c r="A833" s="5"/>
      <c r="B833" s="150"/>
      <c r="C833" s="151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6"/>
      <c r="AQ833" s="5"/>
      <c r="AR833" s="7"/>
      <c r="AT833" s="5"/>
      <c r="AU833" s="5"/>
      <c r="AV833" s="5"/>
      <c r="AW833" s="5"/>
      <c r="AX833" s="5"/>
      <c r="AY833" s="5"/>
      <c r="AZ833" s="5"/>
      <c r="BF833" s="96"/>
      <c r="BG833" s="96"/>
      <c r="BH833" s="96"/>
      <c r="BI833" s="96"/>
      <c r="BJ833" s="96"/>
      <c r="BK833" s="5"/>
      <c r="BL833" s="5"/>
      <c r="BM833" s="5"/>
      <c r="BN833" s="5"/>
      <c r="BO833" s="5"/>
      <c r="BP833" s="5"/>
    </row>
    <row r="834">
      <c r="A834" s="5"/>
      <c r="B834" s="150"/>
      <c r="C834" s="151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6"/>
      <c r="AQ834" s="5"/>
      <c r="AR834" s="7"/>
      <c r="AT834" s="5"/>
      <c r="AU834" s="5"/>
      <c r="AV834" s="5"/>
      <c r="AW834" s="5"/>
      <c r="AX834" s="5"/>
      <c r="AY834" s="5"/>
      <c r="AZ834" s="5"/>
      <c r="BF834" s="96"/>
      <c r="BG834" s="96"/>
      <c r="BH834" s="96"/>
      <c r="BI834" s="96"/>
      <c r="BJ834" s="96"/>
      <c r="BK834" s="5"/>
      <c r="BL834" s="5"/>
      <c r="BM834" s="5"/>
      <c r="BN834" s="5"/>
      <c r="BO834" s="5"/>
      <c r="BP834" s="5"/>
    </row>
    <row r="835">
      <c r="A835" s="5"/>
      <c r="B835" s="150"/>
      <c r="C835" s="151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6"/>
      <c r="AQ835" s="5"/>
      <c r="AR835" s="7"/>
      <c r="AT835" s="5"/>
      <c r="AU835" s="5"/>
      <c r="AV835" s="5"/>
      <c r="AW835" s="5"/>
      <c r="AX835" s="5"/>
      <c r="AY835" s="5"/>
      <c r="AZ835" s="5"/>
      <c r="BF835" s="96"/>
      <c r="BG835" s="96"/>
      <c r="BH835" s="96"/>
      <c r="BI835" s="96"/>
      <c r="BJ835" s="96"/>
      <c r="BK835" s="5"/>
      <c r="BL835" s="5"/>
      <c r="BM835" s="5"/>
      <c r="BN835" s="5"/>
      <c r="BO835" s="5"/>
      <c r="BP835" s="5"/>
    </row>
    <row r="836">
      <c r="A836" s="5"/>
      <c r="B836" s="150"/>
      <c r="C836" s="151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6"/>
      <c r="AQ836" s="5"/>
      <c r="AR836" s="7"/>
      <c r="AT836" s="5"/>
      <c r="AU836" s="5"/>
      <c r="AV836" s="5"/>
      <c r="AW836" s="5"/>
      <c r="AX836" s="5"/>
      <c r="AY836" s="5"/>
      <c r="AZ836" s="5"/>
      <c r="BF836" s="96"/>
      <c r="BG836" s="96"/>
      <c r="BH836" s="96"/>
      <c r="BI836" s="96"/>
      <c r="BJ836" s="96"/>
      <c r="BK836" s="5"/>
      <c r="BL836" s="5"/>
      <c r="BM836" s="5"/>
      <c r="BN836" s="5"/>
      <c r="BO836" s="5"/>
      <c r="BP836" s="5"/>
    </row>
    <row r="837">
      <c r="A837" s="5"/>
      <c r="B837" s="150"/>
      <c r="C837" s="151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6"/>
      <c r="AQ837" s="5"/>
      <c r="AR837" s="7"/>
      <c r="AT837" s="5"/>
      <c r="AU837" s="5"/>
      <c r="AV837" s="5"/>
      <c r="AW837" s="5"/>
      <c r="AX837" s="5"/>
      <c r="AY837" s="5"/>
      <c r="AZ837" s="5"/>
      <c r="BF837" s="96"/>
      <c r="BG837" s="96"/>
      <c r="BH837" s="96"/>
      <c r="BI837" s="96"/>
      <c r="BJ837" s="96"/>
      <c r="BK837" s="5"/>
      <c r="BL837" s="5"/>
      <c r="BM837" s="5"/>
      <c r="BN837" s="5"/>
      <c r="BO837" s="5"/>
      <c r="BP837" s="5"/>
    </row>
    <row r="838">
      <c r="A838" s="5"/>
      <c r="B838" s="150"/>
      <c r="C838" s="151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6"/>
      <c r="AQ838" s="5"/>
      <c r="AR838" s="7"/>
      <c r="AT838" s="5"/>
      <c r="AU838" s="5"/>
      <c r="AV838" s="5"/>
      <c r="AW838" s="5"/>
      <c r="AX838" s="5"/>
      <c r="AY838" s="5"/>
      <c r="AZ838" s="5"/>
      <c r="BF838" s="96"/>
      <c r="BG838" s="96"/>
      <c r="BH838" s="96"/>
      <c r="BI838" s="96"/>
      <c r="BJ838" s="96"/>
      <c r="BK838" s="5"/>
      <c r="BL838" s="5"/>
      <c r="BM838" s="5"/>
      <c r="BN838" s="5"/>
      <c r="BO838" s="5"/>
      <c r="BP838" s="5"/>
    </row>
    <row r="839">
      <c r="A839" s="5"/>
      <c r="B839" s="150"/>
      <c r="C839" s="151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6"/>
      <c r="AQ839" s="5"/>
      <c r="AR839" s="7"/>
      <c r="AT839" s="5"/>
      <c r="AU839" s="5"/>
      <c r="AV839" s="5"/>
      <c r="AW839" s="5"/>
      <c r="AX839" s="5"/>
      <c r="AY839" s="5"/>
      <c r="AZ839" s="5"/>
      <c r="BF839" s="96"/>
      <c r="BG839" s="96"/>
      <c r="BH839" s="96"/>
      <c r="BI839" s="96"/>
      <c r="BJ839" s="96"/>
      <c r="BK839" s="5"/>
      <c r="BL839" s="5"/>
      <c r="BM839" s="5"/>
      <c r="BN839" s="5"/>
      <c r="BO839" s="5"/>
      <c r="BP839" s="5"/>
    </row>
    <row r="840">
      <c r="A840" s="5"/>
      <c r="B840" s="150"/>
      <c r="C840" s="151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6"/>
      <c r="AQ840" s="5"/>
      <c r="AR840" s="7"/>
      <c r="AT840" s="5"/>
      <c r="AU840" s="5"/>
      <c r="AV840" s="5"/>
      <c r="AW840" s="5"/>
      <c r="AX840" s="5"/>
      <c r="AY840" s="5"/>
      <c r="AZ840" s="5"/>
      <c r="BF840" s="96"/>
      <c r="BG840" s="96"/>
      <c r="BH840" s="96"/>
      <c r="BI840" s="96"/>
      <c r="BJ840" s="96"/>
      <c r="BK840" s="5"/>
      <c r="BL840" s="5"/>
      <c r="BM840" s="5"/>
      <c r="BN840" s="5"/>
      <c r="BO840" s="5"/>
      <c r="BP840" s="5"/>
    </row>
    <row r="841">
      <c r="A841" s="5"/>
      <c r="B841" s="150"/>
      <c r="C841" s="151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6"/>
      <c r="AQ841" s="5"/>
      <c r="AR841" s="7"/>
      <c r="AT841" s="5"/>
      <c r="AU841" s="5"/>
      <c r="AV841" s="5"/>
      <c r="AW841" s="5"/>
      <c r="AX841" s="5"/>
      <c r="AY841" s="5"/>
      <c r="AZ841" s="5"/>
      <c r="BF841" s="96"/>
      <c r="BG841" s="96"/>
      <c r="BH841" s="96"/>
      <c r="BI841" s="96"/>
      <c r="BJ841" s="96"/>
      <c r="BK841" s="5"/>
      <c r="BL841" s="5"/>
      <c r="BM841" s="5"/>
      <c r="BN841" s="5"/>
      <c r="BO841" s="5"/>
      <c r="BP841" s="5"/>
    </row>
    <row r="842">
      <c r="A842" s="5"/>
      <c r="B842" s="150"/>
      <c r="C842" s="151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6"/>
      <c r="AQ842" s="5"/>
      <c r="AR842" s="7"/>
      <c r="AT842" s="5"/>
      <c r="AU842" s="5"/>
      <c r="AV842" s="5"/>
      <c r="AW842" s="5"/>
      <c r="AX842" s="5"/>
      <c r="AY842" s="5"/>
      <c r="AZ842" s="5"/>
      <c r="BF842" s="96"/>
      <c r="BG842" s="96"/>
      <c r="BH842" s="96"/>
      <c r="BI842" s="96"/>
      <c r="BJ842" s="96"/>
      <c r="BK842" s="5"/>
      <c r="BL842" s="5"/>
      <c r="BM842" s="5"/>
      <c r="BN842" s="5"/>
      <c r="BO842" s="5"/>
      <c r="BP842" s="5"/>
    </row>
    <row r="843">
      <c r="A843" s="5"/>
      <c r="B843" s="150"/>
      <c r="C843" s="151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6"/>
      <c r="AQ843" s="5"/>
      <c r="AR843" s="7"/>
      <c r="AT843" s="5"/>
      <c r="AU843" s="5"/>
      <c r="AV843" s="5"/>
      <c r="AW843" s="5"/>
      <c r="AX843" s="5"/>
      <c r="AY843" s="5"/>
      <c r="AZ843" s="5"/>
      <c r="BF843" s="96"/>
      <c r="BG843" s="96"/>
      <c r="BH843" s="96"/>
      <c r="BI843" s="96"/>
      <c r="BJ843" s="96"/>
      <c r="BK843" s="5"/>
      <c r="BL843" s="5"/>
      <c r="BM843" s="5"/>
      <c r="BN843" s="5"/>
      <c r="BO843" s="5"/>
      <c r="BP843" s="5"/>
    </row>
    <row r="844">
      <c r="A844" s="5"/>
      <c r="B844" s="150"/>
      <c r="C844" s="151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6"/>
      <c r="AQ844" s="5"/>
      <c r="AR844" s="7"/>
      <c r="AT844" s="5"/>
      <c r="AU844" s="5"/>
      <c r="AV844" s="5"/>
      <c r="AW844" s="5"/>
      <c r="AX844" s="5"/>
      <c r="AY844" s="5"/>
      <c r="AZ844" s="5"/>
      <c r="BF844" s="96"/>
      <c r="BG844" s="96"/>
      <c r="BH844" s="96"/>
      <c r="BI844" s="96"/>
      <c r="BJ844" s="96"/>
      <c r="BK844" s="5"/>
      <c r="BL844" s="5"/>
      <c r="BM844" s="5"/>
      <c r="BN844" s="5"/>
      <c r="BO844" s="5"/>
      <c r="BP844" s="5"/>
    </row>
    <row r="845">
      <c r="A845" s="5"/>
      <c r="B845" s="150"/>
      <c r="C845" s="151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6"/>
      <c r="AQ845" s="5"/>
      <c r="AR845" s="7"/>
      <c r="AT845" s="5"/>
      <c r="AU845" s="5"/>
      <c r="AV845" s="5"/>
      <c r="AW845" s="5"/>
      <c r="AX845" s="5"/>
      <c r="AY845" s="5"/>
      <c r="AZ845" s="5"/>
      <c r="BF845" s="96"/>
      <c r="BG845" s="96"/>
      <c r="BH845" s="96"/>
      <c r="BI845" s="96"/>
      <c r="BJ845" s="96"/>
      <c r="BK845" s="5"/>
      <c r="BL845" s="5"/>
      <c r="BM845" s="5"/>
      <c r="BN845" s="5"/>
      <c r="BO845" s="5"/>
      <c r="BP845" s="5"/>
    </row>
    <row r="846">
      <c r="A846" s="5"/>
      <c r="B846" s="150"/>
      <c r="C846" s="151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6"/>
      <c r="AQ846" s="5"/>
      <c r="AR846" s="7"/>
      <c r="AT846" s="5"/>
      <c r="AU846" s="5"/>
      <c r="AV846" s="5"/>
      <c r="AW846" s="5"/>
      <c r="AX846" s="5"/>
      <c r="AY846" s="5"/>
      <c r="AZ846" s="5"/>
      <c r="BF846" s="96"/>
      <c r="BG846" s="96"/>
      <c r="BH846" s="96"/>
      <c r="BI846" s="96"/>
      <c r="BJ846" s="96"/>
      <c r="BK846" s="5"/>
      <c r="BL846" s="5"/>
      <c r="BM846" s="5"/>
      <c r="BN846" s="5"/>
      <c r="BO846" s="5"/>
      <c r="BP846" s="5"/>
    </row>
    <row r="847">
      <c r="A847" s="5"/>
      <c r="B847" s="150"/>
      <c r="C847" s="151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6"/>
      <c r="AQ847" s="5"/>
      <c r="AR847" s="7"/>
      <c r="AT847" s="5"/>
      <c r="AU847" s="5"/>
      <c r="AV847" s="5"/>
      <c r="AW847" s="5"/>
      <c r="AX847" s="5"/>
      <c r="AY847" s="5"/>
      <c r="AZ847" s="5"/>
      <c r="BF847" s="96"/>
      <c r="BG847" s="96"/>
      <c r="BH847" s="96"/>
      <c r="BI847" s="96"/>
      <c r="BJ847" s="96"/>
      <c r="BK847" s="5"/>
      <c r="BL847" s="5"/>
      <c r="BM847" s="5"/>
      <c r="BN847" s="5"/>
      <c r="BO847" s="5"/>
      <c r="BP847" s="5"/>
    </row>
    <row r="848">
      <c r="A848" s="5"/>
      <c r="B848" s="150"/>
      <c r="C848" s="151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6"/>
      <c r="AQ848" s="5"/>
      <c r="AR848" s="7"/>
      <c r="AT848" s="5"/>
      <c r="AU848" s="5"/>
      <c r="AV848" s="5"/>
      <c r="AW848" s="5"/>
      <c r="AX848" s="5"/>
      <c r="AY848" s="5"/>
      <c r="AZ848" s="5"/>
      <c r="BF848" s="96"/>
      <c r="BG848" s="96"/>
      <c r="BH848" s="96"/>
      <c r="BI848" s="96"/>
      <c r="BJ848" s="96"/>
      <c r="BK848" s="5"/>
      <c r="BL848" s="5"/>
      <c r="BM848" s="5"/>
      <c r="BN848" s="5"/>
      <c r="BO848" s="5"/>
      <c r="BP848" s="5"/>
    </row>
    <row r="849">
      <c r="A849" s="5"/>
      <c r="B849" s="150"/>
      <c r="C849" s="151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6"/>
      <c r="AQ849" s="5"/>
      <c r="AR849" s="7"/>
      <c r="AT849" s="5"/>
      <c r="AU849" s="5"/>
      <c r="AV849" s="5"/>
      <c r="AW849" s="5"/>
      <c r="AX849" s="5"/>
      <c r="AY849" s="5"/>
      <c r="AZ849" s="5"/>
      <c r="BF849" s="96"/>
      <c r="BG849" s="96"/>
      <c r="BH849" s="96"/>
      <c r="BI849" s="96"/>
      <c r="BJ849" s="96"/>
      <c r="BK849" s="5"/>
      <c r="BL849" s="5"/>
      <c r="BM849" s="5"/>
      <c r="BN849" s="5"/>
      <c r="BO849" s="5"/>
      <c r="BP849" s="5"/>
    </row>
    <row r="850">
      <c r="A850" s="5"/>
      <c r="B850" s="150"/>
      <c r="C850" s="151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6"/>
      <c r="AQ850" s="5"/>
      <c r="AR850" s="7"/>
      <c r="AT850" s="5"/>
      <c r="AU850" s="5"/>
      <c r="AV850" s="5"/>
      <c r="AW850" s="5"/>
      <c r="AX850" s="5"/>
      <c r="AY850" s="5"/>
      <c r="AZ850" s="5"/>
      <c r="BF850" s="96"/>
      <c r="BG850" s="96"/>
      <c r="BH850" s="96"/>
      <c r="BI850" s="96"/>
      <c r="BJ850" s="96"/>
      <c r="BK850" s="5"/>
      <c r="BL850" s="5"/>
      <c r="BM850" s="5"/>
      <c r="BN850" s="5"/>
      <c r="BO850" s="5"/>
      <c r="BP850" s="5"/>
    </row>
    <row r="851">
      <c r="A851" s="5"/>
      <c r="B851" s="150"/>
      <c r="C851" s="151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6"/>
      <c r="AQ851" s="5"/>
      <c r="AR851" s="7"/>
      <c r="AT851" s="5"/>
      <c r="AU851" s="5"/>
      <c r="AV851" s="5"/>
      <c r="AW851" s="5"/>
      <c r="AX851" s="5"/>
      <c r="AY851" s="5"/>
      <c r="AZ851" s="5"/>
      <c r="BF851" s="96"/>
      <c r="BG851" s="96"/>
      <c r="BH851" s="96"/>
      <c r="BI851" s="96"/>
      <c r="BJ851" s="96"/>
      <c r="BK851" s="5"/>
      <c r="BL851" s="5"/>
      <c r="BM851" s="5"/>
      <c r="BN851" s="5"/>
      <c r="BO851" s="5"/>
      <c r="BP851" s="5"/>
    </row>
    <row r="852">
      <c r="A852" s="5"/>
      <c r="B852" s="150"/>
      <c r="C852" s="151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6"/>
      <c r="AQ852" s="5"/>
      <c r="AR852" s="7"/>
      <c r="AT852" s="5"/>
      <c r="AU852" s="5"/>
      <c r="AV852" s="5"/>
      <c r="AW852" s="5"/>
      <c r="AX852" s="5"/>
      <c r="AY852" s="5"/>
      <c r="AZ852" s="5"/>
      <c r="BF852" s="96"/>
      <c r="BG852" s="96"/>
      <c r="BH852" s="96"/>
      <c r="BI852" s="96"/>
      <c r="BJ852" s="96"/>
      <c r="BK852" s="5"/>
      <c r="BL852" s="5"/>
      <c r="BM852" s="5"/>
      <c r="BN852" s="5"/>
      <c r="BO852" s="5"/>
      <c r="BP852" s="5"/>
    </row>
    <row r="853">
      <c r="A853" s="5"/>
      <c r="B853" s="150"/>
      <c r="C853" s="151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6"/>
      <c r="AQ853" s="5"/>
      <c r="AR853" s="7"/>
      <c r="AT853" s="5"/>
      <c r="AU853" s="5"/>
      <c r="AV853" s="5"/>
      <c r="AW853" s="5"/>
      <c r="AX853" s="5"/>
      <c r="AY853" s="5"/>
      <c r="AZ853" s="5"/>
      <c r="BF853" s="96"/>
      <c r="BG853" s="96"/>
      <c r="BH853" s="96"/>
      <c r="BI853" s="96"/>
      <c r="BJ853" s="96"/>
      <c r="BK853" s="5"/>
      <c r="BL853" s="5"/>
      <c r="BM853" s="5"/>
      <c r="BN853" s="5"/>
      <c r="BO853" s="5"/>
      <c r="BP853" s="5"/>
    </row>
    <row r="854">
      <c r="A854" s="5"/>
      <c r="B854" s="150"/>
      <c r="C854" s="151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6"/>
      <c r="AQ854" s="5"/>
      <c r="AR854" s="7"/>
      <c r="AT854" s="5"/>
      <c r="AU854" s="5"/>
      <c r="AV854" s="5"/>
      <c r="AW854" s="5"/>
      <c r="AX854" s="5"/>
      <c r="AY854" s="5"/>
      <c r="AZ854" s="5"/>
      <c r="BF854" s="96"/>
      <c r="BG854" s="96"/>
      <c r="BH854" s="96"/>
      <c r="BI854" s="96"/>
      <c r="BJ854" s="96"/>
      <c r="BK854" s="5"/>
      <c r="BL854" s="5"/>
      <c r="BM854" s="5"/>
      <c r="BN854" s="5"/>
      <c r="BO854" s="5"/>
      <c r="BP854" s="5"/>
    </row>
    <row r="855">
      <c r="A855" s="5"/>
      <c r="B855" s="150"/>
      <c r="C855" s="151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6"/>
      <c r="AQ855" s="5"/>
      <c r="AR855" s="7"/>
      <c r="AT855" s="5"/>
      <c r="AU855" s="5"/>
      <c r="AV855" s="5"/>
      <c r="AW855" s="5"/>
      <c r="AX855" s="5"/>
      <c r="AY855" s="5"/>
      <c r="AZ855" s="5"/>
      <c r="BF855" s="96"/>
      <c r="BG855" s="96"/>
      <c r="BH855" s="96"/>
      <c r="BI855" s="96"/>
      <c r="BJ855" s="96"/>
      <c r="BK855" s="5"/>
      <c r="BL855" s="5"/>
      <c r="BM855" s="5"/>
      <c r="BN855" s="5"/>
      <c r="BO855" s="5"/>
      <c r="BP855" s="5"/>
    </row>
    <row r="856">
      <c r="A856" s="5"/>
      <c r="B856" s="150"/>
      <c r="C856" s="151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6"/>
      <c r="AQ856" s="5"/>
      <c r="AR856" s="7"/>
      <c r="AT856" s="5"/>
      <c r="AU856" s="5"/>
      <c r="AV856" s="5"/>
      <c r="AW856" s="5"/>
      <c r="AX856" s="5"/>
      <c r="AY856" s="5"/>
      <c r="AZ856" s="5"/>
      <c r="BF856" s="96"/>
      <c r="BG856" s="96"/>
      <c r="BH856" s="96"/>
      <c r="BI856" s="96"/>
      <c r="BJ856" s="96"/>
      <c r="BK856" s="5"/>
      <c r="BL856" s="5"/>
      <c r="BM856" s="5"/>
      <c r="BN856" s="5"/>
      <c r="BO856" s="5"/>
      <c r="BP856" s="5"/>
    </row>
    <row r="857">
      <c r="A857" s="5"/>
      <c r="B857" s="150"/>
      <c r="C857" s="151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6"/>
      <c r="AQ857" s="5"/>
      <c r="AR857" s="7"/>
      <c r="AT857" s="5"/>
      <c r="AU857" s="5"/>
      <c r="AV857" s="5"/>
      <c r="AW857" s="5"/>
      <c r="AX857" s="5"/>
      <c r="AY857" s="5"/>
      <c r="AZ857" s="5"/>
      <c r="BF857" s="96"/>
      <c r="BG857" s="96"/>
      <c r="BH857" s="96"/>
      <c r="BI857" s="96"/>
      <c r="BJ857" s="96"/>
      <c r="BK857" s="5"/>
      <c r="BL857" s="5"/>
      <c r="BM857" s="5"/>
      <c r="BN857" s="5"/>
      <c r="BO857" s="5"/>
      <c r="BP857" s="5"/>
    </row>
    <row r="858">
      <c r="A858" s="5"/>
      <c r="B858" s="150"/>
      <c r="C858" s="151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6"/>
      <c r="AQ858" s="5"/>
      <c r="AR858" s="7"/>
      <c r="AT858" s="5"/>
      <c r="AU858" s="5"/>
      <c r="AV858" s="5"/>
      <c r="AW858" s="5"/>
      <c r="AX858" s="5"/>
      <c r="AY858" s="5"/>
      <c r="AZ858" s="5"/>
      <c r="BF858" s="96"/>
      <c r="BG858" s="96"/>
      <c r="BH858" s="96"/>
      <c r="BI858" s="96"/>
      <c r="BJ858" s="96"/>
      <c r="BK858" s="5"/>
      <c r="BL858" s="5"/>
      <c r="BM858" s="5"/>
      <c r="BN858" s="5"/>
      <c r="BO858" s="5"/>
      <c r="BP858" s="5"/>
    </row>
    <row r="859">
      <c r="A859" s="5"/>
      <c r="B859" s="150"/>
      <c r="C859" s="151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6"/>
      <c r="AQ859" s="5"/>
      <c r="AR859" s="7"/>
      <c r="AT859" s="5"/>
      <c r="AU859" s="5"/>
      <c r="AV859" s="5"/>
      <c r="AW859" s="5"/>
      <c r="AX859" s="5"/>
      <c r="AY859" s="5"/>
      <c r="AZ859" s="5"/>
      <c r="BF859" s="96"/>
      <c r="BG859" s="96"/>
      <c r="BH859" s="96"/>
      <c r="BI859" s="96"/>
      <c r="BJ859" s="96"/>
      <c r="BK859" s="5"/>
      <c r="BL859" s="5"/>
      <c r="BM859" s="5"/>
      <c r="BN859" s="5"/>
      <c r="BO859" s="5"/>
      <c r="BP859" s="5"/>
    </row>
    <row r="860">
      <c r="A860" s="5"/>
      <c r="B860" s="150"/>
      <c r="C860" s="151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6"/>
      <c r="AQ860" s="5"/>
      <c r="AR860" s="7"/>
      <c r="AT860" s="5"/>
      <c r="AU860" s="5"/>
      <c r="AV860" s="5"/>
      <c r="AW860" s="5"/>
      <c r="AX860" s="5"/>
      <c r="AY860" s="5"/>
      <c r="AZ860" s="5"/>
      <c r="BF860" s="96"/>
      <c r="BG860" s="96"/>
      <c r="BH860" s="96"/>
      <c r="BI860" s="96"/>
      <c r="BJ860" s="96"/>
      <c r="BK860" s="5"/>
      <c r="BL860" s="5"/>
      <c r="BM860" s="5"/>
      <c r="BN860" s="5"/>
      <c r="BO860" s="5"/>
      <c r="BP860" s="5"/>
    </row>
    <row r="861">
      <c r="A861" s="5"/>
      <c r="B861" s="150"/>
      <c r="C861" s="151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6"/>
      <c r="AQ861" s="5"/>
      <c r="AR861" s="7"/>
      <c r="AT861" s="5"/>
      <c r="AU861" s="5"/>
      <c r="AV861" s="5"/>
      <c r="AW861" s="5"/>
      <c r="AX861" s="5"/>
      <c r="AY861" s="5"/>
      <c r="AZ861" s="5"/>
      <c r="BF861" s="96"/>
      <c r="BG861" s="96"/>
      <c r="BH861" s="96"/>
      <c r="BI861" s="96"/>
      <c r="BJ861" s="96"/>
      <c r="BK861" s="5"/>
      <c r="BL861" s="5"/>
      <c r="BM861" s="5"/>
      <c r="BN861" s="5"/>
      <c r="BO861" s="5"/>
      <c r="BP861" s="5"/>
    </row>
    <row r="862">
      <c r="A862" s="5"/>
      <c r="B862" s="150"/>
      <c r="C862" s="151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6"/>
      <c r="AQ862" s="5"/>
      <c r="AR862" s="7"/>
      <c r="AT862" s="5"/>
      <c r="AU862" s="5"/>
      <c r="AV862" s="5"/>
      <c r="AW862" s="5"/>
      <c r="AX862" s="5"/>
      <c r="AY862" s="5"/>
      <c r="AZ862" s="5"/>
      <c r="BF862" s="96"/>
      <c r="BG862" s="96"/>
      <c r="BH862" s="96"/>
      <c r="BI862" s="96"/>
      <c r="BJ862" s="96"/>
      <c r="BK862" s="5"/>
      <c r="BL862" s="5"/>
      <c r="BM862" s="5"/>
      <c r="BN862" s="5"/>
      <c r="BO862" s="5"/>
      <c r="BP862" s="5"/>
    </row>
    <row r="863">
      <c r="A863" s="5"/>
      <c r="B863" s="150"/>
      <c r="C863" s="151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6"/>
      <c r="AQ863" s="5"/>
      <c r="AR863" s="7"/>
      <c r="AT863" s="5"/>
      <c r="AU863" s="5"/>
      <c r="AV863" s="5"/>
      <c r="AW863" s="5"/>
      <c r="AX863" s="5"/>
      <c r="AY863" s="5"/>
      <c r="AZ863" s="5"/>
      <c r="BF863" s="96"/>
      <c r="BG863" s="96"/>
      <c r="BH863" s="96"/>
      <c r="BI863" s="96"/>
      <c r="BJ863" s="96"/>
      <c r="BK863" s="5"/>
      <c r="BL863" s="5"/>
      <c r="BM863" s="5"/>
      <c r="BN863" s="5"/>
      <c r="BO863" s="5"/>
      <c r="BP863" s="5"/>
    </row>
    <row r="864">
      <c r="A864" s="5"/>
      <c r="B864" s="150"/>
      <c r="C864" s="151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6"/>
      <c r="AQ864" s="5"/>
      <c r="AR864" s="7"/>
      <c r="AT864" s="5"/>
      <c r="AU864" s="5"/>
      <c r="AV864" s="5"/>
      <c r="AW864" s="5"/>
      <c r="AX864" s="5"/>
      <c r="AY864" s="5"/>
      <c r="AZ864" s="5"/>
      <c r="BF864" s="96"/>
      <c r="BG864" s="96"/>
      <c r="BH864" s="96"/>
      <c r="BI864" s="96"/>
      <c r="BJ864" s="96"/>
      <c r="BK864" s="5"/>
      <c r="BL864" s="5"/>
      <c r="BM864" s="5"/>
      <c r="BN864" s="5"/>
      <c r="BO864" s="5"/>
      <c r="BP864" s="5"/>
    </row>
    <row r="865">
      <c r="A865" s="5"/>
      <c r="B865" s="150"/>
      <c r="C865" s="151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6"/>
      <c r="AQ865" s="5"/>
      <c r="AR865" s="7"/>
      <c r="AT865" s="5"/>
      <c r="AU865" s="5"/>
      <c r="AV865" s="5"/>
      <c r="AW865" s="5"/>
      <c r="AX865" s="5"/>
      <c r="AY865" s="5"/>
      <c r="AZ865" s="5"/>
      <c r="BF865" s="96"/>
      <c r="BG865" s="96"/>
      <c r="BH865" s="96"/>
      <c r="BI865" s="96"/>
      <c r="BJ865" s="96"/>
      <c r="BK865" s="5"/>
      <c r="BL865" s="5"/>
      <c r="BM865" s="5"/>
      <c r="BN865" s="5"/>
      <c r="BO865" s="5"/>
      <c r="BP865" s="5"/>
    </row>
    <row r="866">
      <c r="A866" s="5"/>
      <c r="B866" s="150"/>
      <c r="C866" s="151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6"/>
      <c r="AQ866" s="5"/>
      <c r="AR866" s="7"/>
      <c r="AT866" s="5"/>
      <c r="AU866" s="5"/>
      <c r="AV866" s="5"/>
      <c r="AW866" s="5"/>
      <c r="AX866" s="5"/>
      <c r="AY866" s="5"/>
      <c r="AZ866" s="5"/>
      <c r="BF866" s="96"/>
      <c r="BG866" s="96"/>
      <c r="BH866" s="96"/>
      <c r="BI866" s="96"/>
      <c r="BJ866" s="96"/>
      <c r="BK866" s="5"/>
      <c r="BL866" s="5"/>
      <c r="BM866" s="5"/>
      <c r="BN866" s="5"/>
      <c r="BO866" s="5"/>
      <c r="BP866" s="5"/>
    </row>
    <row r="867">
      <c r="A867" s="5"/>
      <c r="B867" s="150"/>
      <c r="C867" s="151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6"/>
      <c r="AQ867" s="5"/>
      <c r="AR867" s="7"/>
      <c r="AT867" s="5"/>
      <c r="AU867" s="5"/>
      <c r="AV867" s="5"/>
      <c r="AW867" s="5"/>
      <c r="AX867" s="5"/>
      <c r="AY867" s="5"/>
      <c r="AZ867" s="5"/>
      <c r="BF867" s="96"/>
      <c r="BG867" s="96"/>
      <c r="BH867" s="96"/>
      <c r="BI867" s="96"/>
      <c r="BJ867" s="96"/>
      <c r="BK867" s="5"/>
      <c r="BL867" s="5"/>
      <c r="BM867" s="5"/>
      <c r="BN867" s="5"/>
      <c r="BO867" s="5"/>
      <c r="BP867" s="5"/>
    </row>
    <row r="868">
      <c r="A868" s="5"/>
      <c r="B868" s="150"/>
      <c r="C868" s="151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6"/>
      <c r="AQ868" s="5"/>
      <c r="AR868" s="7"/>
      <c r="AT868" s="5"/>
      <c r="AU868" s="5"/>
      <c r="AV868" s="5"/>
      <c r="AW868" s="5"/>
      <c r="AX868" s="5"/>
      <c r="AY868" s="5"/>
      <c r="AZ868" s="5"/>
      <c r="BF868" s="96"/>
      <c r="BG868" s="96"/>
      <c r="BH868" s="96"/>
      <c r="BI868" s="96"/>
      <c r="BJ868" s="96"/>
      <c r="BK868" s="5"/>
      <c r="BL868" s="5"/>
      <c r="BM868" s="5"/>
      <c r="BN868" s="5"/>
      <c r="BO868" s="5"/>
      <c r="BP868" s="5"/>
    </row>
    <row r="869">
      <c r="A869" s="5"/>
      <c r="B869" s="150"/>
      <c r="C869" s="151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6"/>
      <c r="AQ869" s="5"/>
      <c r="AR869" s="7"/>
      <c r="AT869" s="5"/>
      <c r="AU869" s="5"/>
      <c r="AV869" s="5"/>
      <c r="AW869" s="5"/>
      <c r="AX869" s="5"/>
      <c r="AY869" s="5"/>
      <c r="AZ869" s="5"/>
      <c r="BF869" s="96"/>
      <c r="BG869" s="96"/>
      <c r="BH869" s="96"/>
      <c r="BI869" s="96"/>
      <c r="BJ869" s="96"/>
      <c r="BK869" s="5"/>
      <c r="BL869" s="5"/>
      <c r="BM869" s="5"/>
      <c r="BN869" s="5"/>
      <c r="BO869" s="5"/>
      <c r="BP869" s="5"/>
    </row>
    <row r="870">
      <c r="A870" s="5"/>
      <c r="B870" s="150"/>
      <c r="C870" s="151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6"/>
      <c r="AQ870" s="5"/>
      <c r="AR870" s="7"/>
      <c r="AT870" s="5"/>
      <c r="AU870" s="5"/>
      <c r="AV870" s="5"/>
      <c r="AW870" s="5"/>
      <c r="AX870" s="5"/>
      <c r="AY870" s="5"/>
      <c r="AZ870" s="5"/>
      <c r="BF870" s="96"/>
      <c r="BG870" s="96"/>
      <c r="BH870" s="96"/>
      <c r="BI870" s="96"/>
      <c r="BJ870" s="96"/>
      <c r="BK870" s="5"/>
      <c r="BL870" s="5"/>
      <c r="BM870" s="5"/>
      <c r="BN870" s="5"/>
      <c r="BO870" s="5"/>
      <c r="BP870" s="5"/>
    </row>
    <row r="871">
      <c r="A871" s="5"/>
      <c r="B871" s="150"/>
      <c r="C871" s="151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6"/>
      <c r="AQ871" s="5"/>
      <c r="AR871" s="7"/>
      <c r="AT871" s="5"/>
      <c r="AU871" s="5"/>
      <c r="AV871" s="5"/>
      <c r="AW871" s="5"/>
      <c r="AX871" s="5"/>
      <c r="AY871" s="5"/>
      <c r="AZ871" s="5"/>
      <c r="BF871" s="96"/>
      <c r="BG871" s="96"/>
      <c r="BH871" s="96"/>
      <c r="BI871" s="96"/>
      <c r="BJ871" s="96"/>
      <c r="BK871" s="5"/>
      <c r="BL871" s="5"/>
      <c r="BM871" s="5"/>
      <c r="BN871" s="5"/>
      <c r="BO871" s="5"/>
      <c r="BP871" s="5"/>
    </row>
    <row r="872">
      <c r="A872" s="5"/>
      <c r="B872" s="150"/>
      <c r="C872" s="151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6"/>
      <c r="AQ872" s="5"/>
      <c r="AR872" s="7"/>
      <c r="AT872" s="5"/>
      <c r="AU872" s="5"/>
      <c r="AV872" s="5"/>
      <c r="AW872" s="5"/>
      <c r="AX872" s="5"/>
      <c r="AY872" s="5"/>
      <c r="AZ872" s="5"/>
      <c r="BF872" s="96"/>
      <c r="BG872" s="96"/>
      <c r="BH872" s="96"/>
      <c r="BI872" s="96"/>
      <c r="BJ872" s="96"/>
      <c r="BK872" s="5"/>
      <c r="BL872" s="5"/>
      <c r="BM872" s="5"/>
      <c r="BN872" s="5"/>
      <c r="BO872" s="5"/>
      <c r="BP872" s="5"/>
    </row>
    <row r="873">
      <c r="A873" s="5"/>
      <c r="B873" s="150"/>
      <c r="C873" s="151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6"/>
      <c r="AQ873" s="5"/>
      <c r="AR873" s="7"/>
      <c r="AT873" s="5"/>
      <c r="AU873" s="5"/>
      <c r="AV873" s="5"/>
      <c r="AW873" s="5"/>
      <c r="AX873" s="5"/>
      <c r="AY873" s="5"/>
      <c r="AZ873" s="5"/>
      <c r="BF873" s="96"/>
      <c r="BG873" s="96"/>
      <c r="BH873" s="96"/>
      <c r="BI873" s="96"/>
      <c r="BJ873" s="96"/>
      <c r="BK873" s="5"/>
      <c r="BL873" s="5"/>
      <c r="BM873" s="5"/>
      <c r="BN873" s="5"/>
      <c r="BO873" s="5"/>
      <c r="BP873" s="5"/>
    </row>
    <row r="874">
      <c r="A874" s="5"/>
      <c r="B874" s="150"/>
      <c r="C874" s="151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6"/>
      <c r="AQ874" s="5"/>
      <c r="AR874" s="7"/>
      <c r="AT874" s="5"/>
      <c r="AU874" s="5"/>
      <c r="AV874" s="5"/>
      <c r="AW874" s="5"/>
      <c r="AX874" s="5"/>
      <c r="AY874" s="5"/>
      <c r="AZ874" s="5"/>
      <c r="BF874" s="96"/>
      <c r="BG874" s="96"/>
      <c r="BH874" s="96"/>
      <c r="BI874" s="96"/>
      <c r="BJ874" s="96"/>
      <c r="BK874" s="5"/>
      <c r="BL874" s="5"/>
      <c r="BM874" s="5"/>
      <c r="BN874" s="5"/>
      <c r="BO874" s="5"/>
      <c r="BP874" s="5"/>
    </row>
    <row r="875">
      <c r="A875" s="5"/>
      <c r="B875" s="150"/>
      <c r="C875" s="151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6"/>
      <c r="AQ875" s="5"/>
      <c r="AR875" s="7"/>
      <c r="AT875" s="5"/>
      <c r="AU875" s="5"/>
      <c r="AV875" s="5"/>
      <c r="AW875" s="5"/>
      <c r="AX875" s="5"/>
      <c r="AY875" s="5"/>
      <c r="AZ875" s="5"/>
      <c r="BF875" s="96"/>
      <c r="BG875" s="96"/>
      <c r="BH875" s="96"/>
      <c r="BI875" s="96"/>
      <c r="BJ875" s="96"/>
      <c r="BK875" s="5"/>
      <c r="BL875" s="5"/>
      <c r="BM875" s="5"/>
      <c r="BN875" s="5"/>
      <c r="BO875" s="5"/>
      <c r="BP875" s="5"/>
    </row>
    <row r="876">
      <c r="A876" s="5"/>
      <c r="B876" s="150"/>
      <c r="C876" s="151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6"/>
      <c r="AQ876" s="5"/>
      <c r="AR876" s="7"/>
      <c r="AT876" s="5"/>
      <c r="AU876" s="5"/>
      <c r="AV876" s="5"/>
      <c r="AW876" s="5"/>
      <c r="AX876" s="5"/>
      <c r="AY876" s="5"/>
      <c r="AZ876" s="5"/>
      <c r="BF876" s="96"/>
      <c r="BG876" s="96"/>
      <c r="BH876" s="96"/>
      <c r="BI876" s="96"/>
      <c r="BJ876" s="96"/>
      <c r="BK876" s="5"/>
      <c r="BL876" s="5"/>
      <c r="BM876" s="5"/>
      <c r="BN876" s="5"/>
      <c r="BO876" s="5"/>
      <c r="BP876" s="5"/>
    </row>
    <row r="877">
      <c r="A877" s="5"/>
      <c r="B877" s="150"/>
      <c r="C877" s="151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6"/>
      <c r="AQ877" s="5"/>
      <c r="AR877" s="7"/>
      <c r="AT877" s="5"/>
      <c r="AU877" s="5"/>
      <c r="AV877" s="5"/>
      <c r="AW877" s="5"/>
      <c r="AX877" s="5"/>
      <c r="AY877" s="5"/>
      <c r="AZ877" s="5"/>
      <c r="BF877" s="96"/>
      <c r="BG877" s="96"/>
      <c r="BH877" s="96"/>
      <c r="BI877" s="96"/>
      <c r="BJ877" s="96"/>
      <c r="BK877" s="5"/>
      <c r="BL877" s="5"/>
      <c r="BM877" s="5"/>
      <c r="BN877" s="5"/>
      <c r="BO877" s="5"/>
      <c r="BP877" s="5"/>
    </row>
    <row r="878">
      <c r="A878" s="5"/>
      <c r="B878" s="150"/>
      <c r="C878" s="151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6"/>
      <c r="AQ878" s="5"/>
      <c r="AR878" s="7"/>
      <c r="AT878" s="5"/>
      <c r="AU878" s="5"/>
      <c r="AV878" s="5"/>
      <c r="AW878" s="5"/>
      <c r="AX878" s="5"/>
      <c r="AY878" s="5"/>
      <c r="AZ878" s="5"/>
      <c r="BF878" s="96"/>
      <c r="BG878" s="96"/>
      <c r="BH878" s="96"/>
      <c r="BI878" s="96"/>
      <c r="BJ878" s="96"/>
      <c r="BK878" s="5"/>
      <c r="BL878" s="5"/>
      <c r="BM878" s="5"/>
      <c r="BN878" s="5"/>
      <c r="BO878" s="5"/>
      <c r="BP878" s="5"/>
    </row>
    <row r="879">
      <c r="A879" s="5"/>
      <c r="B879" s="150"/>
      <c r="C879" s="151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6"/>
      <c r="AQ879" s="5"/>
      <c r="AR879" s="7"/>
      <c r="AT879" s="5"/>
      <c r="AU879" s="5"/>
      <c r="AV879" s="5"/>
      <c r="AW879" s="5"/>
      <c r="AX879" s="5"/>
      <c r="AY879" s="5"/>
      <c r="AZ879" s="5"/>
      <c r="BF879" s="96"/>
      <c r="BG879" s="96"/>
      <c r="BH879" s="96"/>
      <c r="BI879" s="96"/>
      <c r="BJ879" s="96"/>
      <c r="BK879" s="5"/>
      <c r="BL879" s="5"/>
      <c r="BM879" s="5"/>
      <c r="BN879" s="5"/>
      <c r="BO879" s="5"/>
      <c r="BP879" s="5"/>
    </row>
    <row r="880">
      <c r="A880" s="5"/>
      <c r="B880" s="150"/>
      <c r="C880" s="151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6"/>
      <c r="AQ880" s="5"/>
      <c r="AR880" s="7"/>
      <c r="AT880" s="5"/>
      <c r="AU880" s="5"/>
      <c r="AV880" s="5"/>
      <c r="AW880" s="5"/>
      <c r="AX880" s="5"/>
      <c r="AY880" s="5"/>
      <c r="AZ880" s="5"/>
      <c r="BF880" s="96"/>
      <c r="BG880" s="96"/>
      <c r="BH880" s="96"/>
      <c r="BI880" s="96"/>
      <c r="BJ880" s="96"/>
      <c r="BK880" s="5"/>
      <c r="BL880" s="5"/>
      <c r="BM880" s="5"/>
      <c r="BN880" s="5"/>
      <c r="BO880" s="5"/>
      <c r="BP880" s="5"/>
    </row>
    <row r="881">
      <c r="A881" s="5"/>
      <c r="B881" s="150"/>
      <c r="C881" s="151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6"/>
      <c r="AQ881" s="5"/>
      <c r="AR881" s="7"/>
      <c r="AT881" s="5"/>
      <c r="AU881" s="5"/>
      <c r="AV881" s="5"/>
      <c r="AW881" s="5"/>
      <c r="AX881" s="5"/>
      <c r="AY881" s="5"/>
      <c r="AZ881" s="5"/>
      <c r="BF881" s="96"/>
      <c r="BG881" s="96"/>
      <c r="BH881" s="96"/>
      <c r="BI881" s="96"/>
      <c r="BJ881" s="96"/>
      <c r="BK881" s="5"/>
      <c r="BL881" s="5"/>
      <c r="BM881" s="5"/>
      <c r="BN881" s="5"/>
      <c r="BO881" s="5"/>
      <c r="BP881" s="5"/>
    </row>
    <row r="882">
      <c r="A882" s="5"/>
      <c r="B882" s="150"/>
      <c r="C882" s="151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6"/>
      <c r="AQ882" s="5"/>
      <c r="AR882" s="7"/>
      <c r="AT882" s="5"/>
      <c r="AU882" s="5"/>
      <c r="AV882" s="5"/>
      <c r="AW882" s="5"/>
      <c r="AX882" s="5"/>
      <c r="AY882" s="5"/>
      <c r="AZ882" s="5"/>
      <c r="BF882" s="96"/>
      <c r="BG882" s="96"/>
      <c r="BH882" s="96"/>
      <c r="BI882" s="96"/>
      <c r="BJ882" s="96"/>
      <c r="BK882" s="5"/>
      <c r="BL882" s="5"/>
      <c r="BM882" s="5"/>
      <c r="BN882" s="5"/>
      <c r="BO882" s="5"/>
      <c r="BP882" s="5"/>
    </row>
    <row r="883">
      <c r="A883" s="5"/>
      <c r="B883" s="150"/>
      <c r="C883" s="151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6"/>
      <c r="AQ883" s="5"/>
      <c r="AR883" s="7"/>
      <c r="AT883" s="5"/>
      <c r="AU883" s="5"/>
      <c r="AV883" s="5"/>
      <c r="AW883" s="5"/>
      <c r="AX883" s="5"/>
      <c r="AY883" s="5"/>
      <c r="AZ883" s="5"/>
      <c r="BF883" s="96"/>
      <c r="BG883" s="96"/>
      <c r="BH883" s="96"/>
      <c r="BI883" s="96"/>
      <c r="BJ883" s="96"/>
      <c r="BK883" s="5"/>
      <c r="BL883" s="5"/>
      <c r="BM883" s="5"/>
      <c r="BN883" s="5"/>
      <c r="BO883" s="5"/>
      <c r="BP883" s="5"/>
    </row>
    <row r="884">
      <c r="A884" s="5"/>
      <c r="B884" s="150"/>
      <c r="C884" s="151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6"/>
      <c r="AQ884" s="5"/>
      <c r="AR884" s="7"/>
      <c r="AT884" s="5"/>
      <c r="AU884" s="5"/>
      <c r="AV884" s="5"/>
      <c r="AW884" s="5"/>
      <c r="AX884" s="5"/>
      <c r="AY884" s="5"/>
      <c r="AZ884" s="5"/>
      <c r="BF884" s="96"/>
      <c r="BG884" s="96"/>
      <c r="BH884" s="96"/>
      <c r="BI884" s="96"/>
      <c r="BJ884" s="96"/>
      <c r="BK884" s="5"/>
      <c r="BL884" s="5"/>
      <c r="BM884" s="5"/>
      <c r="BN884" s="5"/>
      <c r="BO884" s="5"/>
      <c r="BP884" s="5"/>
    </row>
    <row r="885">
      <c r="A885" s="5"/>
      <c r="B885" s="150"/>
      <c r="C885" s="151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6"/>
      <c r="AQ885" s="5"/>
      <c r="AR885" s="7"/>
      <c r="AT885" s="5"/>
      <c r="AU885" s="5"/>
      <c r="AV885" s="5"/>
      <c r="AW885" s="5"/>
      <c r="AX885" s="5"/>
      <c r="AY885" s="5"/>
      <c r="AZ885" s="5"/>
      <c r="BF885" s="96"/>
      <c r="BG885" s="96"/>
      <c r="BH885" s="96"/>
      <c r="BI885" s="96"/>
      <c r="BJ885" s="96"/>
      <c r="BK885" s="5"/>
      <c r="BL885" s="5"/>
      <c r="BM885" s="5"/>
      <c r="BN885" s="5"/>
      <c r="BO885" s="5"/>
      <c r="BP885" s="5"/>
    </row>
    <row r="886">
      <c r="A886" s="5"/>
      <c r="B886" s="150"/>
      <c r="C886" s="151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6"/>
      <c r="AQ886" s="5"/>
      <c r="AR886" s="7"/>
      <c r="AT886" s="5"/>
      <c r="AU886" s="5"/>
      <c r="AV886" s="5"/>
      <c r="AW886" s="5"/>
      <c r="AX886" s="5"/>
      <c r="AY886" s="5"/>
      <c r="AZ886" s="5"/>
      <c r="BF886" s="96"/>
      <c r="BG886" s="96"/>
      <c r="BH886" s="96"/>
      <c r="BI886" s="96"/>
      <c r="BJ886" s="96"/>
      <c r="BK886" s="5"/>
      <c r="BL886" s="5"/>
      <c r="BM886" s="5"/>
      <c r="BN886" s="5"/>
      <c r="BO886" s="5"/>
      <c r="BP886" s="5"/>
    </row>
    <row r="887">
      <c r="A887" s="5"/>
      <c r="B887" s="150"/>
      <c r="C887" s="151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6"/>
      <c r="AQ887" s="5"/>
      <c r="AR887" s="7"/>
      <c r="AT887" s="5"/>
      <c r="AU887" s="5"/>
      <c r="AV887" s="5"/>
      <c r="AW887" s="5"/>
      <c r="AX887" s="5"/>
      <c r="AY887" s="5"/>
      <c r="AZ887" s="5"/>
      <c r="BF887" s="96"/>
      <c r="BG887" s="96"/>
      <c r="BH887" s="96"/>
      <c r="BI887" s="96"/>
      <c r="BJ887" s="96"/>
      <c r="BK887" s="5"/>
      <c r="BL887" s="5"/>
      <c r="BM887" s="5"/>
      <c r="BN887" s="5"/>
      <c r="BO887" s="5"/>
      <c r="BP887" s="5"/>
    </row>
    <row r="888">
      <c r="A888" s="5"/>
      <c r="B888" s="150"/>
      <c r="C888" s="151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6"/>
      <c r="AQ888" s="5"/>
      <c r="AR888" s="7"/>
      <c r="AT888" s="5"/>
      <c r="AU888" s="5"/>
      <c r="AV888" s="5"/>
      <c r="AW888" s="5"/>
      <c r="AX888" s="5"/>
      <c r="AY888" s="5"/>
      <c r="AZ888" s="5"/>
      <c r="BF888" s="96"/>
      <c r="BG888" s="96"/>
      <c r="BH888" s="96"/>
      <c r="BI888" s="96"/>
      <c r="BJ888" s="96"/>
      <c r="BK888" s="5"/>
      <c r="BL888" s="5"/>
      <c r="BM888" s="5"/>
      <c r="BN888" s="5"/>
      <c r="BO888" s="5"/>
      <c r="BP888" s="5"/>
    </row>
    <row r="889">
      <c r="A889" s="5"/>
      <c r="B889" s="150"/>
      <c r="C889" s="151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6"/>
      <c r="AQ889" s="5"/>
      <c r="AR889" s="7"/>
      <c r="AT889" s="5"/>
      <c r="AU889" s="5"/>
      <c r="AV889" s="5"/>
      <c r="AW889" s="5"/>
      <c r="AX889" s="5"/>
      <c r="AY889" s="5"/>
      <c r="AZ889" s="5"/>
      <c r="BF889" s="96"/>
      <c r="BG889" s="96"/>
      <c r="BH889" s="96"/>
      <c r="BI889" s="96"/>
      <c r="BJ889" s="96"/>
      <c r="BK889" s="5"/>
      <c r="BL889" s="5"/>
      <c r="BM889" s="5"/>
      <c r="BN889" s="5"/>
      <c r="BO889" s="5"/>
      <c r="BP889" s="5"/>
    </row>
    <row r="890">
      <c r="A890" s="5"/>
      <c r="B890" s="150"/>
      <c r="C890" s="151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6"/>
      <c r="AQ890" s="5"/>
      <c r="AR890" s="7"/>
      <c r="AT890" s="5"/>
      <c r="AU890" s="5"/>
      <c r="AV890" s="5"/>
      <c r="AW890" s="5"/>
      <c r="AX890" s="5"/>
      <c r="AY890" s="5"/>
      <c r="AZ890" s="5"/>
      <c r="BF890" s="96"/>
      <c r="BG890" s="96"/>
      <c r="BH890" s="96"/>
      <c r="BI890" s="96"/>
      <c r="BJ890" s="96"/>
      <c r="BK890" s="5"/>
      <c r="BL890" s="5"/>
      <c r="BM890" s="5"/>
      <c r="BN890" s="5"/>
      <c r="BO890" s="5"/>
      <c r="BP890" s="5"/>
    </row>
    <row r="891">
      <c r="A891" s="5"/>
      <c r="B891" s="150"/>
      <c r="C891" s="151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6"/>
      <c r="AQ891" s="5"/>
      <c r="AR891" s="7"/>
      <c r="AT891" s="5"/>
      <c r="AU891" s="5"/>
      <c r="AV891" s="5"/>
      <c r="AW891" s="5"/>
      <c r="AX891" s="5"/>
      <c r="AY891" s="5"/>
      <c r="AZ891" s="5"/>
      <c r="BF891" s="96"/>
      <c r="BG891" s="96"/>
      <c r="BH891" s="96"/>
      <c r="BI891" s="96"/>
      <c r="BJ891" s="96"/>
      <c r="BK891" s="5"/>
      <c r="BL891" s="5"/>
      <c r="BM891" s="5"/>
      <c r="BN891" s="5"/>
      <c r="BO891" s="5"/>
      <c r="BP891" s="5"/>
    </row>
    <row r="892">
      <c r="A892" s="5"/>
      <c r="B892" s="150"/>
      <c r="C892" s="151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6"/>
      <c r="AQ892" s="5"/>
      <c r="AR892" s="7"/>
      <c r="AT892" s="5"/>
      <c r="AU892" s="5"/>
      <c r="AV892" s="5"/>
      <c r="AW892" s="5"/>
      <c r="AX892" s="5"/>
      <c r="AY892" s="5"/>
      <c r="AZ892" s="5"/>
      <c r="BF892" s="96"/>
      <c r="BG892" s="96"/>
      <c r="BH892" s="96"/>
      <c r="BI892" s="96"/>
      <c r="BJ892" s="96"/>
      <c r="BK892" s="5"/>
      <c r="BL892" s="5"/>
      <c r="BM892" s="5"/>
      <c r="BN892" s="5"/>
      <c r="BO892" s="5"/>
      <c r="BP892" s="5"/>
    </row>
    <row r="893">
      <c r="A893" s="5"/>
      <c r="B893" s="150"/>
      <c r="C893" s="151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6"/>
      <c r="AQ893" s="5"/>
      <c r="AR893" s="7"/>
      <c r="AT893" s="5"/>
      <c r="AU893" s="5"/>
      <c r="AV893" s="5"/>
      <c r="AW893" s="5"/>
      <c r="AX893" s="5"/>
      <c r="AY893" s="5"/>
      <c r="AZ893" s="5"/>
      <c r="BF893" s="96"/>
      <c r="BG893" s="96"/>
      <c r="BH893" s="96"/>
      <c r="BI893" s="96"/>
      <c r="BJ893" s="96"/>
      <c r="BK893" s="5"/>
      <c r="BL893" s="5"/>
      <c r="BM893" s="5"/>
      <c r="BN893" s="5"/>
      <c r="BO893" s="5"/>
      <c r="BP893" s="5"/>
    </row>
    <row r="894">
      <c r="A894" s="5"/>
      <c r="B894" s="150"/>
      <c r="C894" s="151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6"/>
      <c r="AQ894" s="5"/>
      <c r="AR894" s="7"/>
      <c r="AT894" s="5"/>
      <c r="AU894" s="5"/>
      <c r="AV894" s="5"/>
      <c r="AW894" s="5"/>
      <c r="AX894" s="5"/>
      <c r="AY894" s="5"/>
      <c r="AZ894" s="5"/>
      <c r="BF894" s="96"/>
      <c r="BG894" s="96"/>
      <c r="BH894" s="96"/>
      <c r="BI894" s="96"/>
      <c r="BJ894" s="96"/>
      <c r="BK894" s="5"/>
      <c r="BL894" s="5"/>
      <c r="BM894" s="5"/>
      <c r="BN894" s="5"/>
      <c r="BO894" s="5"/>
      <c r="BP894" s="5"/>
    </row>
    <row r="895">
      <c r="A895" s="5"/>
      <c r="B895" s="150"/>
      <c r="C895" s="151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6"/>
      <c r="AQ895" s="5"/>
      <c r="AR895" s="7"/>
      <c r="AT895" s="5"/>
      <c r="AU895" s="5"/>
      <c r="AV895" s="5"/>
      <c r="AW895" s="5"/>
      <c r="AX895" s="5"/>
      <c r="AY895" s="5"/>
      <c r="AZ895" s="5"/>
      <c r="BF895" s="96"/>
      <c r="BG895" s="96"/>
      <c r="BH895" s="96"/>
      <c r="BI895" s="96"/>
      <c r="BJ895" s="96"/>
      <c r="BK895" s="5"/>
      <c r="BL895" s="5"/>
      <c r="BM895" s="5"/>
      <c r="BN895" s="5"/>
      <c r="BO895" s="5"/>
      <c r="BP895" s="5"/>
    </row>
    <row r="896">
      <c r="A896" s="5"/>
      <c r="B896" s="150"/>
      <c r="C896" s="151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6"/>
      <c r="AQ896" s="5"/>
      <c r="AR896" s="7"/>
      <c r="AT896" s="5"/>
      <c r="AU896" s="5"/>
      <c r="AV896" s="5"/>
      <c r="AW896" s="5"/>
      <c r="AX896" s="5"/>
      <c r="AY896" s="5"/>
      <c r="AZ896" s="5"/>
      <c r="BF896" s="96"/>
      <c r="BG896" s="96"/>
      <c r="BH896" s="96"/>
      <c r="BI896" s="96"/>
      <c r="BJ896" s="96"/>
      <c r="BK896" s="5"/>
      <c r="BL896" s="5"/>
      <c r="BM896" s="5"/>
      <c r="BN896" s="5"/>
      <c r="BO896" s="5"/>
      <c r="BP896" s="5"/>
    </row>
    <row r="897">
      <c r="A897" s="5"/>
      <c r="B897" s="150"/>
      <c r="C897" s="151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6"/>
      <c r="AQ897" s="5"/>
      <c r="AR897" s="7"/>
      <c r="AT897" s="5"/>
      <c r="AU897" s="5"/>
      <c r="AV897" s="5"/>
      <c r="AW897" s="5"/>
      <c r="AX897" s="5"/>
      <c r="AY897" s="5"/>
      <c r="AZ897" s="5"/>
      <c r="BF897" s="96"/>
      <c r="BG897" s="96"/>
      <c r="BH897" s="96"/>
      <c r="BI897" s="96"/>
      <c r="BJ897" s="96"/>
      <c r="BK897" s="5"/>
      <c r="BL897" s="5"/>
      <c r="BM897" s="5"/>
      <c r="BN897" s="5"/>
      <c r="BO897" s="5"/>
      <c r="BP897" s="5"/>
    </row>
    <row r="898">
      <c r="A898" s="5"/>
      <c r="B898" s="150"/>
      <c r="C898" s="151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6"/>
      <c r="AQ898" s="5"/>
      <c r="AR898" s="7"/>
      <c r="AT898" s="5"/>
      <c r="AU898" s="5"/>
      <c r="AV898" s="5"/>
      <c r="AW898" s="5"/>
      <c r="AX898" s="5"/>
      <c r="AY898" s="5"/>
      <c r="AZ898" s="5"/>
      <c r="BF898" s="96"/>
      <c r="BG898" s="96"/>
      <c r="BH898" s="96"/>
      <c r="BI898" s="96"/>
      <c r="BJ898" s="96"/>
      <c r="BK898" s="5"/>
      <c r="BL898" s="5"/>
      <c r="BM898" s="5"/>
      <c r="BN898" s="5"/>
      <c r="BO898" s="5"/>
      <c r="BP898" s="5"/>
    </row>
    <row r="899">
      <c r="A899" s="5"/>
      <c r="B899" s="150"/>
      <c r="C899" s="151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6"/>
      <c r="AQ899" s="5"/>
      <c r="AR899" s="7"/>
      <c r="AT899" s="5"/>
      <c r="AU899" s="5"/>
      <c r="AV899" s="5"/>
      <c r="AW899" s="5"/>
      <c r="AX899" s="5"/>
      <c r="AY899" s="5"/>
      <c r="AZ899" s="5"/>
      <c r="BF899" s="96"/>
      <c r="BG899" s="96"/>
      <c r="BH899" s="96"/>
      <c r="BI899" s="96"/>
      <c r="BJ899" s="96"/>
      <c r="BK899" s="5"/>
      <c r="BL899" s="5"/>
      <c r="BM899" s="5"/>
      <c r="BN899" s="5"/>
      <c r="BO899" s="5"/>
      <c r="BP899" s="5"/>
    </row>
    <row r="900">
      <c r="A900" s="5"/>
      <c r="B900" s="150"/>
      <c r="C900" s="151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6"/>
      <c r="AQ900" s="5"/>
      <c r="AR900" s="7"/>
      <c r="AT900" s="5"/>
      <c r="AU900" s="5"/>
      <c r="AV900" s="5"/>
      <c r="AW900" s="5"/>
      <c r="AX900" s="5"/>
      <c r="AY900" s="5"/>
      <c r="AZ900" s="5"/>
      <c r="BF900" s="96"/>
      <c r="BG900" s="96"/>
      <c r="BH900" s="96"/>
      <c r="BI900" s="96"/>
      <c r="BJ900" s="96"/>
      <c r="BK900" s="5"/>
      <c r="BL900" s="5"/>
      <c r="BM900" s="5"/>
      <c r="BN900" s="5"/>
      <c r="BO900" s="5"/>
      <c r="BP900" s="5"/>
    </row>
    <row r="901">
      <c r="A901" s="5"/>
      <c r="B901" s="150"/>
      <c r="C901" s="151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6"/>
      <c r="AQ901" s="5"/>
      <c r="AR901" s="7"/>
      <c r="AT901" s="5"/>
      <c r="AU901" s="5"/>
      <c r="AV901" s="5"/>
      <c r="AW901" s="5"/>
      <c r="AX901" s="5"/>
      <c r="AY901" s="5"/>
      <c r="AZ901" s="5"/>
      <c r="BF901" s="96"/>
      <c r="BG901" s="96"/>
      <c r="BH901" s="96"/>
      <c r="BI901" s="96"/>
      <c r="BJ901" s="96"/>
      <c r="BK901" s="5"/>
      <c r="BL901" s="5"/>
      <c r="BM901" s="5"/>
      <c r="BN901" s="5"/>
      <c r="BO901" s="5"/>
      <c r="BP901" s="5"/>
    </row>
    <row r="902">
      <c r="A902" s="5"/>
      <c r="B902" s="150"/>
      <c r="C902" s="151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6"/>
      <c r="AQ902" s="5"/>
      <c r="AR902" s="7"/>
      <c r="AT902" s="5"/>
      <c r="AU902" s="5"/>
      <c r="AV902" s="5"/>
      <c r="AW902" s="5"/>
      <c r="AX902" s="5"/>
      <c r="AY902" s="5"/>
      <c r="AZ902" s="5"/>
      <c r="BF902" s="96"/>
      <c r="BG902" s="96"/>
      <c r="BH902" s="96"/>
      <c r="BI902" s="96"/>
      <c r="BJ902" s="96"/>
      <c r="BK902" s="5"/>
      <c r="BL902" s="5"/>
      <c r="BM902" s="5"/>
      <c r="BN902" s="5"/>
      <c r="BO902" s="5"/>
      <c r="BP902" s="5"/>
    </row>
    <row r="903">
      <c r="A903" s="5"/>
      <c r="B903" s="150"/>
      <c r="C903" s="151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6"/>
      <c r="AQ903" s="5"/>
      <c r="AR903" s="7"/>
      <c r="AT903" s="5"/>
      <c r="AU903" s="5"/>
      <c r="AV903" s="5"/>
      <c r="AW903" s="5"/>
      <c r="AX903" s="5"/>
      <c r="AY903" s="5"/>
      <c r="AZ903" s="5"/>
      <c r="BF903" s="96"/>
      <c r="BG903" s="96"/>
      <c r="BH903" s="96"/>
      <c r="BI903" s="96"/>
      <c r="BJ903" s="96"/>
      <c r="BK903" s="5"/>
      <c r="BL903" s="5"/>
      <c r="BM903" s="5"/>
      <c r="BN903" s="5"/>
      <c r="BO903" s="5"/>
      <c r="BP903" s="5"/>
    </row>
    <row r="904">
      <c r="A904" s="5"/>
      <c r="B904" s="150"/>
      <c r="C904" s="151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6"/>
      <c r="AQ904" s="5"/>
      <c r="AR904" s="7"/>
      <c r="AT904" s="5"/>
      <c r="AU904" s="5"/>
      <c r="AV904" s="5"/>
      <c r="AW904" s="5"/>
      <c r="AX904" s="5"/>
      <c r="AY904" s="5"/>
      <c r="AZ904" s="5"/>
      <c r="BF904" s="96"/>
      <c r="BG904" s="96"/>
      <c r="BH904" s="96"/>
      <c r="BI904" s="96"/>
      <c r="BJ904" s="96"/>
      <c r="BK904" s="5"/>
      <c r="BL904" s="5"/>
      <c r="BM904" s="5"/>
      <c r="BN904" s="5"/>
      <c r="BO904" s="5"/>
      <c r="BP904" s="5"/>
    </row>
    <row r="905">
      <c r="A905" s="5"/>
      <c r="B905" s="150"/>
      <c r="C905" s="151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6"/>
      <c r="AQ905" s="5"/>
      <c r="AR905" s="7"/>
      <c r="AT905" s="5"/>
      <c r="AU905" s="5"/>
      <c r="AV905" s="5"/>
      <c r="AW905" s="5"/>
      <c r="AX905" s="5"/>
      <c r="AY905" s="5"/>
      <c r="AZ905" s="5"/>
      <c r="BF905" s="96"/>
      <c r="BG905" s="96"/>
      <c r="BH905" s="96"/>
      <c r="BI905" s="96"/>
      <c r="BJ905" s="96"/>
      <c r="BK905" s="5"/>
      <c r="BL905" s="5"/>
      <c r="BM905" s="5"/>
      <c r="BN905" s="5"/>
      <c r="BO905" s="5"/>
      <c r="BP905" s="5"/>
    </row>
    <row r="906">
      <c r="A906" s="5"/>
      <c r="B906" s="150"/>
      <c r="C906" s="151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6"/>
      <c r="AQ906" s="5"/>
      <c r="AR906" s="7"/>
      <c r="AT906" s="5"/>
      <c r="AU906" s="5"/>
      <c r="AV906" s="5"/>
      <c r="AW906" s="5"/>
      <c r="AX906" s="5"/>
      <c r="AY906" s="5"/>
      <c r="AZ906" s="5"/>
      <c r="BF906" s="96"/>
      <c r="BG906" s="96"/>
      <c r="BH906" s="96"/>
      <c r="BI906" s="96"/>
      <c r="BJ906" s="96"/>
      <c r="BK906" s="5"/>
      <c r="BL906" s="5"/>
      <c r="BM906" s="5"/>
      <c r="BN906" s="5"/>
      <c r="BO906" s="5"/>
      <c r="BP906" s="5"/>
    </row>
    <row r="907">
      <c r="A907" s="5"/>
      <c r="B907" s="150"/>
      <c r="C907" s="151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6"/>
      <c r="AQ907" s="5"/>
      <c r="AR907" s="7"/>
      <c r="AT907" s="5"/>
      <c r="AU907" s="5"/>
      <c r="AV907" s="5"/>
      <c r="AW907" s="5"/>
      <c r="AX907" s="5"/>
      <c r="AY907" s="5"/>
      <c r="AZ907" s="5"/>
      <c r="BF907" s="96"/>
      <c r="BG907" s="96"/>
      <c r="BH907" s="96"/>
      <c r="BI907" s="96"/>
      <c r="BJ907" s="96"/>
      <c r="BK907" s="5"/>
      <c r="BL907" s="5"/>
      <c r="BM907" s="5"/>
      <c r="BN907" s="5"/>
      <c r="BO907" s="5"/>
      <c r="BP907" s="5"/>
    </row>
    <row r="908">
      <c r="A908" s="5"/>
      <c r="B908" s="150"/>
      <c r="C908" s="151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6"/>
      <c r="AQ908" s="5"/>
      <c r="AR908" s="7"/>
      <c r="AT908" s="5"/>
      <c r="AU908" s="5"/>
      <c r="AV908" s="5"/>
      <c r="AW908" s="5"/>
      <c r="AX908" s="5"/>
      <c r="AY908" s="5"/>
      <c r="AZ908" s="5"/>
      <c r="BF908" s="96"/>
      <c r="BG908" s="96"/>
      <c r="BH908" s="96"/>
      <c r="BI908" s="96"/>
      <c r="BJ908" s="96"/>
      <c r="BK908" s="5"/>
      <c r="BL908" s="5"/>
      <c r="BM908" s="5"/>
      <c r="BN908" s="5"/>
      <c r="BO908" s="5"/>
      <c r="BP908" s="5"/>
    </row>
    <row r="909">
      <c r="A909" s="5"/>
      <c r="B909" s="150"/>
      <c r="C909" s="151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6"/>
      <c r="AQ909" s="5"/>
      <c r="AR909" s="7"/>
      <c r="AT909" s="5"/>
      <c r="AU909" s="5"/>
      <c r="AV909" s="5"/>
      <c r="AW909" s="5"/>
      <c r="AX909" s="5"/>
      <c r="AY909" s="5"/>
      <c r="AZ909" s="5"/>
      <c r="BF909" s="96"/>
      <c r="BG909" s="96"/>
      <c r="BH909" s="96"/>
      <c r="BI909" s="96"/>
      <c r="BJ909" s="96"/>
      <c r="BK909" s="5"/>
      <c r="BL909" s="5"/>
      <c r="BM909" s="5"/>
      <c r="BN909" s="5"/>
      <c r="BO909" s="5"/>
      <c r="BP909" s="5"/>
    </row>
    <row r="910">
      <c r="A910" s="5"/>
      <c r="B910" s="150"/>
      <c r="C910" s="151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6"/>
      <c r="AQ910" s="5"/>
      <c r="AR910" s="7"/>
      <c r="AT910" s="5"/>
      <c r="AU910" s="5"/>
      <c r="AV910" s="5"/>
      <c r="AW910" s="5"/>
      <c r="AX910" s="5"/>
      <c r="AY910" s="5"/>
      <c r="AZ910" s="5"/>
      <c r="BF910" s="96"/>
      <c r="BG910" s="96"/>
      <c r="BH910" s="96"/>
      <c r="BI910" s="96"/>
      <c r="BJ910" s="96"/>
      <c r="BK910" s="5"/>
      <c r="BL910" s="5"/>
      <c r="BM910" s="5"/>
      <c r="BN910" s="5"/>
      <c r="BO910" s="5"/>
      <c r="BP910" s="5"/>
    </row>
    <row r="911">
      <c r="A911" s="5"/>
      <c r="B911" s="150"/>
      <c r="C911" s="151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6"/>
      <c r="AQ911" s="5"/>
      <c r="AR911" s="7"/>
      <c r="AT911" s="5"/>
      <c r="AU911" s="5"/>
      <c r="AV911" s="5"/>
      <c r="AW911" s="5"/>
      <c r="AX911" s="5"/>
      <c r="AY911" s="5"/>
      <c r="AZ911" s="5"/>
      <c r="BF911" s="96"/>
      <c r="BG911" s="96"/>
      <c r="BH911" s="96"/>
      <c r="BI911" s="96"/>
      <c r="BJ911" s="96"/>
      <c r="BK911" s="5"/>
      <c r="BL911" s="5"/>
      <c r="BM911" s="5"/>
      <c r="BN911" s="5"/>
      <c r="BO911" s="5"/>
      <c r="BP911" s="5"/>
    </row>
    <row r="912">
      <c r="A912" s="5"/>
      <c r="B912" s="150"/>
      <c r="C912" s="151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6"/>
      <c r="AQ912" s="5"/>
      <c r="AR912" s="7"/>
      <c r="AT912" s="5"/>
      <c r="AU912" s="5"/>
      <c r="AV912" s="5"/>
      <c r="AW912" s="5"/>
      <c r="AX912" s="5"/>
      <c r="AY912" s="5"/>
      <c r="AZ912" s="5"/>
      <c r="BF912" s="96"/>
      <c r="BG912" s="96"/>
      <c r="BH912" s="96"/>
      <c r="BI912" s="96"/>
      <c r="BJ912" s="96"/>
      <c r="BK912" s="5"/>
      <c r="BL912" s="5"/>
      <c r="BM912" s="5"/>
      <c r="BN912" s="5"/>
      <c r="BO912" s="5"/>
      <c r="BP912" s="5"/>
    </row>
    <row r="913">
      <c r="A913" s="5"/>
      <c r="B913" s="150"/>
      <c r="C913" s="151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6"/>
      <c r="AQ913" s="5"/>
      <c r="AR913" s="7"/>
      <c r="AT913" s="5"/>
      <c r="AU913" s="5"/>
      <c r="AV913" s="5"/>
      <c r="AW913" s="5"/>
      <c r="AX913" s="5"/>
      <c r="AY913" s="5"/>
      <c r="AZ913" s="5"/>
      <c r="BF913" s="96"/>
      <c r="BG913" s="96"/>
      <c r="BH913" s="96"/>
      <c r="BI913" s="96"/>
      <c r="BJ913" s="96"/>
      <c r="BK913" s="5"/>
      <c r="BL913" s="5"/>
      <c r="BM913" s="5"/>
      <c r="BN913" s="5"/>
      <c r="BO913" s="5"/>
      <c r="BP913" s="5"/>
    </row>
    <row r="914">
      <c r="A914" s="5"/>
      <c r="B914" s="150"/>
      <c r="C914" s="151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6"/>
      <c r="AQ914" s="5"/>
      <c r="AR914" s="7"/>
      <c r="AT914" s="5"/>
      <c r="AU914" s="5"/>
      <c r="AV914" s="5"/>
      <c r="AW914" s="5"/>
      <c r="AX914" s="5"/>
      <c r="AY914" s="5"/>
      <c r="AZ914" s="5"/>
      <c r="BF914" s="96"/>
      <c r="BG914" s="96"/>
      <c r="BH914" s="96"/>
      <c r="BI914" s="96"/>
      <c r="BJ914" s="96"/>
      <c r="BK914" s="5"/>
      <c r="BL914" s="5"/>
      <c r="BM914" s="5"/>
      <c r="BN914" s="5"/>
      <c r="BO914" s="5"/>
      <c r="BP914" s="5"/>
    </row>
    <row r="915">
      <c r="A915" s="5"/>
      <c r="B915" s="150"/>
      <c r="C915" s="151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6"/>
      <c r="AQ915" s="5"/>
      <c r="AR915" s="7"/>
      <c r="AT915" s="5"/>
      <c r="AU915" s="5"/>
      <c r="AV915" s="5"/>
      <c r="AW915" s="5"/>
      <c r="AX915" s="5"/>
      <c r="AY915" s="5"/>
      <c r="AZ915" s="5"/>
      <c r="BF915" s="96"/>
      <c r="BG915" s="96"/>
      <c r="BH915" s="96"/>
      <c r="BI915" s="96"/>
      <c r="BJ915" s="96"/>
      <c r="BK915" s="5"/>
      <c r="BL915" s="5"/>
      <c r="BM915" s="5"/>
      <c r="BN915" s="5"/>
      <c r="BO915" s="5"/>
      <c r="BP915" s="5"/>
    </row>
    <row r="916">
      <c r="A916" s="5"/>
      <c r="B916" s="150"/>
      <c r="C916" s="151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6"/>
      <c r="AQ916" s="5"/>
      <c r="AR916" s="7"/>
      <c r="AT916" s="5"/>
      <c r="AU916" s="5"/>
      <c r="AV916" s="5"/>
      <c r="AW916" s="5"/>
      <c r="AX916" s="5"/>
      <c r="AY916" s="5"/>
      <c r="AZ916" s="5"/>
      <c r="BF916" s="96"/>
      <c r="BG916" s="96"/>
      <c r="BH916" s="96"/>
      <c r="BI916" s="96"/>
      <c r="BJ916" s="96"/>
      <c r="BK916" s="5"/>
      <c r="BL916" s="5"/>
      <c r="BM916" s="5"/>
      <c r="BN916" s="5"/>
      <c r="BO916" s="5"/>
      <c r="BP916" s="5"/>
    </row>
    <row r="917">
      <c r="A917" s="5"/>
      <c r="B917" s="150"/>
      <c r="C917" s="151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6"/>
      <c r="AQ917" s="5"/>
      <c r="AR917" s="7"/>
      <c r="AT917" s="5"/>
      <c r="AU917" s="5"/>
      <c r="AV917" s="5"/>
      <c r="AW917" s="5"/>
      <c r="AX917" s="5"/>
      <c r="AY917" s="5"/>
      <c r="AZ917" s="5"/>
      <c r="BF917" s="96"/>
      <c r="BG917" s="96"/>
      <c r="BH917" s="96"/>
      <c r="BI917" s="96"/>
      <c r="BJ917" s="96"/>
      <c r="BK917" s="5"/>
      <c r="BL917" s="5"/>
      <c r="BM917" s="5"/>
      <c r="BN917" s="5"/>
      <c r="BO917" s="5"/>
      <c r="BP917" s="5"/>
    </row>
    <row r="918">
      <c r="A918" s="5"/>
      <c r="B918" s="150"/>
      <c r="C918" s="151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6"/>
      <c r="AQ918" s="5"/>
      <c r="AR918" s="7"/>
      <c r="AT918" s="5"/>
      <c r="AU918" s="5"/>
      <c r="AV918" s="5"/>
      <c r="AW918" s="5"/>
      <c r="AX918" s="5"/>
      <c r="AY918" s="5"/>
      <c r="AZ918" s="5"/>
      <c r="BF918" s="96"/>
      <c r="BG918" s="96"/>
      <c r="BH918" s="96"/>
      <c r="BI918" s="96"/>
      <c r="BJ918" s="96"/>
      <c r="BK918" s="5"/>
      <c r="BL918" s="5"/>
      <c r="BM918" s="5"/>
      <c r="BN918" s="5"/>
      <c r="BO918" s="5"/>
      <c r="BP918" s="5"/>
    </row>
    <row r="919">
      <c r="A919" s="5"/>
      <c r="B919" s="150"/>
      <c r="C919" s="151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6"/>
      <c r="AQ919" s="5"/>
      <c r="AR919" s="7"/>
      <c r="AT919" s="5"/>
      <c r="AU919" s="5"/>
      <c r="AV919" s="5"/>
      <c r="AW919" s="5"/>
      <c r="AX919" s="5"/>
      <c r="AY919" s="5"/>
      <c r="AZ919" s="5"/>
      <c r="BF919" s="96"/>
      <c r="BG919" s="96"/>
      <c r="BH919" s="96"/>
      <c r="BI919" s="96"/>
      <c r="BJ919" s="96"/>
      <c r="BK919" s="5"/>
      <c r="BL919" s="5"/>
      <c r="BM919" s="5"/>
      <c r="BN919" s="5"/>
      <c r="BO919" s="5"/>
      <c r="BP919" s="5"/>
    </row>
    <row r="920">
      <c r="A920" s="5"/>
      <c r="B920" s="150"/>
      <c r="C920" s="151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6"/>
      <c r="AQ920" s="5"/>
      <c r="AR920" s="7"/>
      <c r="AT920" s="5"/>
      <c r="AU920" s="5"/>
      <c r="AV920" s="5"/>
      <c r="AW920" s="5"/>
      <c r="AX920" s="5"/>
      <c r="AY920" s="5"/>
      <c r="AZ920" s="5"/>
      <c r="BF920" s="96"/>
      <c r="BG920" s="96"/>
      <c r="BH920" s="96"/>
      <c r="BI920" s="96"/>
      <c r="BJ920" s="96"/>
      <c r="BK920" s="5"/>
      <c r="BL920" s="5"/>
      <c r="BM920" s="5"/>
      <c r="BN920" s="5"/>
      <c r="BO920" s="5"/>
      <c r="BP920" s="5"/>
    </row>
    <row r="921">
      <c r="A921" s="5"/>
      <c r="B921" s="150"/>
      <c r="C921" s="151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6"/>
      <c r="AQ921" s="5"/>
      <c r="AR921" s="7"/>
      <c r="AT921" s="5"/>
      <c r="AU921" s="5"/>
      <c r="AV921" s="5"/>
      <c r="AW921" s="5"/>
      <c r="AX921" s="5"/>
      <c r="AY921" s="5"/>
      <c r="AZ921" s="5"/>
      <c r="BF921" s="96"/>
      <c r="BG921" s="96"/>
      <c r="BH921" s="96"/>
      <c r="BI921" s="96"/>
      <c r="BJ921" s="96"/>
      <c r="BK921" s="5"/>
      <c r="BL921" s="5"/>
      <c r="BM921" s="5"/>
      <c r="BN921" s="5"/>
      <c r="BO921" s="5"/>
      <c r="BP921" s="5"/>
    </row>
    <row r="922">
      <c r="A922" s="5"/>
      <c r="B922" s="150"/>
      <c r="C922" s="151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6"/>
      <c r="AQ922" s="5"/>
      <c r="AR922" s="7"/>
      <c r="AT922" s="5"/>
      <c r="AU922" s="5"/>
      <c r="AV922" s="5"/>
      <c r="AW922" s="5"/>
      <c r="AX922" s="5"/>
      <c r="AY922" s="5"/>
      <c r="AZ922" s="5"/>
      <c r="BF922" s="96"/>
      <c r="BG922" s="96"/>
      <c r="BH922" s="96"/>
      <c r="BI922" s="96"/>
      <c r="BJ922" s="96"/>
      <c r="BK922" s="5"/>
      <c r="BL922" s="5"/>
      <c r="BM922" s="5"/>
      <c r="BN922" s="5"/>
      <c r="BO922" s="5"/>
      <c r="BP922" s="5"/>
    </row>
    <row r="923">
      <c r="A923" s="5"/>
      <c r="B923" s="150"/>
      <c r="C923" s="151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6"/>
      <c r="AQ923" s="5"/>
      <c r="AR923" s="7"/>
      <c r="AT923" s="5"/>
      <c r="AU923" s="5"/>
      <c r="AV923" s="5"/>
      <c r="AW923" s="5"/>
      <c r="AX923" s="5"/>
      <c r="AY923" s="5"/>
      <c r="AZ923" s="5"/>
      <c r="BF923" s="96"/>
      <c r="BG923" s="96"/>
      <c r="BH923" s="96"/>
      <c r="BI923" s="96"/>
      <c r="BJ923" s="96"/>
      <c r="BK923" s="5"/>
      <c r="BL923" s="5"/>
      <c r="BM923" s="5"/>
      <c r="BN923" s="5"/>
      <c r="BO923" s="5"/>
      <c r="BP923" s="5"/>
    </row>
    <row r="924">
      <c r="A924" s="5"/>
      <c r="B924" s="150"/>
      <c r="C924" s="151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6"/>
      <c r="AQ924" s="5"/>
      <c r="AR924" s="7"/>
      <c r="AT924" s="5"/>
      <c r="AU924" s="5"/>
      <c r="AV924" s="5"/>
      <c r="AW924" s="5"/>
      <c r="AX924" s="5"/>
      <c r="AY924" s="5"/>
      <c r="AZ924" s="5"/>
      <c r="BF924" s="96"/>
      <c r="BG924" s="96"/>
      <c r="BH924" s="96"/>
      <c r="BI924" s="96"/>
      <c r="BJ924" s="96"/>
      <c r="BK924" s="5"/>
      <c r="BL924" s="5"/>
      <c r="BM924" s="5"/>
      <c r="BN924" s="5"/>
      <c r="BO924" s="5"/>
      <c r="BP924" s="5"/>
    </row>
    <row r="925">
      <c r="A925" s="5"/>
      <c r="B925" s="150"/>
      <c r="C925" s="151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6"/>
      <c r="AQ925" s="5"/>
      <c r="AR925" s="7"/>
      <c r="AT925" s="5"/>
      <c r="AU925" s="5"/>
      <c r="AV925" s="5"/>
      <c r="AW925" s="5"/>
      <c r="AX925" s="5"/>
      <c r="AY925" s="5"/>
      <c r="AZ925" s="5"/>
      <c r="BF925" s="96"/>
      <c r="BG925" s="96"/>
      <c r="BH925" s="96"/>
      <c r="BI925" s="96"/>
      <c r="BJ925" s="96"/>
      <c r="BK925" s="5"/>
      <c r="BL925" s="5"/>
      <c r="BM925" s="5"/>
      <c r="BN925" s="5"/>
      <c r="BO925" s="5"/>
      <c r="BP925" s="5"/>
    </row>
    <row r="926">
      <c r="A926" s="5"/>
      <c r="B926" s="150"/>
      <c r="C926" s="151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6"/>
      <c r="AQ926" s="5"/>
      <c r="AR926" s="7"/>
      <c r="AT926" s="5"/>
      <c r="AU926" s="5"/>
      <c r="AV926" s="5"/>
      <c r="AW926" s="5"/>
      <c r="AX926" s="5"/>
      <c r="AY926" s="5"/>
      <c r="AZ926" s="5"/>
      <c r="BF926" s="96"/>
      <c r="BG926" s="96"/>
      <c r="BH926" s="96"/>
      <c r="BI926" s="96"/>
      <c r="BJ926" s="96"/>
      <c r="BK926" s="5"/>
      <c r="BL926" s="5"/>
      <c r="BM926" s="5"/>
      <c r="BN926" s="5"/>
      <c r="BO926" s="5"/>
      <c r="BP926" s="5"/>
    </row>
    <row r="927">
      <c r="A927" s="5"/>
      <c r="B927" s="150"/>
      <c r="C927" s="151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6"/>
      <c r="AQ927" s="5"/>
      <c r="AR927" s="7"/>
      <c r="AT927" s="5"/>
      <c r="AU927" s="5"/>
      <c r="AV927" s="5"/>
      <c r="AW927" s="5"/>
      <c r="AX927" s="5"/>
      <c r="AY927" s="5"/>
      <c r="AZ927" s="5"/>
      <c r="BF927" s="96"/>
      <c r="BG927" s="96"/>
      <c r="BH927" s="96"/>
      <c r="BI927" s="96"/>
      <c r="BJ927" s="96"/>
      <c r="BK927" s="5"/>
      <c r="BL927" s="5"/>
      <c r="BM927" s="5"/>
      <c r="BN927" s="5"/>
      <c r="BO927" s="5"/>
      <c r="BP927" s="5"/>
    </row>
    <row r="928">
      <c r="A928" s="5"/>
      <c r="B928" s="150"/>
      <c r="C928" s="151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6"/>
      <c r="AQ928" s="5"/>
      <c r="AR928" s="7"/>
      <c r="AT928" s="5"/>
      <c r="AU928" s="5"/>
      <c r="AV928" s="5"/>
      <c r="AW928" s="5"/>
      <c r="AX928" s="5"/>
      <c r="AY928" s="5"/>
      <c r="AZ928" s="5"/>
      <c r="BF928" s="96"/>
      <c r="BG928" s="96"/>
      <c r="BH928" s="96"/>
      <c r="BI928" s="96"/>
      <c r="BJ928" s="96"/>
      <c r="BK928" s="5"/>
      <c r="BL928" s="5"/>
      <c r="BM928" s="5"/>
      <c r="BN928" s="5"/>
      <c r="BO928" s="5"/>
      <c r="BP928" s="5"/>
    </row>
    <row r="929">
      <c r="A929" s="5"/>
      <c r="B929" s="150"/>
      <c r="C929" s="151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6"/>
      <c r="AQ929" s="5"/>
      <c r="AR929" s="7"/>
      <c r="AT929" s="5"/>
      <c r="AU929" s="5"/>
      <c r="AV929" s="5"/>
      <c r="AW929" s="5"/>
      <c r="AX929" s="5"/>
      <c r="AY929" s="5"/>
      <c r="AZ929" s="5"/>
      <c r="BF929" s="96"/>
      <c r="BG929" s="96"/>
      <c r="BH929" s="96"/>
      <c r="BI929" s="96"/>
      <c r="BJ929" s="96"/>
      <c r="BK929" s="5"/>
      <c r="BL929" s="5"/>
      <c r="BM929" s="5"/>
      <c r="BN929" s="5"/>
      <c r="BO929" s="5"/>
      <c r="BP929" s="5"/>
    </row>
    <row r="930">
      <c r="A930" s="5"/>
      <c r="B930" s="150"/>
      <c r="C930" s="151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6"/>
      <c r="AQ930" s="5"/>
      <c r="AR930" s="7"/>
      <c r="AT930" s="5"/>
      <c r="AU930" s="5"/>
      <c r="AV930" s="5"/>
      <c r="AW930" s="5"/>
      <c r="AX930" s="5"/>
      <c r="AY930" s="5"/>
      <c r="AZ930" s="5"/>
      <c r="BF930" s="96"/>
      <c r="BG930" s="96"/>
      <c r="BH930" s="96"/>
      <c r="BI930" s="96"/>
      <c r="BJ930" s="96"/>
      <c r="BK930" s="5"/>
      <c r="BL930" s="5"/>
      <c r="BM930" s="5"/>
      <c r="BN930" s="5"/>
      <c r="BO930" s="5"/>
      <c r="BP930" s="5"/>
    </row>
    <row r="931">
      <c r="A931" s="5"/>
      <c r="B931" s="150"/>
      <c r="C931" s="151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6"/>
      <c r="AQ931" s="5"/>
      <c r="AR931" s="7"/>
      <c r="AT931" s="5"/>
      <c r="AU931" s="5"/>
      <c r="AV931" s="5"/>
      <c r="AW931" s="5"/>
      <c r="AX931" s="5"/>
      <c r="AY931" s="5"/>
      <c r="AZ931" s="5"/>
      <c r="BF931" s="96"/>
      <c r="BG931" s="96"/>
      <c r="BH931" s="96"/>
      <c r="BI931" s="96"/>
      <c r="BJ931" s="96"/>
      <c r="BK931" s="5"/>
      <c r="BL931" s="5"/>
      <c r="BM931" s="5"/>
      <c r="BN931" s="5"/>
      <c r="BO931" s="5"/>
      <c r="BP931" s="5"/>
    </row>
    <row r="932">
      <c r="A932" s="5"/>
      <c r="B932" s="150"/>
      <c r="C932" s="151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6"/>
      <c r="AQ932" s="5"/>
      <c r="AR932" s="7"/>
      <c r="AT932" s="5"/>
      <c r="AU932" s="5"/>
      <c r="AV932" s="5"/>
      <c r="AW932" s="5"/>
      <c r="AX932" s="5"/>
      <c r="AY932" s="5"/>
      <c r="AZ932" s="5"/>
      <c r="BF932" s="96"/>
      <c r="BG932" s="96"/>
      <c r="BH932" s="96"/>
      <c r="BI932" s="96"/>
      <c r="BJ932" s="96"/>
      <c r="BK932" s="5"/>
      <c r="BL932" s="5"/>
      <c r="BM932" s="5"/>
      <c r="BN932" s="5"/>
      <c r="BO932" s="5"/>
      <c r="BP932" s="5"/>
    </row>
    <row r="933">
      <c r="A933" s="5"/>
      <c r="B933" s="150"/>
      <c r="C933" s="151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6"/>
      <c r="AQ933" s="5"/>
      <c r="AR933" s="7"/>
      <c r="AT933" s="5"/>
      <c r="AU933" s="5"/>
      <c r="AV933" s="5"/>
      <c r="AW933" s="5"/>
      <c r="AX933" s="5"/>
      <c r="AY933" s="5"/>
      <c r="AZ933" s="5"/>
      <c r="BF933" s="96"/>
      <c r="BG933" s="96"/>
      <c r="BH933" s="96"/>
      <c r="BI933" s="96"/>
      <c r="BJ933" s="96"/>
      <c r="BK933" s="5"/>
      <c r="BL933" s="5"/>
      <c r="BM933" s="5"/>
      <c r="BN933" s="5"/>
      <c r="BO933" s="5"/>
      <c r="BP933" s="5"/>
    </row>
    <row r="934">
      <c r="A934" s="5"/>
      <c r="B934" s="150"/>
      <c r="C934" s="151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6"/>
      <c r="AQ934" s="5"/>
      <c r="AR934" s="7"/>
      <c r="AT934" s="5"/>
      <c r="AU934" s="5"/>
      <c r="AV934" s="5"/>
      <c r="AW934" s="5"/>
      <c r="AX934" s="5"/>
      <c r="AY934" s="5"/>
      <c r="AZ934" s="5"/>
      <c r="BF934" s="96"/>
      <c r="BG934" s="96"/>
      <c r="BH934" s="96"/>
      <c r="BI934" s="96"/>
      <c r="BJ934" s="96"/>
      <c r="BK934" s="5"/>
      <c r="BL934" s="5"/>
      <c r="BM934" s="5"/>
      <c r="BN934" s="5"/>
      <c r="BO934" s="5"/>
      <c r="BP934" s="5"/>
    </row>
    <row r="935">
      <c r="A935" s="5"/>
      <c r="B935" s="150"/>
      <c r="C935" s="151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6"/>
      <c r="AQ935" s="5"/>
      <c r="AR935" s="7"/>
      <c r="AT935" s="5"/>
      <c r="AU935" s="5"/>
      <c r="AV935" s="5"/>
      <c r="AW935" s="5"/>
      <c r="AX935" s="5"/>
      <c r="AY935" s="5"/>
      <c r="AZ935" s="5"/>
      <c r="BF935" s="96"/>
      <c r="BG935" s="96"/>
      <c r="BH935" s="96"/>
      <c r="BI935" s="96"/>
      <c r="BJ935" s="96"/>
      <c r="BK935" s="5"/>
      <c r="BL935" s="5"/>
      <c r="BM935" s="5"/>
      <c r="BN935" s="5"/>
      <c r="BO935" s="5"/>
      <c r="BP935" s="5"/>
    </row>
    <row r="936">
      <c r="A936" s="5"/>
      <c r="B936" s="150"/>
      <c r="C936" s="151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6"/>
      <c r="AQ936" s="5"/>
      <c r="AR936" s="7"/>
      <c r="AT936" s="5"/>
      <c r="AU936" s="5"/>
      <c r="AV936" s="5"/>
      <c r="AW936" s="5"/>
      <c r="AX936" s="5"/>
      <c r="AY936" s="5"/>
      <c r="AZ936" s="5"/>
      <c r="BF936" s="96"/>
      <c r="BG936" s="96"/>
      <c r="BH936" s="96"/>
      <c r="BI936" s="96"/>
      <c r="BJ936" s="96"/>
      <c r="BK936" s="5"/>
      <c r="BL936" s="5"/>
      <c r="BM936" s="5"/>
      <c r="BN936" s="5"/>
      <c r="BO936" s="5"/>
      <c r="BP936" s="5"/>
    </row>
    <row r="937">
      <c r="A937" s="5"/>
      <c r="B937" s="150"/>
      <c r="C937" s="151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6"/>
      <c r="AQ937" s="5"/>
      <c r="AR937" s="7"/>
      <c r="AT937" s="5"/>
      <c r="AU937" s="5"/>
      <c r="AV937" s="5"/>
      <c r="AW937" s="5"/>
      <c r="AX937" s="5"/>
      <c r="AY937" s="5"/>
      <c r="AZ937" s="5"/>
      <c r="BF937" s="96"/>
      <c r="BG937" s="96"/>
      <c r="BH937" s="96"/>
      <c r="BI937" s="96"/>
      <c r="BJ937" s="96"/>
      <c r="BK937" s="5"/>
      <c r="BL937" s="5"/>
      <c r="BM937" s="5"/>
      <c r="BN937" s="5"/>
      <c r="BO937" s="5"/>
      <c r="BP937" s="5"/>
    </row>
    <row r="938">
      <c r="A938" s="5"/>
      <c r="B938" s="150"/>
      <c r="C938" s="151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6"/>
      <c r="AQ938" s="5"/>
      <c r="AR938" s="7"/>
      <c r="AT938" s="5"/>
      <c r="AU938" s="5"/>
      <c r="AV938" s="5"/>
      <c r="AW938" s="5"/>
      <c r="AX938" s="5"/>
      <c r="AY938" s="5"/>
      <c r="AZ938" s="5"/>
      <c r="BF938" s="96"/>
      <c r="BG938" s="96"/>
      <c r="BH938" s="96"/>
      <c r="BI938" s="96"/>
      <c r="BJ938" s="96"/>
      <c r="BK938" s="5"/>
      <c r="BL938" s="5"/>
      <c r="BM938" s="5"/>
      <c r="BN938" s="5"/>
      <c r="BO938" s="5"/>
      <c r="BP938" s="5"/>
    </row>
    <row r="939">
      <c r="A939" s="5"/>
      <c r="B939" s="150"/>
      <c r="C939" s="151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6"/>
      <c r="AQ939" s="5"/>
      <c r="AR939" s="7"/>
      <c r="AT939" s="5"/>
      <c r="AU939" s="5"/>
      <c r="AV939" s="5"/>
      <c r="AW939" s="5"/>
      <c r="AX939" s="5"/>
      <c r="AY939" s="5"/>
      <c r="AZ939" s="5"/>
      <c r="BF939" s="96"/>
      <c r="BG939" s="96"/>
      <c r="BH939" s="96"/>
      <c r="BI939" s="96"/>
      <c r="BJ939" s="96"/>
      <c r="BK939" s="5"/>
      <c r="BL939" s="5"/>
      <c r="BM939" s="5"/>
      <c r="BN939" s="5"/>
      <c r="BO939" s="5"/>
      <c r="BP939" s="5"/>
    </row>
    <row r="940">
      <c r="A940" s="5"/>
      <c r="B940" s="150"/>
      <c r="C940" s="151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6"/>
      <c r="AQ940" s="5"/>
      <c r="AR940" s="7"/>
      <c r="AT940" s="5"/>
      <c r="AU940" s="5"/>
      <c r="AV940" s="5"/>
      <c r="AW940" s="5"/>
      <c r="AX940" s="5"/>
      <c r="AY940" s="5"/>
      <c r="AZ940" s="5"/>
      <c r="BF940" s="96"/>
      <c r="BG940" s="96"/>
      <c r="BH940" s="96"/>
      <c r="BI940" s="96"/>
      <c r="BJ940" s="96"/>
      <c r="BK940" s="5"/>
      <c r="BL940" s="5"/>
      <c r="BM940" s="5"/>
      <c r="BN940" s="5"/>
      <c r="BO940" s="5"/>
      <c r="BP940" s="5"/>
    </row>
    <row r="941">
      <c r="A941" s="5"/>
      <c r="B941" s="150"/>
      <c r="C941" s="151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6"/>
      <c r="AQ941" s="5"/>
      <c r="AR941" s="7"/>
      <c r="AT941" s="5"/>
      <c r="AU941" s="5"/>
      <c r="AV941" s="5"/>
      <c r="AW941" s="5"/>
      <c r="AX941" s="5"/>
      <c r="AY941" s="5"/>
      <c r="AZ941" s="5"/>
      <c r="BF941" s="96"/>
      <c r="BG941" s="96"/>
      <c r="BH941" s="96"/>
      <c r="BI941" s="96"/>
      <c r="BJ941" s="96"/>
      <c r="BK941" s="5"/>
      <c r="BL941" s="5"/>
      <c r="BM941" s="5"/>
      <c r="BN941" s="5"/>
      <c r="BO941" s="5"/>
      <c r="BP941" s="5"/>
    </row>
    <row r="942">
      <c r="A942" s="5"/>
      <c r="B942" s="150"/>
      <c r="C942" s="151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6"/>
      <c r="AQ942" s="5"/>
      <c r="AR942" s="7"/>
      <c r="AT942" s="5"/>
      <c r="AU942" s="5"/>
      <c r="AV942" s="5"/>
      <c r="AW942" s="5"/>
      <c r="AX942" s="5"/>
      <c r="AY942" s="5"/>
      <c r="AZ942" s="5"/>
      <c r="BF942" s="96"/>
      <c r="BG942" s="96"/>
      <c r="BH942" s="96"/>
      <c r="BI942" s="96"/>
      <c r="BJ942" s="96"/>
      <c r="BK942" s="5"/>
      <c r="BL942" s="5"/>
      <c r="BM942" s="5"/>
      <c r="BN942" s="5"/>
      <c r="BO942" s="5"/>
      <c r="BP942" s="5"/>
    </row>
    <row r="943">
      <c r="A943" s="5"/>
      <c r="B943" s="150"/>
      <c r="C943" s="151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6"/>
      <c r="AQ943" s="5"/>
      <c r="AR943" s="7"/>
      <c r="AT943" s="5"/>
      <c r="AU943" s="5"/>
      <c r="AV943" s="5"/>
      <c r="AW943" s="5"/>
      <c r="AX943" s="5"/>
      <c r="AY943" s="5"/>
      <c r="AZ943" s="5"/>
      <c r="BF943" s="96"/>
      <c r="BG943" s="96"/>
      <c r="BH943" s="96"/>
      <c r="BI943" s="96"/>
      <c r="BJ943" s="96"/>
      <c r="BK943" s="5"/>
      <c r="BL943" s="5"/>
      <c r="BM943" s="5"/>
      <c r="BN943" s="5"/>
      <c r="BO943" s="5"/>
      <c r="BP943" s="5"/>
    </row>
    <row r="944">
      <c r="A944" s="5"/>
      <c r="B944" s="150"/>
      <c r="C944" s="151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6"/>
      <c r="AQ944" s="5"/>
      <c r="AR944" s="7"/>
      <c r="AT944" s="5"/>
      <c r="AU944" s="5"/>
      <c r="AV944" s="5"/>
      <c r="AW944" s="5"/>
      <c r="AX944" s="5"/>
      <c r="AY944" s="5"/>
      <c r="AZ944" s="5"/>
      <c r="BF944" s="96"/>
      <c r="BG944" s="96"/>
      <c r="BH944" s="96"/>
      <c r="BI944" s="96"/>
      <c r="BJ944" s="96"/>
      <c r="BK944" s="5"/>
      <c r="BL944" s="5"/>
      <c r="BM944" s="5"/>
      <c r="BN944" s="5"/>
      <c r="BO944" s="5"/>
      <c r="BP944" s="5"/>
    </row>
    <row r="945">
      <c r="A945" s="5"/>
      <c r="B945" s="150"/>
      <c r="C945" s="151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6"/>
      <c r="AQ945" s="5"/>
      <c r="AR945" s="7"/>
      <c r="AT945" s="5"/>
      <c r="AU945" s="5"/>
      <c r="AV945" s="5"/>
      <c r="AW945" s="5"/>
      <c r="AX945" s="5"/>
      <c r="AY945" s="5"/>
      <c r="AZ945" s="5"/>
      <c r="BF945" s="96"/>
      <c r="BG945" s="96"/>
      <c r="BH945" s="96"/>
      <c r="BI945" s="96"/>
      <c r="BJ945" s="96"/>
      <c r="BK945" s="5"/>
      <c r="BL945" s="5"/>
      <c r="BM945" s="5"/>
      <c r="BN945" s="5"/>
      <c r="BO945" s="5"/>
      <c r="BP945" s="5"/>
    </row>
    <row r="946">
      <c r="A946" s="5"/>
      <c r="B946" s="150"/>
      <c r="C946" s="151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6"/>
      <c r="AQ946" s="5"/>
      <c r="AR946" s="7"/>
      <c r="AT946" s="5"/>
      <c r="AU946" s="5"/>
      <c r="AV946" s="5"/>
      <c r="AW946" s="5"/>
      <c r="AX946" s="5"/>
      <c r="AY946" s="5"/>
      <c r="AZ946" s="5"/>
      <c r="BF946" s="96"/>
      <c r="BG946" s="96"/>
      <c r="BH946" s="96"/>
      <c r="BI946" s="96"/>
      <c r="BJ946" s="96"/>
      <c r="BK946" s="5"/>
      <c r="BL946" s="5"/>
      <c r="BM946" s="5"/>
      <c r="BN946" s="5"/>
      <c r="BO946" s="5"/>
      <c r="BP946" s="5"/>
    </row>
    <row r="947">
      <c r="A947" s="5"/>
      <c r="B947" s="150"/>
      <c r="C947" s="151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6"/>
      <c r="AQ947" s="5"/>
      <c r="AR947" s="7"/>
      <c r="AT947" s="5"/>
      <c r="AU947" s="5"/>
      <c r="AV947" s="5"/>
      <c r="AW947" s="5"/>
      <c r="AX947" s="5"/>
      <c r="AY947" s="5"/>
      <c r="AZ947" s="5"/>
      <c r="BF947" s="96"/>
      <c r="BG947" s="96"/>
      <c r="BH947" s="96"/>
      <c r="BI947" s="96"/>
      <c r="BJ947" s="96"/>
      <c r="BK947" s="5"/>
      <c r="BL947" s="5"/>
      <c r="BM947" s="5"/>
      <c r="BN947" s="5"/>
      <c r="BO947" s="5"/>
      <c r="BP947" s="5"/>
    </row>
    <row r="948">
      <c r="A948" s="5"/>
      <c r="B948" s="150"/>
      <c r="C948" s="151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6"/>
      <c r="AQ948" s="5"/>
      <c r="AR948" s="7"/>
      <c r="AT948" s="5"/>
      <c r="AU948" s="5"/>
      <c r="AV948" s="5"/>
      <c r="AW948" s="5"/>
      <c r="AX948" s="5"/>
      <c r="AY948" s="5"/>
      <c r="AZ948" s="5"/>
      <c r="BF948" s="96"/>
      <c r="BG948" s="96"/>
      <c r="BH948" s="96"/>
      <c r="BI948" s="96"/>
      <c r="BJ948" s="96"/>
      <c r="BK948" s="5"/>
      <c r="BL948" s="5"/>
      <c r="BM948" s="5"/>
      <c r="BN948" s="5"/>
      <c r="BO948" s="5"/>
      <c r="BP948" s="5"/>
    </row>
    <row r="949">
      <c r="A949" s="5"/>
      <c r="B949" s="150"/>
      <c r="C949" s="151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6"/>
      <c r="AQ949" s="5"/>
      <c r="AR949" s="7"/>
      <c r="AT949" s="5"/>
      <c r="AU949" s="5"/>
      <c r="AV949" s="5"/>
      <c r="AW949" s="5"/>
      <c r="AX949" s="5"/>
      <c r="AY949" s="5"/>
      <c r="AZ949" s="5"/>
      <c r="BF949" s="96"/>
      <c r="BG949" s="96"/>
      <c r="BH949" s="96"/>
      <c r="BI949" s="96"/>
      <c r="BJ949" s="96"/>
      <c r="BK949" s="5"/>
      <c r="BL949" s="5"/>
      <c r="BM949" s="5"/>
      <c r="BN949" s="5"/>
      <c r="BO949" s="5"/>
      <c r="BP949" s="5"/>
    </row>
    <row r="950">
      <c r="A950" s="5"/>
      <c r="B950" s="150"/>
      <c r="C950" s="151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6"/>
      <c r="AQ950" s="5"/>
      <c r="AR950" s="7"/>
      <c r="AT950" s="5"/>
      <c r="AU950" s="5"/>
      <c r="AV950" s="5"/>
      <c r="AW950" s="5"/>
      <c r="AX950" s="5"/>
      <c r="AY950" s="5"/>
      <c r="AZ950" s="5"/>
      <c r="BF950" s="96"/>
      <c r="BG950" s="96"/>
      <c r="BH950" s="96"/>
      <c r="BI950" s="96"/>
      <c r="BJ950" s="96"/>
      <c r="BK950" s="5"/>
      <c r="BL950" s="5"/>
      <c r="BM950" s="5"/>
      <c r="BN950" s="5"/>
      <c r="BO950" s="5"/>
      <c r="BP950" s="5"/>
    </row>
    <row r="951">
      <c r="A951" s="5"/>
      <c r="B951" s="150"/>
      <c r="C951" s="151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6"/>
      <c r="AQ951" s="5"/>
      <c r="AR951" s="7"/>
      <c r="AT951" s="5"/>
      <c r="AU951" s="5"/>
      <c r="AV951" s="5"/>
      <c r="AW951" s="5"/>
      <c r="AX951" s="5"/>
      <c r="AY951" s="5"/>
      <c r="AZ951" s="5"/>
      <c r="BF951" s="96"/>
      <c r="BG951" s="96"/>
      <c r="BH951" s="96"/>
      <c r="BI951" s="96"/>
      <c r="BJ951" s="96"/>
      <c r="BK951" s="5"/>
      <c r="BL951" s="5"/>
      <c r="BM951" s="5"/>
      <c r="BN951" s="5"/>
      <c r="BO951" s="5"/>
      <c r="BP951" s="5"/>
    </row>
    <row r="952">
      <c r="A952" s="5"/>
      <c r="B952" s="150"/>
      <c r="C952" s="151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6"/>
      <c r="AQ952" s="5"/>
      <c r="AR952" s="7"/>
      <c r="AT952" s="5"/>
      <c r="AU952" s="5"/>
      <c r="AV952" s="5"/>
      <c r="AW952" s="5"/>
      <c r="AX952" s="5"/>
      <c r="AY952" s="5"/>
      <c r="AZ952" s="5"/>
      <c r="BF952" s="96"/>
      <c r="BG952" s="96"/>
      <c r="BH952" s="96"/>
      <c r="BI952" s="96"/>
      <c r="BJ952" s="96"/>
      <c r="BK952" s="5"/>
      <c r="BL952" s="5"/>
      <c r="BM952" s="5"/>
      <c r="BN952" s="5"/>
      <c r="BO952" s="5"/>
      <c r="BP952" s="5"/>
    </row>
    <row r="953">
      <c r="A953" s="5"/>
      <c r="B953" s="150"/>
      <c r="C953" s="151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6"/>
      <c r="AQ953" s="5"/>
      <c r="AR953" s="7"/>
      <c r="AT953" s="5"/>
      <c r="AU953" s="5"/>
      <c r="AV953" s="5"/>
      <c r="AW953" s="5"/>
      <c r="AX953" s="5"/>
      <c r="AY953" s="5"/>
      <c r="AZ953" s="5"/>
      <c r="BF953" s="96"/>
      <c r="BG953" s="96"/>
      <c r="BH953" s="96"/>
      <c r="BI953" s="96"/>
      <c r="BJ953" s="96"/>
      <c r="BK953" s="5"/>
      <c r="BL953" s="5"/>
      <c r="BM953" s="5"/>
      <c r="BN953" s="5"/>
      <c r="BO953" s="5"/>
      <c r="BP953" s="5"/>
    </row>
    <row r="954">
      <c r="A954" s="5"/>
      <c r="B954" s="150"/>
      <c r="C954" s="151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6"/>
      <c r="AQ954" s="5"/>
      <c r="AR954" s="7"/>
      <c r="AT954" s="5"/>
      <c r="AU954" s="5"/>
      <c r="AV954" s="5"/>
      <c r="AW954" s="5"/>
      <c r="AX954" s="5"/>
      <c r="AY954" s="5"/>
      <c r="AZ954" s="5"/>
      <c r="BF954" s="96"/>
      <c r="BG954" s="96"/>
      <c r="BH954" s="96"/>
      <c r="BI954" s="96"/>
      <c r="BJ954" s="96"/>
      <c r="BK954" s="5"/>
      <c r="BL954" s="5"/>
      <c r="BM954" s="5"/>
      <c r="BN954" s="5"/>
      <c r="BO954" s="5"/>
      <c r="BP954" s="5"/>
    </row>
    <row r="955">
      <c r="A955" s="5"/>
      <c r="B955" s="150"/>
      <c r="C955" s="151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6"/>
      <c r="AQ955" s="5"/>
      <c r="AR955" s="7"/>
      <c r="AT955" s="5"/>
      <c r="AU955" s="5"/>
      <c r="AV955" s="5"/>
      <c r="AW955" s="5"/>
      <c r="AX955" s="5"/>
      <c r="AY955" s="5"/>
      <c r="AZ955" s="5"/>
      <c r="BF955" s="96"/>
      <c r="BG955" s="96"/>
      <c r="BH955" s="96"/>
      <c r="BI955" s="96"/>
      <c r="BJ955" s="96"/>
      <c r="BK955" s="5"/>
      <c r="BL955" s="5"/>
      <c r="BM955" s="5"/>
      <c r="BN955" s="5"/>
      <c r="BO955" s="5"/>
      <c r="BP955" s="5"/>
    </row>
    <row r="956">
      <c r="A956" s="5"/>
      <c r="B956" s="150"/>
      <c r="C956" s="151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6"/>
      <c r="AQ956" s="5"/>
      <c r="AR956" s="7"/>
      <c r="AT956" s="5"/>
      <c r="AU956" s="5"/>
      <c r="AV956" s="5"/>
      <c r="AW956" s="5"/>
      <c r="AX956" s="5"/>
      <c r="AY956" s="5"/>
      <c r="AZ956" s="5"/>
      <c r="BF956" s="96"/>
      <c r="BG956" s="96"/>
      <c r="BH956" s="96"/>
      <c r="BI956" s="96"/>
      <c r="BJ956" s="96"/>
      <c r="BK956" s="5"/>
      <c r="BL956" s="5"/>
      <c r="BM956" s="5"/>
      <c r="BN956" s="5"/>
      <c r="BO956" s="5"/>
      <c r="BP956" s="5"/>
    </row>
    <row r="957">
      <c r="A957" s="5"/>
      <c r="B957" s="150"/>
      <c r="C957" s="151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6"/>
      <c r="AQ957" s="5"/>
      <c r="AR957" s="7"/>
      <c r="AT957" s="5"/>
      <c r="AU957" s="5"/>
      <c r="AV957" s="5"/>
      <c r="AW957" s="5"/>
      <c r="AX957" s="5"/>
      <c r="AY957" s="5"/>
      <c r="AZ957" s="5"/>
      <c r="BF957" s="96"/>
      <c r="BG957" s="96"/>
      <c r="BH957" s="96"/>
      <c r="BI957" s="96"/>
      <c r="BJ957" s="96"/>
      <c r="BK957" s="5"/>
      <c r="BL957" s="5"/>
      <c r="BM957" s="5"/>
      <c r="BN957" s="5"/>
      <c r="BO957" s="5"/>
      <c r="BP957" s="5"/>
    </row>
    <row r="958">
      <c r="A958" s="5"/>
      <c r="B958" s="150"/>
      <c r="C958" s="151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6"/>
      <c r="AQ958" s="5"/>
      <c r="AR958" s="7"/>
      <c r="AT958" s="5"/>
      <c r="AU958" s="5"/>
      <c r="AV958" s="5"/>
      <c r="AW958" s="5"/>
      <c r="AX958" s="5"/>
      <c r="AY958" s="5"/>
      <c r="AZ958" s="5"/>
      <c r="BF958" s="96"/>
      <c r="BG958" s="96"/>
      <c r="BH958" s="96"/>
      <c r="BI958" s="96"/>
      <c r="BJ958" s="96"/>
      <c r="BK958" s="5"/>
      <c r="BL958" s="5"/>
      <c r="BM958" s="5"/>
      <c r="BN958" s="5"/>
      <c r="BO958" s="5"/>
      <c r="BP958" s="5"/>
    </row>
  </sheetData>
  <mergeCells count="27">
    <mergeCell ref="J2:O2"/>
    <mergeCell ref="P2:Q2"/>
    <mergeCell ref="R5:R241"/>
    <mergeCell ref="Z5:Z242"/>
    <mergeCell ref="AH5:AH242"/>
    <mergeCell ref="AQ5:AQ242"/>
    <mergeCell ref="AR5:AR242"/>
    <mergeCell ref="AS5:AS242"/>
    <mergeCell ref="S2:W2"/>
    <mergeCell ref="AI2:AO2"/>
    <mergeCell ref="BL1:BP1"/>
    <mergeCell ref="BL2:BP2"/>
    <mergeCell ref="BK5:BK241"/>
    <mergeCell ref="D3:Q3"/>
    <mergeCell ref="S3:Y3"/>
    <mergeCell ref="AA3:AG3"/>
    <mergeCell ref="AI3:AO3"/>
    <mergeCell ref="AT3:BA3"/>
    <mergeCell ref="BB3:BD3"/>
    <mergeCell ref="A1:C3"/>
    <mergeCell ref="D1:I1"/>
    <mergeCell ref="J1:O1"/>
    <mergeCell ref="P1:Q1"/>
    <mergeCell ref="BF1:BJ1"/>
    <mergeCell ref="D2:I2"/>
    <mergeCell ref="BF2:BJ2"/>
    <mergeCell ref="BF3:BJ3"/>
  </mergeCells>
  <hyperlinks>
    <hyperlink r:id="rId1" ref="AR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/>
  <cols>
    <col customWidth="1" min="1" max="1" width="5.57"/>
    <col customWidth="1" min="2" max="2" width="27.57"/>
    <col customWidth="1" min="3" max="3" width="6.71"/>
    <col customWidth="1" min="4" max="4" width="4.43"/>
    <col customWidth="1" min="5" max="5" width="12.29"/>
    <col customWidth="1" min="6" max="6" width="15.14"/>
    <col customWidth="1" min="7" max="7" width="10.86"/>
    <col customWidth="1" min="8" max="8" width="15.0"/>
    <col customWidth="1" min="9" max="9" width="12.71"/>
    <col customWidth="1" min="10" max="10" width="15.43"/>
    <col customWidth="1" min="11" max="11" width="13.71"/>
    <col customWidth="1" min="12" max="12" width="14.71"/>
    <col customWidth="1" min="13" max="13" width="17.86"/>
    <col customWidth="1" min="14" max="14" width="16.71"/>
  </cols>
  <sheetData>
    <row r="1" ht="13.5" customHeight="1">
      <c r="A1" s="1" t="s">
        <v>290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>
      <c r="E2" s="18"/>
      <c r="F2" s="18"/>
      <c r="G2" s="18"/>
      <c r="H2" s="18"/>
      <c r="I2" s="18"/>
      <c r="J2" s="18"/>
      <c r="K2" s="18"/>
      <c r="L2" s="18"/>
      <c r="M2" s="18"/>
      <c r="N2" s="18"/>
    </row>
    <row r="3" ht="30.75" customHeight="1">
      <c r="D3" s="32"/>
      <c r="E3" s="33" t="s">
        <v>291</v>
      </c>
    </row>
    <row r="4" ht="37.5" customHeight="1">
      <c r="A4" s="35" t="s">
        <v>16</v>
      </c>
      <c r="B4" s="36" t="s">
        <v>17</v>
      </c>
      <c r="C4" s="37" t="s">
        <v>18</v>
      </c>
      <c r="D4" s="46"/>
      <c r="E4" s="153" t="s">
        <v>292</v>
      </c>
      <c r="F4" s="153" t="s">
        <v>293</v>
      </c>
      <c r="G4" s="153" t="s">
        <v>294</v>
      </c>
      <c r="H4" s="153" t="s">
        <v>295</v>
      </c>
      <c r="I4" s="153" t="s">
        <v>296</v>
      </c>
      <c r="J4" s="154" t="s">
        <v>297</v>
      </c>
      <c r="K4" s="153" t="s">
        <v>298</v>
      </c>
      <c r="L4" s="153" t="s">
        <v>299</v>
      </c>
      <c r="M4" s="153" t="s">
        <v>300</v>
      </c>
      <c r="N4" s="153" t="s">
        <v>301</v>
      </c>
    </row>
    <row r="5">
      <c r="A5" s="47">
        <v>1.0</v>
      </c>
      <c r="B5" s="155" t="s">
        <v>40</v>
      </c>
      <c r="C5" s="49" t="s">
        <v>41</v>
      </c>
      <c r="D5" s="59"/>
      <c r="E5" s="89">
        <v>1.0</v>
      </c>
      <c r="F5" s="156" t="s">
        <v>302</v>
      </c>
      <c r="G5" s="156">
        <v>1.0</v>
      </c>
      <c r="H5" s="156" t="s">
        <v>302</v>
      </c>
      <c r="I5" s="156">
        <v>1.0</v>
      </c>
      <c r="J5" s="52" t="s">
        <v>302</v>
      </c>
      <c r="K5" s="52">
        <v>1.0</v>
      </c>
      <c r="L5" s="52" t="s">
        <v>302</v>
      </c>
      <c r="M5" s="52" t="s">
        <v>303</v>
      </c>
      <c r="N5" s="52" t="s">
        <v>303</v>
      </c>
    </row>
    <row r="6">
      <c r="A6" s="47">
        <v>2.0</v>
      </c>
      <c r="B6" s="155" t="s">
        <v>43</v>
      </c>
      <c r="C6" s="49" t="s">
        <v>41</v>
      </c>
      <c r="D6" s="64"/>
      <c r="E6" s="89" t="s">
        <v>304</v>
      </c>
      <c r="F6" s="156" t="s">
        <v>305</v>
      </c>
      <c r="G6" s="156">
        <v>1.0</v>
      </c>
      <c r="H6" s="156" t="s">
        <v>302</v>
      </c>
      <c r="I6" s="156">
        <v>1.0</v>
      </c>
      <c r="J6" s="52" t="s">
        <v>302</v>
      </c>
      <c r="K6" s="52">
        <v>1.0</v>
      </c>
      <c r="L6" s="52" t="s">
        <v>302</v>
      </c>
      <c r="M6" s="52" t="s">
        <v>303</v>
      </c>
      <c r="N6" s="52" t="s">
        <v>303</v>
      </c>
    </row>
    <row r="7">
      <c r="A7" s="47">
        <v>3.0</v>
      </c>
      <c r="B7" s="157" t="s">
        <v>44</v>
      </c>
      <c r="C7" s="49" t="s">
        <v>41</v>
      </c>
      <c r="D7" s="59"/>
      <c r="E7" s="158" t="s">
        <v>306</v>
      </c>
      <c r="F7" s="159" t="s">
        <v>307</v>
      </c>
      <c r="G7" s="159" t="s">
        <v>306</v>
      </c>
      <c r="H7" s="159" t="s">
        <v>308</v>
      </c>
      <c r="I7" s="159" t="s">
        <v>309</v>
      </c>
      <c r="J7" s="52" t="s">
        <v>310</v>
      </c>
      <c r="K7" s="52" t="s">
        <v>311</v>
      </c>
      <c r="L7" s="52" t="s">
        <v>312</v>
      </c>
      <c r="M7" s="52" t="s">
        <v>303</v>
      </c>
      <c r="N7" s="52" t="s">
        <v>303</v>
      </c>
    </row>
    <row r="8">
      <c r="A8" s="47">
        <v>4.0</v>
      </c>
      <c r="B8" s="157" t="s">
        <v>45</v>
      </c>
      <c r="C8" s="49" t="s">
        <v>41</v>
      </c>
      <c r="D8" s="59"/>
      <c r="E8" s="158" t="s">
        <v>306</v>
      </c>
      <c r="F8" s="159" t="s">
        <v>313</v>
      </c>
      <c r="G8" s="159" t="s">
        <v>306</v>
      </c>
      <c r="H8" s="159" t="s">
        <v>314</v>
      </c>
      <c r="I8" s="159" t="s">
        <v>315</v>
      </c>
      <c r="J8" s="52" t="s">
        <v>316</v>
      </c>
      <c r="K8" s="52" t="s">
        <v>317</v>
      </c>
      <c r="L8" s="52" t="s">
        <v>318</v>
      </c>
      <c r="M8" s="52" t="s">
        <v>303</v>
      </c>
      <c r="N8" s="52" t="s">
        <v>303</v>
      </c>
    </row>
    <row r="9">
      <c r="A9" s="47">
        <v>5.0</v>
      </c>
      <c r="B9" s="157" t="s">
        <v>46</v>
      </c>
      <c r="C9" s="49" t="s">
        <v>41</v>
      </c>
      <c r="D9" s="59"/>
      <c r="E9" s="89" t="s">
        <v>306</v>
      </c>
      <c r="F9" s="156" t="s">
        <v>319</v>
      </c>
      <c r="G9" s="156" t="s">
        <v>306</v>
      </c>
      <c r="H9" s="156" t="s">
        <v>320</v>
      </c>
      <c r="I9" s="156" t="s">
        <v>309</v>
      </c>
      <c r="J9" s="52" t="s">
        <v>310</v>
      </c>
      <c r="K9" s="52" t="s">
        <v>321</v>
      </c>
      <c r="L9" s="52" t="s">
        <v>322</v>
      </c>
      <c r="M9" s="52" t="s">
        <v>303</v>
      </c>
      <c r="N9" s="52" t="s">
        <v>303</v>
      </c>
    </row>
    <row r="10">
      <c r="A10" s="47">
        <v>6.0</v>
      </c>
      <c r="B10" s="157" t="s">
        <v>47</v>
      </c>
      <c r="C10" s="49" t="s">
        <v>41</v>
      </c>
      <c r="D10" s="59"/>
      <c r="E10" s="158" t="s">
        <v>306</v>
      </c>
      <c r="F10" s="159" t="s">
        <v>323</v>
      </c>
      <c r="G10" s="159" t="s">
        <v>306</v>
      </c>
      <c r="H10" s="159" t="s">
        <v>324</v>
      </c>
      <c r="I10" s="159" t="s">
        <v>306</v>
      </c>
      <c r="J10" s="52" t="s">
        <v>325</v>
      </c>
      <c r="K10" s="52" t="s">
        <v>326</v>
      </c>
      <c r="L10" s="52" t="s">
        <v>327</v>
      </c>
      <c r="M10" s="52" t="s">
        <v>328</v>
      </c>
      <c r="N10" s="52" t="s">
        <v>329</v>
      </c>
    </row>
    <row r="11">
      <c r="A11" s="47">
        <v>7.0</v>
      </c>
      <c r="B11" s="157" t="s">
        <v>48</v>
      </c>
      <c r="C11" s="49" t="s">
        <v>41</v>
      </c>
      <c r="D11" s="59"/>
      <c r="E11" s="158" t="s">
        <v>306</v>
      </c>
      <c r="F11" s="159" t="s">
        <v>330</v>
      </c>
      <c r="G11" s="159" t="s">
        <v>306</v>
      </c>
      <c r="H11" s="159" t="s">
        <v>331</v>
      </c>
      <c r="I11" s="159" t="s">
        <v>306</v>
      </c>
      <c r="J11" s="52" t="s">
        <v>332</v>
      </c>
      <c r="K11" s="52" t="s">
        <v>315</v>
      </c>
      <c r="L11" s="52" t="s">
        <v>333</v>
      </c>
      <c r="M11" s="52" t="s">
        <v>303</v>
      </c>
      <c r="N11" s="52" t="s">
        <v>303</v>
      </c>
    </row>
    <row r="12">
      <c r="A12" s="47">
        <v>8.0</v>
      </c>
      <c r="B12" s="157" t="s">
        <v>49</v>
      </c>
      <c r="C12" s="49" t="s">
        <v>41</v>
      </c>
      <c r="D12" s="59"/>
      <c r="E12" s="89" t="s">
        <v>306</v>
      </c>
      <c r="F12" s="156" t="s">
        <v>334</v>
      </c>
      <c r="G12" s="156" t="s">
        <v>306</v>
      </c>
      <c r="H12" s="156" t="s">
        <v>335</v>
      </c>
      <c r="I12" s="156" t="s">
        <v>306</v>
      </c>
      <c r="J12" s="52" t="s">
        <v>336</v>
      </c>
      <c r="K12" s="52" t="s">
        <v>326</v>
      </c>
      <c r="L12" s="52" t="s">
        <v>327</v>
      </c>
      <c r="M12" s="52" t="s">
        <v>303</v>
      </c>
      <c r="N12" s="52" t="s">
        <v>303</v>
      </c>
    </row>
    <row r="13">
      <c r="A13" s="47">
        <v>9.0</v>
      </c>
      <c r="B13" s="157" t="s">
        <v>50</v>
      </c>
      <c r="C13" s="49" t="s">
        <v>41</v>
      </c>
      <c r="D13" s="64"/>
      <c r="E13" s="89" t="s">
        <v>306</v>
      </c>
      <c r="F13" s="156" t="s">
        <v>337</v>
      </c>
      <c r="G13" s="156" t="s">
        <v>306</v>
      </c>
      <c r="H13" s="156" t="s">
        <v>338</v>
      </c>
      <c r="I13" s="156" t="s">
        <v>309</v>
      </c>
      <c r="J13" s="52" t="s">
        <v>339</v>
      </c>
      <c r="K13" s="52" t="s">
        <v>321</v>
      </c>
      <c r="L13" s="52" t="s">
        <v>322</v>
      </c>
      <c r="M13" s="52" t="s">
        <v>303</v>
      </c>
      <c r="N13" s="52" t="s">
        <v>303</v>
      </c>
    </row>
    <row r="14">
      <c r="A14" s="47">
        <v>10.0</v>
      </c>
      <c r="B14" s="157" t="s">
        <v>51</v>
      </c>
      <c r="C14" s="49" t="s">
        <v>41</v>
      </c>
      <c r="D14" s="59"/>
      <c r="E14" s="89" t="s">
        <v>306</v>
      </c>
      <c r="F14" s="156" t="s">
        <v>340</v>
      </c>
      <c r="G14" s="156" t="s">
        <v>306</v>
      </c>
      <c r="H14" s="156" t="s">
        <v>341</v>
      </c>
      <c r="I14" s="156" t="s">
        <v>342</v>
      </c>
      <c r="J14" s="52" t="s">
        <v>343</v>
      </c>
      <c r="K14" s="52">
        <v>1.0</v>
      </c>
      <c r="L14" s="52" t="s">
        <v>302</v>
      </c>
      <c r="M14" s="52" t="s">
        <v>303</v>
      </c>
      <c r="N14" s="52" t="s">
        <v>303</v>
      </c>
    </row>
    <row r="15">
      <c r="A15" s="47">
        <v>11.0</v>
      </c>
      <c r="B15" s="157" t="s">
        <v>52</v>
      </c>
      <c r="C15" s="49" t="s">
        <v>41</v>
      </c>
      <c r="D15" s="59"/>
      <c r="E15" s="89" t="s">
        <v>306</v>
      </c>
      <c r="F15" s="156" t="s">
        <v>344</v>
      </c>
      <c r="G15" s="156" t="s">
        <v>306</v>
      </c>
      <c r="H15" s="156" t="s">
        <v>345</v>
      </c>
      <c r="I15" s="156" t="s">
        <v>346</v>
      </c>
      <c r="J15" s="52" t="s">
        <v>347</v>
      </c>
      <c r="K15" s="52">
        <v>1.0</v>
      </c>
      <c r="L15" s="52" t="s">
        <v>302</v>
      </c>
      <c r="M15" s="52" t="s">
        <v>303</v>
      </c>
      <c r="N15" s="52" t="s">
        <v>303</v>
      </c>
    </row>
    <row r="16">
      <c r="A16" s="47">
        <v>12.0</v>
      </c>
      <c r="B16" s="157" t="s">
        <v>53</v>
      </c>
      <c r="C16" s="49" t="s">
        <v>41</v>
      </c>
      <c r="D16" s="59"/>
      <c r="E16" s="158" t="s">
        <v>306</v>
      </c>
      <c r="F16" s="159" t="s">
        <v>348</v>
      </c>
      <c r="G16" s="159" t="s">
        <v>306</v>
      </c>
      <c r="H16" s="159" t="s">
        <v>349</v>
      </c>
      <c r="I16" s="159" t="s">
        <v>306</v>
      </c>
      <c r="J16" s="52" t="s">
        <v>350</v>
      </c>
      <c r="K16" s="52" t="s">
        <v>351</v>
      </c>
      <c r="L16" s="52" t="s">
        <v>352</v>
      </c>
      <c r="M16" s="52" t="s">
        <v>303</v>
      </c>
      <c r="N16" s="52" t="s">
        <v>303</v>
      </c>
    </row>
    <row r="17">
      <c r="A17" s="47">
        <v>13.0</v>
      </c>
      <c r="B17" s="160" t="s">
        <v>54</v>
      </c>
      <c r="C17" s="49" t="s">
        <v>41</v>
      </c>
      <c r="D17" s="59"/>
      <c r="E17" s="158" t="s">
        <v>306</v>
      </c>
      <c r="F17" s="159" t="s">
        <v>353</v>
      </c>
      <c r="G17" s="159" t="s">
        <v>306</v>
      </c>
      <c r="H17" s="159" t="s">
        <v>354</v>
      </c>
      <c r="I17" s="159" t="s">
        <v>309</v>
      </c>
      <c r="J17" s="52" t="s">
        <v>339</v>
      </c>
      <c r="K17" s="52" t="s">
        <v>355</v>
      </c>
      <c r="L17" s="52" t="s">
        <v>356</v>
      </c>
      <c r="M17" s="52" t="s">
        <v>303</v>
      </c>
      <c r="N17" s="52" t="s">
        <v>303</v>
      </c>
    </row>
    <row r="18">
      <c r="A18" s="47">
        <v>14.0</v>
      </c>
      <c r="B18" s="157" t="s">
        <v>55</v>
      </c>
      <c r="C18" s="49" t="s">
        <v>41</v>
      </c>
      <c r="D18" s="59"/>
      <c r="E18" s="89" t="s">
        <v>306</v>
      </c>
      <c r="F18" s="156" t="s">
        <v>357</v>
      </c>
      <c r="G18" s="156" t="s">
        <v>306</v>
      </c>
      <c r="H18" s="156" t="s">
        <v>358</v>
      </c>
      <c r="I18" s="156" t="s">
        <v>306</v>
      </c>
      <c r="J18" s="52" t="s">
        <v>359</v>
      </c>
      <c r="K18" s="52" t="s">
        <v>360</v>
      </c>
      <c r="L18" s="52" t="s">
        <v>361</v>
      </c>
      <c r="M18" s="52" t="s">
        <v>303</v>
      </c>
      <c r="N18" s="52" t="s">
        <v>303</v>
      </c>
    </row>
    <row r="19">
      <c r="A19" s="47">
        <v>15.0</v>
      </c>
      <c r="B19" s="157" t="s">
        <v>56</v>
      </c>
      <c r="C19" s="49" t="s">
        <v>41</v>
      </c>
      <c r="D19" s="59"/>
      <c r="E19" s="89" t="s">
        <v>306</v>
      </c>
      <c r="F19" s="156" t="s">
        <v>362</v>
      </c>
      <c r="G19" s="156" t="s">
        <v>306</v>
      </c>
      <c r="H19" s="156" t="s">
        <v>363</v>
      </c>
      <c r="I19" s="156" t="s">
        <v>306</v>
      </c>
      <c r="J19" s="52" t="s">
        <v>364</v>
      </c>
      <c r="K19" s="52" t="s">
        <v>360</v>
      </c>
      <c r="L19" s="52" t="s">
        <v>365</v>
      </c>
      <c r="M19" s="52" t="s">
        <v>303</v>
      </c>
      <c r="N19" s="52" t="s">
        <v>303</v>
      </c>
    </row>
    <row r="20">
      <c r="A20" s="47">
        <v>16.0</v>
      </c>
      <c r="B20" s="157" t="s">
        <v>57</v>
      </c>
      <c r="C20" s="49" t="s">
        <v>41</v>
      </c>
      <c r="D20" s="59"/>
      <c r="E20" s="89" t="s">
        <v>306</v>
      </c>
      <c r="F20" s="156" t="s">
        <v>366</v>
      </c>
      <c r="G20" s="156" t="s">
        <v>306</v>
      </c>
      <c r="H20" s="156" t="s">
        <v>367</v>
      </c>
      <c r="I20" s="156" t="s">
        <v>306</v>
      </c>
      <c r="J20" s="52" t="s">
        <v>368</v>
      </c>
      <c r="K20" s="52" t="s">
        <v>309</v>
      </c>
      <c r="L20" s="52" t="s">
        <v>339</v>
      </c>
      <c r="M20" s="52" t="s">
        <v>303</v>
      </c>
      <c r="N20" s="52" t="s">
        <v>303</v>
      </c>
    </row>
    <row r="21">
      <c r="A21" s="47">
        <v>17.0</v>
      </c>
      <c r="B21" s="157" t="s">
        <v>58</v>
      </c>
      <c r="C21" s="49" t="s">
        <v>41</v>
      </c>
      <c r="D21" s="64"/>
      <c r="E21" s="89" t="s">
        <v>306</v>
      </c>
      <c r="F21" s="156" t="s">
        <v>369</v>
      </c>
      <c r="G21" s="156" t="s">
        <v>306</v>
      </c>
      <c r="H21" s="156" t="s">
        <v>370</v>
      </c>
      <c r="I21" s="156" t="s">
        <v>306</v>
      </c>
      <c r="J21" s="52" t="s">
        <v>371</v>
      </c>
      <c r="K21" s="52" t="s">
        <v>360</v>
      </c>
      <c r="L21" s="52" t="s">
        <v>372</v>
      </c>
      <c r="M21" s="52" t="s">
        <v>303</v>
      </c>
      <c r="N21" s="52" t="s">
        <v>303</v>
      </c>
    </row>
    <row r="22">
      <c r="A22" s="47">
        <v>18.0</v>
      </c>
      <c r="B22" s="157" t="s">
        <v>59</v>
      </c>
      <c r="C22" s="49" t="s">
        <v>41</v>
      </c>
      <c r="D22" s="59"/>
      <c r="E22" s="89" t="s">
        <v>306</v>
      </c>
      <c r="F22" s="156" t="s">
        <v>373</v>
      </c>
      <c r="G22" s="156" t="s">
        <v>306</v>
      </c>
      <c r="H22" s="156" t="s">
        <v>374</v>
      </c>
      <c r="I22" s="156" t="s">
        <v>306</v>
      </c>
      <c r="J22" s="52" t="s">
        <v>375</v>
      </c>
      <c r="K22" s="52" t="s">
        <v>376</v>
      </c>
      <c r="L22" s="52" t="s">
        <v>377</v>
      </c>
      <c r="M22" s="52" t="s">
        <v>303</v>
      </c>
      <c r="N22" s="52" t="s">
        <v>303</v>
      </c>
    </row>
    <row r="23">
      <c r="A23" s="47">
        <v>19.0</v>
      </c>
      <c r="B23" s="157" t="s">
        <v>60</v>
      </c>
      <c r="C23" s="49" t="s">
        <v>41</v>
      </c>
      <c r="D23" s="59"/>
      <c r="E23" s="89" t="s">
        <v>306</v>
      </c>
      <c r="F23" s="156" t="s">
        <v>378</v>
      </c>
      <c r="G23" s="156" t="s">
        <v>306</v>
      </c>
      <c r="H23" s="156" t="s">
        <v>379</v>
      </c>
      <c r="I23" s="156" t="s">
        <v>306</v>
      </c>
      <c r="J23" s="52" t="s">
        <v>380</v>
      </c>
      <c r="K23" s="52" t="s">
        <v>381</v>
      </c>
      <c r="L23" s="52" t="s">
        <v>382</v>
      </c>
      <c r="M23" s="52" t="s">
        <v>303</v>
      </c>
      <c r="N23" s="52" t="s">
        <v>303</v>
      </c>
    </row>
    <row r="24">
      <c r="A24" s="47">
        <v>20.0</v>
      </c>
      <c r="B24" s="157" t="s">
        <v>61</v>
      </c>
      <c r="C24" s="49" t="s">
        <v>41</v>
      </c>
      <c r="D24" s="83"/>
      <c r="E24" s="89" t="s">
        <v>306</v>
      </c>
      <c r="F24" s="156" t="s">
        <v>383</v>
      </c>
      <c r="G24" s="156" t="s">
        <v>306</v>
      </c>
      <c r="H24" s="156" t="s">
        <v>384</v>
      </c>
      <c r="I24" s="156" t="s">
        <v>306</v>
      </c>
      <c r="J24" s="52" t="s">
        <v>385</v>
      </c>
      <c r="K24" s="52" t="s">
        <v>309</v>
      </c>
      <c r="L24" s="52" t="s">
        <v>339</v>
      </c>
      <c r="M24" s="52" t="s">
        <v>303</v>
      </c>
      <c r="N24" s="52" t="s">
        <v>303</v>
      </c>
    </row>
    <row r="25">
      <c r="A25" s="47">
        <v>21.0</v>
      </c>
      <c r="B25" s="157" t="s">
        <v>62</v>
      </c>
      <c r="C25" s="49" t="s">
        <v>41</v>
      </c>
      <c r="D25" s="64"/>
      <c r="E25" s="158" t="s">
        <v>306</v>
      </c>
      <c r="F25" s="159" t="s">
        <v>386</v>
      </c>
      <c r="G25" s="159" t="s">
        <v>306</v>
      </c>
      <c r="H25" s="159" t="s">
        <v>387</v>
      </c>
      <c r="I25" s="159" t="s">
        <v>306</v>
      </c>
      <c r="J25" s="52" t="s">
        <v>388</v>
      </c>
      <c r="K25" s="52" t="s">
        <v>306</v>
      </c>
      <c r="L25" s="52" t="s">
        <v>389</v>
      </c>
      <c r="M25" s="52" t="s">
        <v>303</v>
      </c>
      <c r="N25" s="52" t="s">
        <v>303</v>
      </c>
    </row>
    <row r="26" ht="18.75" customHeight="1">
      <c r="A26" s="47">
        <v>22.0</v>
      </c>
      <c r="B26" s="157" t="s">
        <v>63</v>
      </c>
      <c r="C26" s="49" t="s">
        <v>41</v>
      </c>
      <c r="D26" s="85"/>
      <c r="E26" s="89" t="s">
        <v>306</v>
      </c>
      <c r="F26" s="156" t="s">
        <v>390</v>
      </c>
      <c r="G26" s="156" t="s">
        <v>306</v>
      </c>
      <c r="H26" s="156" t="s">
        <v>391</v>
      </c>
      <c r="I26" s="156" t="s">
        <v>360</v>
      </c>
      <c r="J26" s="52" t="s">
        <v>392</v>
      </c>
      <c r="K26" s="52" t="s">
        <v>393</v>
      </c>
      <c r="L26" s="52" t="s">
        <v>394</v>
      </c>
      <c r="M26" s="52" t="s">
        <v>303</v>
      </c>
      <c r="N26" s="52" t="s">
        <v>303</v>
      </c>
    </row>
    <row r="27" ht="15.0" customHeight="1">
      <c r="A27" s="47">
        <v>23.0</v>
      </c>
      <c r="B27" s="157" t="s">
        <v>64</v>
      </c>
      <c r="C27" s="49" t="s">
        <v>41</v>
      </c>
      <c r="D27" s="59"/>
      <c r="E27" s="158" t="s">
        <v>306</v>
      </c>
      <c r="F27" s="159" t="s">
        <v>395</v>
      </c>
      <c r="G27" s="159" t="s">
        <v>306</v>
      </c>
      <c r="H27" s="159" t="s">
        <v>396</v>
      </c>
      <c r="I27" s="159" t="s">
        <v>306</v>
      </c>
      <c r="J27" s="52" t="s">
        <v>397</v>
      </c>
      <c r="K27" s="52" t="s">
        <v>376</v>
      </c>
      <c r="L27" s="52" t="s">
        <v>398</v>
      </c>
      <c r="M27" s="52" t="s">
        <v>328</v>
      </c>
      <c r="N27" s="52" t="s">
        <v>399</v>
      </c>
    </row>
    <row r="28" ht="17.25" customHeight="1">
      <c r="A28" s="47">
        <v>24.0</v>
      </c>
      <c r="B28" s="157" t="s">
        <v>65</v>
      </c>
      <c r="C28" s="49" t="s">
        <v>41</v>
      </c>
      <c r="D28" s="59"/>
      <c r="E28" s="158" t="s">
        <v>306</v>
      </c>
      <c r="F28" s="159" t="s">
        <v>400</v>
      </c>
      <c r="G28" s="159" t="s">
        <v>306</v>
      </c>
      <c r="H28" s="159" t="s">
        <v>401</v>
      </c>
      <c r="I28" s="159" t="s">
        <v>306</v>
      </c>
      <c r="J28" s="52" t="s">
        <v>402</v>
      </c>
      <c r="K28" s="52" t="s">
        <v>306</v>
      </c>
      <c r="L28" s="52" t="s">
        <v>403</v>
      </c>
      <c r="M28" s="52" t="s">
        <v>303</v>
      </c>
      <c r="N28" s="52" t="s">
        <v>303</v>
      </c>
    </row>
    <row r="29">
      <c r="A29" s="47">
        <v>25.0</v>
      </c>
      <c r="B29" s="157" t="s">
        <v>66</v>
      </c>
      <c r="C29" s="49" t="s">
        <v>41</v>
      </c>
      <c r="D29" s="59"/>
      <c r="E29" s="158" t="s">
        <v>306</v>
      </c>
      <c r="F29" s="159" t="s">
        <v>404</v>
      </c>
      <c r="G29" s="159" t="s">
        <v>306</v>
      </c>
      <c r="H29" s="159" t="s">
        <v>405</v>
      </c>
      <c r="I29" s="159" t="s">
        <v>306</v>
      </c>
      <c r="J29" s="52" t="s">
        <v>406</v>
      </c>
      <c r="K29" s="52" t="s">
        <v>381</v>
      </c>
      <c r="L29" s="52" t="s">
        <v>407</v>
      </c>
      <c r="M29" s="52" t="s">
        <v>303</v>
      </c>
      <c r="N29" s="52" t="s">
        <v>303</v>
      </c>
    </row>
    <row r="30">
      <c r="A30" s="47">
        <v>26.0</v>
      </c>
      <c r="B30" s="157" t="s">
        <v>67</v>
      </c>
      <c r="C30" s="49" t="s">
        <v>41</v>
      </c>
      <c r="D30" s="59"/>
      <c r="E30" s="158" t="s">
        <v>306</v>
      </c>
      <c r="F30" s="159" t="s">
        <v>408</v>
      </c>
      <c r="G30" s="159" t="s">
        <v>306</v>
      </c>
      <c r="H30" s="159" t="s">
        <v>409</v>
      </c>
      <c r="I30" s="159" t="s">
        <v>306</v>
      </c>
      <c r="J30" s="52" t="s">
        <v>410</v>
      </c>
      <c r="K30" s="52" t="s">
        <v>381</v>
      </c>
      <c r="L30" s="52" t="s">
        <v>411</v>
      </c>
      <c r="M30" s="52" t="s">
        <v>303</v>
      </c>
      <c r="N30" s="52" t="s">
        <v>303</v>
      </c>
    </row>
    <row r="31">
      <c r="A31" s="47">
        <v>27.0</v>
      </c>
      <c r="B31" s="157" t="s">
        <v>68</v>
      </c>
      <c r="C31" s="49" t="s">
        <v>41</v>
      </c>
      <c r="D31" s="59"/>
      <c r="E31" s="158" t="s">
        <v>306</v>
      </c>
      <c r="F31" s="159" t="s">
        <v>412</v>
      </c>
      <c r="G31" s="159" t="s">
        <v>306</v>
      </c>
      <c r="H31" s="159" t="s">
        <v>413</v>
      </c>
      <c r="I31" s="159" t="s">
        <v>306</v>
      </c>
      <c r="J31" s="52" t="s">
        <v>414</v>
      </c>
      <c r="K31" s="52" t="s">
        <v>306</v>
      </c>
      <c r="L31" s="52" t="s">
        <v>415</v>
      </c>
      <c r="M31" s="52" t="s">
        <v>303</v>
      </c>
      <c r="N31" s="52" t="s">
        <v>303</v>
      </c>
    </row>
    <row r="32">
      <c r="A32" s="47">
        <v>28.0</v>
      </c>
      <c r="B32" s="157" t="s">
        <v>69</v>
      </c>
      <c r="C32" s="49" t="s">
        <v>41</v>
      </c>
      <c r="D32" s="64"/>
      <c r="E32" s="158" t="s">
        <v>306</v>
      </c>
      <c r="F32" s="159" t="s">
        <v>416</v>
      </c>
      <c r="G32" s="159" t="s">
        <v>306</v>
      </c>
      <c r="H32" s="159" t="s">
        <v>417</v>
      </c>
      <c r="I32" s="159" t="s">
        <v>360</v>
      </c>
      <c r="J32" s="52" t="s">
        <v>418</v>
      </c>
      <c r="K32" s="52" t="s">
        <v>419</v>
      </c>
      <c r="L32" s="52" t="s">
        <v>420</v>
      </c>
      <c r="M32" s="52" t="s">
        <v>303</v>
      </c>
      <c r="N32" s="52" t="s">
        <v>303</v>
      </c>
    </row>
    <row r="33">
      <c r="A33" s="47">
        <v>29.0</v>
      </c>
      <c r="B33" s="157" t="s">
        <v>70</v>
      </c>
      <c r="C33" s="49" t="s">
        <v>41</v>
      </c>
      <c r="D33" s="59"/>
      <c r="E33" s="158" t="s">
        <v>306</v>
      </c>
      <c r="F33" s="159" t="s">
        <v>421</v>
      </c>
      <c r="G33" s="159" t="s">
        <v>306</v>
      </c>
      <c r="H33" s="159" t="s">
        <v>422</v>
      </c>
      <c r="I33" s="159" t="s">
        <v>423</v>
      </c>
      <c r="J33" s="52" t="s">
        <v>424</v>
      </c>
      <c r="K33" s="52" t="s">
        <v>425</v>
      </c>
      <c r="L33" s="52" t="s">
        <v>426</v>
      </c>
      <c r="M33" s="52" t="s">
        <v>303</v>
      </c>
      <c r="N33" s="52" t="s">
        <v>303</v>
      </c>
    </row>
    <row r="34">
      <c r="A34" s="47">
        <v>30.0</v>
      </c>
      <c r="B34" s="157" t="s">
        <v>71</v>
      </c>
      <c r="C34" s="49" t="s">
        <v>41</v>
      </c>
      <c r="D34" s="59"/>
      <c r="E34" s="89" t="s">
        <v>306</v>
      </c>
      <c r="F34" s="156" t="s">
        <v>427</v>
      </c>
      <c r="G34" s="156" t="s">
        <v>306</v>
      </c>
      <c r="H34" s="156" t="s">
        <v>428</v>
      </c>
      <c r="I34" s="156" t="s">
        <v>429</v>
      </c>
      <c r="J34" s="52" t="s">
        <v>430</v>
      </c>
      <c r="K34" s="52" t="s">
        <v>431</v>
      </c>
      <c r="L34" s="52" t="s">
        <v>432</v>
      </c>
      <c r="M34" s="52" t="s">
        <v>303</v>
      </c>
      <c r="N34" s="52" t="s">
        <v>303</v>
      </c>
    </row>
    <row r="35">
      <c r="A35" s="47">
        <v>31.0</v>
      </c>
      <c r="B35" s="157" t="s">
        <v>72</v>
      </c>
      <c r="C35" s="49" t="s">
        <v>41</v>
      </c>
      <c r="D35" s="64"/>
      <c r="E35" s="89" t="s">
        <v>306</v>
      </c>
      <c r="F35" s="156" t="s">
        <v>433</v>
      </c>
      <c r="G35" s="156" t="s">
        <v>306</v>
      </c>
      <c r="H35" s="156" t="s">
        <v>434</v>
      </c>
      <c r="I35" s="156" t="s">
        <v>306</v>
      </c>
      <c r="J35" s="52" t="s">
        <v>435</v>
      </c>
      <c r="K35" s="52" t="s">
        <v>436</v>
      </c>
      <c r="L35" s="52" t="s">
        <v>437</v>
      </c>
      <c r="M35" s="52" t="s">
        <v>303</v>
      </c>
      <c r="N35" s="52" t="s">
        <v>303</v>
      </c>
    </row>
    <row r="36">
      <c r="A36" s="47">
        <v>32.0</v>
      </c>
      <c r="B36" s="157" t="s">
        <v>73</v>
      </c>
      <c r="C36" s="49" t="s">
        <v>41</v>
      </c>
      <c r="D36" s="59"/>
      <c r="E36" s="89" t="s">
        <v>306</v>
      </c>
      <c r="F36" s="156" t="s">
        <v>438</v>
      </c>
      <c r="G36" s="156" t="s">
        <v>306</v>
      </c>
      <c r="H36" s="156" t="s">
        <v>439</v>
      </c>
      <c r="I36" s="156" t="s">
        <v>306</v>
      </c>
      <c r="J36" s="52" t="s">
        <v>440</v>
      </c>
      <c r="K36" s="52" t="s">
        <v>381</v>
      </c>
      <c r="L36" s="52" t="s">
        <v>441</v>
      </c>
      <c r="M36" s="52" t="s">
        <v>303</v>
      </c>
      <c r="N36" s="52" t="s">
        <v>303</v>
      </c>
    </row>
    <row r="37">
      <c r="A37" s="47">
        <v>33.0</v>
      </c>
      <c r="B37" s="160" t="s">
        <v>74</v>
      </c>
      <c r="C37" s="49" t="s">
        <v>41</v>
      </c>
      <c r="D37" s="59"/>
      <c r="E37" s="158" t="s">
        <v>306</v>
      </c>
      <c r="F37" s="159" t="s">
        <v>442</v>
      </c>
      <c r="G37" s="159" t="s">
        <v>306</v>
      </c>
      <c r="H37" s="159" t="s">
        <v>443</v>
      </c>
      <c r="I37" s="159" t="s">
        <v>306</v>
      </c>
      <c r="J37" s="52" t="s">
        <v>444</v>
      </c>
      <c r="K37" s="52" t="s">
        <v>445</v>
      </c>
      <c r="L37" s="52" t="s">
        <v>446</v>
      </c>
      <c r="M37" s="52" t="s">
        <v>303</v>
      </c>
      <c r="N37" s="52" t="s">
        <v>303</v>
      </c>
    </row>
    <row r="38">
      <c r="A38" s="47">
        <v>34.0</v>
      </c>
      <c r="B38" s="160" t="s">
        <v>75</v>
      </c>
      <c r="C38" s="49" t="s">
        <v>41</v>
      </c>
      <c r="D38" s="59"/>
      <c r="E38" s="158" t="s">
        <v>306</v>
      </c>
      <c r="F38" s="159" t="s">
        <v>447</v>
      </c>
      <c r="G38" s="159" t="s">
        <v>306</v>
      </c>
      <c r="H38" s="159" t="s">
        <v>448</v>
      </c>
      <c r="I38" s="159" t="s">
        <v>306</v>
      </c>
      <c r="J38" s="52" t="s">
        <v>449</v>
      </c>
      <c r="K38" s="52" t="s">
        <v>306</v>
      </c>
      <c r="L38" s="52" t="s">
        <v>450</v>
      </c>
      <c r="M38" s="52" t="s">
        <v>328</v>
      </c>
      <c r="N38" s="52" t="s">
        <v>451</v>
      </c>
    </row>
    <row r="39">
      <c r="A39" s="47">
        <v>35.0</v>
      </c>
      <c r="B39" s="160" t="s">
        <v>76</v>
      </c>
      <c r="C39" s="49" t="s">
        <v>41</v>
      </c>
      <c r="D39" s="59"/>
      <c r="E39" s="158" t="s">
        <v>306</v>
      </c>
      <c r="F39" s="159" t="s">
        <v>452</v>
      </c>
      <c r="G39" s="159" t="s">
        <v>306</v>
      </c>
      <c r="H39" s="159" t="s">
        <v>453</v>
      </c>
      <c r="I39" s="159" t="s">
        <v>306</v>
      </c>
      <c r="J39" s="52" t="s">
        <v>454</v>
      </c>
      <c r="K39" s="52" t="s">
        <v>360</v>
      </c>
      <c r="L39" s="52" t="s">
        <v>455</v>
      </c>
      <c r="M39" s="52" t="s">
        <v>303</v>
      </c>
      <c r="N39" s="52" t="s">
        <v>303</v>
      </c>
    </row>
    <row r="40">
      <c r="A40" s="47">
        <v>36.0</v>
      </c>
      <c r="B40" s="160" t="s">
        <v>77</v>
      </c>
      <c r="C40" s="49" t="s">
        <v>41</v>
      </c>
      <c r="D40" s="59"/>
      <c r="E40" s="89" t="s">
        <v>306</v>
      </c>
      <c r="F40" s="156" t="s">
        <v>456</v>
      </c>
      <c r="G40" s="156" t="s">
        <v>306</v>
      </c>
      <c r="H40" s="156" t="s">
        <v>457</v>
      </c>
      <c r="I40" s="156" t="s">
        <v>306</v>
      </c>
      <c r="J40" s="52" t="s">
        <v>458</v>
      </c>
      <c r="K40" s="52" t="s">
        <v>309</v>
      </c>
      <c r="L40" s="52" t="s">
        <v>310</v>
      </c>
      <c r="M40" s="52" t="s">
        <v>303</v>
      </c>
      <c r="N40" s="52" t="s">
        <v>303</v>
      </c>
    </row>
    <row r="41">
      <c r="A41" s="47">
        <v>37.0</v>
      </c>
      <c r="B41" s="160" t="s">
        <v>78</v>
      </c>
      <c r="C41" s="49" t="s">
        <v>41</v>
      </c>
      <c r="D41" s="59"/>
      <c r="E41" s="158" t="s">
        <v>306</v>
      </c>
      <c r="F41" s="159" t="s">
        <v>459</v>
      </c>
      <c r="G41" s="159" t="s">
        <v>306</v>
      </c>
      <c r="H41" s="159" t="s">
        <v>460</v>
      </c>
      <c r="I41" s="159" t="s">
        <v>306</v>
      </c>
      <c r="J41" s="52" t="s">
        <v>364</v>
      </c>
      <c r="K41" s="52" t="s">
        <v>360</v>
      </c>
      <c r="L41" s="52" t="s">
        <v>461</v>
      </c>
      <c r="M41" s="52" t="s">
        <v>303</v>
      </c>
      <c r="N41" s="52" t="s">
        <v>303</v>
      </c>
    </row>
    <row r="42">
      <c r="A42" s="47">
        <v>38.0</v>
      </c>
      <c r="B42" s="160" t="s">
        <v>79</v>
      </c>
      <c r="C42" s="49" t="s">
        <v>41</v>
      </c>
      <c r="D42" s="64"/>
      <c r="E42" s="158" t="s">
        <v>462</v>
      </c>
      <c r="F42" s="159" t="s">
        <v>463</v>
      </c>
      <c r="G42" s="159" t="s">
        <v>462</v>
      </c>
      <c r="H42" s="159" t="s">
        <v>464</v>
      </c>
      <c r="I42" s="159" t="s">
        <v>306</v>
      </c>
      <c r="J42" s="52" t="s">
        <v>465</v>
      </c>
      <c r="K42" s="52" t="s">
        <v>315</v>
      </c>
      <c r="L42" s="52" t="s">
        <v>316</v>
      </c>
      <c r="M42" s="52" t="s">
        <v>303</v>
      </c>
      <c r="N42" s="52" t="s">
        <v>303</v>
      </c>
    </row>
    <row r="43">
      <c r="A43" s="47">
        <v>39.0</v>
      </c>
      <c r="B43" s="160" t="s">
        <v>80</v>
      </c>
      <c r="C43" s="49" t="s">
        <v>41</v>
      </c>
      <c r="D43" s="59"/>
      <c r="E43" s="158" t="s">
        <v>306</v>
      </c>
      <c r="F43" s="159" t="s">
        <v>466</v>
      </c>
      <c r="G43" s="159" t="s">
        <v>306</v>
      </c>
      <c r="H43" s="159" t="s">
        <v>467</v>
      </c>
      <c r="I43" s="159" t="s">
        <v>306</v>
      </c>
      <c r="J43" s="52" t="s">
        <v>468</v>
      </c>
      <c r="K43" s="52" t="s">
        <v>306</v>
      </c>
      <c r="L43" s="52" t="s">
        <v>469</v>
      </c>
      <c r="M43" s="52" t="s">
        <v>303</v>
      </c>
      <c r="N43" s="52" t="s">
        <v>303</v>
      </c>
    </row>
    <row r="44">
      <c r="A44" s="47">
        <v>40.0</v>
      </c>
      <c r="B44" s="160" t="s">
        <v>81</v>
      </c>
      <c r="C44" s="49" t="s">
        <v>41</v>
      </c>
      <c r="D44" s="59"/>
      <c r="E44" s="158" t="s">
        <v>306</v>
      </c>
      <c r="F44" s="159" t="s">
        <v>470</v>
      </c>
      <c r="G44" s="159" t="s">
        <v>306</v>
      </c>
      <c r="H44" s="159" t="s">
        <v>471</v>
      </c>
      <c r="I44" s="159" t="s">
        <v>306</v>
      </c>
      <c r="J44" s="52" t="s">
        <v>472</v>
      </c>
      <c r="K44" s="52" t="s">
        <v>473</v>
      </c>
      <c r="L44" s="52" t="s">
        <v>474</v>
      </c>
      <c r="M44" s="52" t="s">
        <v>303</v>
      </c>
      <c r="N44" s="52" t="s">
        <v>303</v>
      </c>
    </row>
    <row r="45">
      <c r="A45" s="47">
        <v>41.0</v>
      </c>
      <c r="B45" s="160" t="s">
        <v>82</v>
      </c>
      <c r="C45" s="49" t="s">
        <v>41</v>
      </c>
      <c r="D45" s="59"/>
      <c r="E45" s="158" t="s">
        <v>306</v>
      </c>
      <c r="F45" s="159" t="s">
        <v>475</v>
      </c>
      <c r="G45" s="159" t="s">
        <v>306</v>
      </c>
      <c r="H45" s="159" t="s">
        <v>476</v>
      </c>
      <c r="I45" s="159" t="s">
        <v>306</v>
      </c>
      <c r="J45" s="52" t="s">
        <v>477</v>
      </c>
      <c r="K45" s="52" t="s">
        <v>478</v>
      </c>
      <c r="L45" s="52" t="s">
        <v>479</v>
      </c>
      <c r="M45" s="52" t="s">
        <v>303</v>
      </c>
      <c r="N45" s="52" t="s">
        <v>303</v>
      </c>
    </row>
    <row r="46">
      <c r="A46" s="47">
        <v>42.0</v>
      </c>
      <c r="B46" s="160" t="s">
        <v>83</v>
      </c>
      <c r="C46" s="49" t="s">
        <v>41</v>
      </c>
      <c r="D46" s="59"/>
      <c r="E46" s="89" t="s">
        <v>306</v>
      </c>
      <c r="F46" s="156" t="s">
        <v>480</v>
      </c>
      <c r="G46" s="156" t="s">
        <v>306</v>
      </c>
      <c r="H46" s="156" t="s">
        <v>481</v>
      </c>
      <c r="I46" s="156" t="s">
        <v>306</v>
      </c>
      <c r="J46" s="52" t="s">
        <v>482</v>
      </c>
      <c r="K46" s="52" t="s">
        <v>360</v>
      </c>
      <c r="L46" s="52" t="s">
        <v>483</v>
      </c>
      <c r="M46" s="52" t="s">
        <v>303</v>
      </c>
      <c r="N46" s="52" t="s">
        <v>303</v>
      </c>
    </row>
    <row r="47">
      <c r="A47" s="47">
        <v>43.0</v>
      </c>
      <c r="B47" s="160" t="s">
        <v>84</v>
      </c>
      <c r="C47" s="49" t="s">
        <v>41</v>
      </c>
      <c r="D47" s="59"/>
      <c r="E47" s="158" t="s">
        <v>306</v>
      </c>
      <c r="F47" s="159" t="s">
        <v>484</v>
      </c>
      <c r="G47" s="159" t="s">
        <v>306</v>
      </c>
      <c r="H47" s="159" t="s">
        <v>485</v>
      </c>
      <c r="I47" s="159" t="s">
        <v>306</v>
      </c>
      <c r="J47" s="52" t="s">
        <v>486</v>
      </c>
      <c r="K47" s="52">
        <v>1.0</v>
      </c>
      <c r="L47" s="52" t="s">
        <v>302</v>
      </c>
      <c r="M47" s="52" t="s">
        <v>303</v>
      </c>
      <c r="N47" s="52" t="s">
        <v>303</v>
      </c>
    </row>
    <row r="48">
      <c r="A48" s="47">
        <v>44.0</v>
      </c>
      <c r="B48" s="160" t="s">
        <v>85</v>
      </c>
      <c r="C48" s="49" t="s">
        <v>41</v>
      </c>
      <c r="D48" s="59"/>
      <c r="E48" s="52" t="s">
        <v>306</v>
      </c>
      <c r="F48" s="52" t="s">
        <v>487</v>
      </c>
      <c r="G48" s="52" t="s">
        <v>306</v>
      </c>
      <c r="H48" s="52" t="s">
        <v>488</v>
      </c>
      <c r="I48" s="52" t="s">
        <v>306</v>
      </c>
      <c r="J48" s="52" t="s">
        <v>489</v>
      </c>
      <c r="K48" s="52" t="s">
        <v>360</v>
      </c>
      <c r="L48" s="52" t="s">
        <v>490</v>
      </c>
      <c r="M48" s="52" t="s">
        <v>303</v>
      </c>
      <c r="N48" s="52" t="s">
        <v>303</v>
      </c>
    </row>
    <row r="49">
      <c r="A49" s="47">
        <v>45.0</v>
      </c>
      <c r="B49" s="160" t="s">
        <v>86</v>
      </c>
      <c r="C49" s="49" t="s">
        <v>41</v>
      </c>
      <c r="D49" s="64"/>
      <c r="E49" s="52" t="s">
        <v>306</v>
      </c>
      <c r="F49" s="52" t="s">
        <v>491</v>
      </c>
      <c r="G49" s="52" t="s">
        <v>306</v>
      </c>
      <c r="H49" s="52" t="s">
        <v>492</v>
      </c>
      <c r="I49" s="52" t="s">
        <v>306</v>
      </c>
      <c r="J49" s="52" t="s">
        <v>493</v>
      </c>
      <c r="K49" s="52" t="s">
        <v>306</v>
      </c>
      <c r="L49" s="52" t="s">
        <v>494</v>
      </c>
      <c r="M49" s="52" t="s">
        <v>303</v>
      </c>
      <c r="N49" s="52" t="s">
        <v>303</v>
      </c>
    </row>
    <row r="50">
      <c r="A50" s="47">
        <v>46.0</v>
      </c>
      <c r="B50" s="160" t="s">
        <v>87</v>
      </c>
      <c r="C50" s="49" t="s">
        <v>41</v>
      </c>
      <c r="D50" s="59"/>
      <c r="E50" s="52" t="s">
        <v>306</v>
      </c>
      <c r="F50" s="52" t="s">
        <v>495</v>
      </c>
      <c r="G50" s="52" t="s">
        <v>306</v>
      </c>
      <c r="H50" s="52" t="s">
        <v>496</v>
      </c>
      <c r="I50" s="52" t="s">
        <v>306</v>
      </c>
      <c r="J50" s="52" t="s">
        <v>497</v>
      </c>
      <c r="K50" s="52" t="s">
        <v>306</v>
      </c>
      <c r="L50" s="52" t="s">
        <v>498</v>
      </c>
      <c r="M50" s="52" t="s">
        <v>303</v>
      </c>
      <c r="N50" s="52" t="s">
        <v>303</v>
      </c>
    </row>
    <row r="51">
      <c r="A51" s="47">
        <v>47.0</v>
      </c>
      <c r="B51" s="160" t="s">
        <v>88</v>
      </c>
      <c r="C51" s="49" t="s">
        <v>41</v>
      </c>
      <c r="D51" s="59"/>
      <c r="E51" s="52" t="s">
        <v>306</v>
      </c>
      <c r="F51" s="52" t="s">
        <v>499</v>
      </c>
      <c r="G51" s="52" t="s">
        <v>306</v>
      </c>
      <c r="H51" s="52" t="s">
        <v>500</v>
      </c>
      <c r="I51" s="52" t="s">
        <v>306</v>
      </c>
      <c r="J51" s="52" t="s">
        <v>501</v>
      </c>
      <c r="K51" s="52" t="s">
        <v>306</v>
      </c>
      <c r="L51" s="52" t="s">
        <v>502</v>
      </c>
      <c r="M51" s="52" t="s">
        <v>303</v>
      </c>
      <c r="N51" s="52" t="s">
        <v>303</v>
      </c>
    </row>
    <row r="52">
      <c r="A52" s="47">
        <v>48.0</v>
      </c>
      <c r="B52" s="160" t="s">
        <v>89</v>
      </c>
      <c r="C52" s="49" t="s">
        <v>41</v>
      </c>
      <c r="D52" s="64"/>
      <c r="E52" s="52" t="s">
        <v>306</v>
      </c>
      <c r="F52" s="52" t="s">
        <v>503</v>
      </c>
      <c r="G52" s="52" t="s">
        <v>306</v>
      </c>
      <c r="H52" s="52" t="s">
        <v>504</v>
      </c>
      <c r="I52" s="52" t="s">
        <v>306</v>
      </c>
      <c r="J52" s="52" t="s">
        <v>505</v>
      </c>
      <c r="K52" s="52" t="s">
        <v>306</v>
      </c>
      <c r="L52" s="52" t="s">
        <v>506</v>
      </c>
      <c r="M52" s="52" t="s">
        <v>303</v>
      </c>
      <c r="N52" s="52" t="s">
        <v>303</v>
      </c>
    </row>
    <row r="53">
      <c r="A53" s="47">
        <v>49.0</v>
      </c>
      <c r="B53" s="160" t="s">
        <v>90</v>
      </c>
      <c r="C53" s="49" t="s">
        <v>41</v>
      </c>
      <c r="D53" s="59"/>
      <c r="E53" s="89" t="s">
        <v>306</v>
      </c>
      <c r="F53" s="156" t="s">
        <v>507</v>
      </c>
      <c r="G53" s="156" t="s">
        <v>306</v>
      </c>
      <c r="H53" s="156" t="s">
        <v>508</v>
      </c>
      <c r="I53" s="156" t="s">
        <v>306</v>
      </c>
      <c r="J53" s="52" t="s">
        <v>509</v>
      </c>
      <c r="K53" s="52" t="s">
        <v>306</v>
      </c>
      <c r="L53" s="52" t="s">
        <v>510</v>
      </c>
      <c r="M53" s="52" t="s">
        <v>303</v>
      </c>
      <c r="N53" s="52" t="s">
        <v>303</v>
      </c>
    </row>
    <row r="54">
      <c r="A54" s="47">
        <v>50.0</v>
      </c>
      <c r="B54" s="93" t="s">
        <v>91</v>
      </c>
      <c r="C54" s="49" t="s">
        <v>41</v>
      </c>
      <c r="D54" s="59"/>
      <c r="E54" s="60"/>
      <c r="F54" s="61"/>
      <c r="G54" s="61"/>
      <c r="H54" s="61"/>
      <c r="I54" s="61"/>
      <c r="J54" s="54"/>
      <c r="K54" s="54"/>
      <c r="L54" s="54"/>
      <c r="M54" s="54"/>
      <c r="N54" s="54"/>
    </row>
    <row r="55">
      <c r="A55" s="47">
        <v>51.0</v>
      </c>
      <c r="B55" s="160" t="s">
        <v>92</v>
      </c>
      <c r="C55" s="49" t="s">
        <v>93</v>
      </c>
      <c r="D55" s="59"/>
      <c r="E55" s="52" t="s">
        <v>511</v>
      </c>
      <c r="F55" s="52" t="s">
        <v>512</v>
      </c>
      <c r="G55" s="52" t="s">
        <v>513</v>
      </c>
      <c r="H55" s="52" t="s">
        <v>514</v>
      </c>
      <c r="I55" s="52" t="s">
        <v>513</v>
      </c>
      <c r="J55" s="52" t="s">
        <v>514</v>
      </c>
      <c r="K55" s="52" t="s">
        <v>513</v>
      </c>
      <c r="L55" s="52" t="s">
        <v>514</v>
      </c>
      <c r="M55" s="52">
        <v>1.0</v>
      </c>
      <c r="N55" s="52" t="s">
        <v>515</v>
      </c>
    </row>
    <row r="56">
      <c r="A56" s="47">
        <v>52.0</v>
      </c>
      <c r="B56" s="160" t="s">
        <v>94</v>
      </c>
      <c r="C56" s="49" t="s">
        <v>93</v>
      </c>
      <c r="D56" s="59"/>
      <c r="E56" s="89" t="s">
        <v>516</v>
      </c>
      <c r="F56" s="156" t="s">
        <v>517</v>
      </c>
      <c r="G56" s="156" t="s">
        <v>516</v>
      </c>
      <c r="H56" s="156" t="s">
        <v>518</v>
      </c>
      <c r="I56" s="156" t="s">
        <v>519</v>
      </c>
      <c r="J56" s="52" t="s">
        <v>520</v>
      </c>
      <c r="K56" s="52" t="s">
        <v>521</v>
      </c>
      <c r="L56" s="52" t="s">
        <v>522</v>
      </c>
      <c r="M56" s="52">
        <v>0.66</v>
      </c>
      <c r="N56" s="52" t="s">
        <v>523</v>
      </c>
    </row>
    <row r="57">
      <c r="A57" s="47">
        <v>53.0</v>
      </c>
      <c r="B57" s="160" t="s">
        <v>95</v>
      </c>
      <c r="C57" s="49" t="s">
        <v>93</v>
      </c>
      <c r="D57" s="64"/>
      <c r="E57" s="89" t="s">
        <v>516</v>
      </c>
      <c r="F57" s="156" t="s">
        <v>524</v>
      </c>
      <c r="G57" s="156" t="s">
        <v>516</v>
      </c>
      <c r="H57" s="156" t="s">
        <v>525</v>
      </c>
      <c r="I57" s="156" t="s">
        <v>526</v>
      </c>
      <c r="J57" s="52" t="s">
        <v>526</v>
      </c>
      <c r="K57" s="52" t="s">
        <v>527</v>
      </c>
      <c r="L57" s="52" t="s">
        <v>527</v>
      </c>
      <c r="M57" s="144"/>
      <c r="N57" s="144"/>
    </row>
    <row r="58">
      <c r="A58" s="47">
        <v>54.0</v>
      </c>
      <c r="B58" s="160" t="s">
        <v>96</v>
      </c>
      <c r="C58" s="49" t="s">
        <v>93</v>
      </c>
      <c r="D58" s="59"/>
      <c r="E58" s="158" t="s">
        <v>516</v>
      </c>
      <c r="F58" s="159" t="s">
        <v>528</v>
      </c>
      <c r="G58" s="159" t="s">
        <v>516</v>
      </c>
      <c r="H58" s="159" t="s">
        <v>529</v>
      </c>
      <c r="I58" s="159" t="s">
        <v>526</v>
      </c>
      <c r="J58" s="52" t="s">
        <v>526</v>
      </c>
      <c r="K58" s="52" t="s">
        <v>530</v>
      </c>
      <c r="L58" s="52" t="s">
        <v>530</v>
      </c>
      <c r="M58" s="52">
        <v>1.0</v>
      </c>
      <c r="N58" s="52" t="s">
        <v>531</v>
      </c>
    </row>
    <row r="59">
      <c r="A59" s="47">
        <v>55.0</v>
      </c>
      <c r="B59" s="160" t="s">
        <v>97</v>
      </c>
      <c r="C59" s="49" t="s">
        <v>93</v>
      </c>
      <c r="D59" s="59"/>
      <c r="E59" s="158" t="s">
        <v>516</v>
      </c>
      <c r="F59" s="159" t="s">
        <v>532</v>
      </c>
      <c r="G59" s="159" t="s">
        <v>516</v>
      </c>
      <c r="H59" s="159" t="s">
        <v>533</v>
      </c>
      <c r="I59" s="159" t="s">
        <v>534</v>
      </c>
      <c r="J59" s="52" t="s">
        <v>535</v>
      </c>
      <c r="K59" s="52" t="s">
        <v>536</v>
      </c>
      <c r="L59" s="52" t="s">
        <v>536</v>
      </c>
      <c r="M59" s="144"/>
      <c r="N59" s="144"/>
    </row>
    <row r="60">
      <c r="A60" s="47">
        <v>56.0</v>
      </c>
      <c r="B60" s="160" t="s">
        <v>98</v>
      </c>
      <c r="C60" s="49" t="s">
        <v>93</v>
      </c>
      <c r="D60" s="59"/>
      <c r="E60" s="89" t="s">
        <v>516</v>
      </c>
      <c r="F60" s="156" t="s">
        <v>537</v>
      </c>
      <c r="G60" s="156" t="s">
        <v>516</v>
      </c>
      <c r="H60" s="156" t="s">
        <v>538</v>
      </c>
      <c r="I60" s="156" t="s">
        <v>516</v>
      </c>
      <c r="J60" s="52" t="s">
        <v>539</v>
      </c>
      <c r="K60" s="52" t="s">
        <v>530</v>
      </c>
      <c r="L60" s="52" t="s">
        <v>530</v>
      </c>
      <c r="M60" s="52">
        <v>1.0</v>
      </c>
      <c r="N60" s="52" t="s">
        <v>540</v>
      </c>
    </row>
    <row r="61">
      <c r="A61" s="47">
        <v>57.0</v>
      </c>
      <c r="B61" s="160" t="s">
        <v>99</v>
      </c>
      <c r="C61" s="49" t="s">
        <v>93</v>
      </c>
      <c r="D61" s="59"/>
      <c r="E61" s="89" t="s">
        <v>516</v>
      </c>
      <c r="F61" s="156" t="s">
        <v>541</v>
      </c>
      <c r="G61" s="156" t="s">
        <v>516</v>
      </c>
      <c r="H61" s="156" t="s">
        <v>542</v>
      </c>
      <c r="I61" s="156" t="s">
        <v>516</v>
      </c>
      <c r="J61" s="52" t="s">
        <v>543</v>
      </c>
      <c r="K61" s="52" t="s">
        <v>544</v>
      </c>
      <c r="L61" s="52" t="s">
        <v>544</v>
      </c>
      <c r="M61" s="52">
        <v>1.0</v>
      </c>
      <c r="N61" s="52" t="s">
        <v>545</v>
      </c>
    </row>
    <row r="62" ht="16.5" customHeight="1">
      <c r="A62" s="47">
        <v>58.0</v>
      </c>
      <c r="B62" s="160" t="s">
        <v>100</v>
      </c>
      <c r="C62" s="49" t="s">
        <v>93</v>
      </c>
      <c r="D62" s="59"/>
      <c r="E62" s="158" t="s">
        <v>516</v>
      </c>
      <c r="F62" s="159" t="s">
        <v>546</v>
      </c>
      <c r="G62" s="159" t="s">
        <v>516</v>
      </c>
      <c r="H62" s="159" t="s">
        <v>547</v>
      </c>
      <c r="I62" s="159" t="s">
        <v>548</v>
      </c>
      <c r="J62" s="52" t="s">
        <v>549</v>
      </c>
      <c r="K62" s="52" t="s">
        <v>550</v>
      </c>
      <c r="L62" s="52" t="s">
        <v>551</v>
      </c>
      <c r="M62" s="144"/>
      <c r="N62" s="144"/>
    </row>
    <row r="63">
      <c r="A63" s="47">
        <v>59.0</v>
      </c>
      <c r="B63" s="160" t="s">
        <v>101</v>
      </c>
      <c r="C63" s="49" t="s">
        <v>93</v>
      </c>
      <c r="D63" s="59"/>
      <c r="E63" s="89" t="s">
        <v>516</v>
      </c>
      <c r="F63" s="156" t="s">
        <v>552</v>
      </c>
      <c r="G63" s="156" t="s">
        <v>516</v>
      </c>
      <c r="H63" s="156" t="s">
        <v>553</v>
      </c>
      <c r="I63" s="156" t="s">
        <v>516</v>
      </c>
      <c r="J63" s="52" t="s">
        <v>554</v>
      </c>
      <c r="K63" s="52" t="s">
        <v>555</v>
      </c>
      <c r="L63" s="52" t="s">
        <v>555</v>
      </c>
      <c r="M63" s="52">
        <v>1.0</v>
      </c>
      <c r="N63" s="52" t="s">
        <v>556</v>
      </c>
    </row>
    <row r="64" ht="16.5" customHeight="1">
      <c r="A64" s="47">
        <v>60.0</v>
      </c>
      <c r="B64" s="160" t="s">
        <v>102</v>
      </c>
      <c r="C64" s="49" t="s">
        <v>93</v>
      </c>
      <c r="D64" s="59"/>
      <c r="E64" s="158" t="s">
        <v>516</v>
      </c>
      <c r="F64" s="159" t="s">
        <v>557</v>
      </c>
      <c r="G64" s="159" t="s">
        <v>516</v>
      </c>
      <c r="H64" s="159" t="s">
        <v>558</v>
      </c>
      <c r="I64" s="159" t="s">
        <v>526</v>
      </c>
      <c r="J64" s="52" t="s">
        <v>526</v>
      </c>
      <c r="K64" s="52" t="s">
        <v>559</v>
      </c>
      <c r="L64" s="52" t="s">
        <v>559</v>
      </c>
      <c r="M64" s="52">
        <v>1.0</v>
      </c>
      <c r="N64" s="52" t="s">
        <v>560</v>
      </c>
    </row>
    <row r="65">
      <c r="A65" s="47">
        <v>61.0</v>
      </c>
      <c r="B65" s="160" t="s">
        <v>103</v>
      </c>
      <c r="C65" s="49" t="s">
        <v>93</v>
      </c>
      <c r="D65" s="59"/>
      <c r="E65" s="89" t="s">
        <v>516</v>
      </c>
      <c r="F65" s="156" t="s">
        <v>561</v>
      </c>
      <c r="G65" s="156" t="s">
        <v>516</v>
      </c>
      <c r="H65" s="156" t="s">
        <v>562</v>
      </c>
      <c r="I65" s="156" t="s">
        <v>516</v>
      </c>
      <c r="J65" s="52" t="s">
        <v>563</v>
      </c>
      <c r="K65" s="52" t="s">
        <v>559</v>
      </c>
      <c r="L65" s="52" t="s">
        <v>559</v>
      </c>
      <c r="M65" s="52">
        <v>1.0</v>
      </c>
      <c r="N65" s="52" t="s">
        <v>564</v>
      </c>
    </row>
    <row r="66">
      <c r="A66" s="47">
        <v>62.0</v>
      </c>
      <c r="B66" s="160" t="s">
        <v>104</v>
      </c>
      <c r="C66" s="49" t="s">
        <v>93</v>
      </c>
      <c r="D66" s="59"/>
      <c r="E66" s="158" t="s">
        <v>516</v>
      </c>
      <c r="F66" s="159" t="s">
        <v>565</v>
      </c>
      <c r="G66" s="159" t="s">
        <v>516</v>
      </c>
      <c r="H66" s="159" t="s">
        <v>566</v>
      </c>
      <c r="I66" s="159" t="s">
        <v>548</v>
      </c>
      <c r="J66" s="52" t="s">
        <v>567</v>
      </c>
      <c r="K66" s="52" t="s">
        <v>568</v>
      </c>
      <c r="L66" s="52" t="s">
        <v>568</v>
      </c>
      <c r="M66" s="52">
        <v>1.0</v>
      </c>
      <c r="N66" s="52" t="s">
        <v>569</v>
      </c>
    </row>
    <row r="67">
      <c r="A67" s="47">
        <v>63.0</v>
      </c>
      <c r="B67" s="160" t="s">
        <v>105</v>
      </c>
      <c r="C67" s="49" t="s">
        <v>93</v>
      </c>
      <c r="D67" s="59"/>
      <c r="E67" s="158" t="s">
        <v>516</v>
      </c>
      <c r="F67" s="159" t="s">
        <v>570</v>
      </c>
      <c r="G67" s="159" t="s">
        <v>516</v>
      </c>
      <c r="H67" s="159" t="s">
        <v>571</v>
      </c>
      <c r="I67" s="159" t="s">
        <v>516</v>
      </c>
      <c r="J67" s="52" t="s">
        <v>572</v>
      </c>
      <c r="K67" s="52" t="s">
        <v>573</v>
      </c>
      <c r="L67" s="52" t="s">
        <v>573</v>
      </c>
      <c r="M67" s="52">
        <v>1.0</v>
      </c>
      <c r="N67" s="52" t="s">
        <v>574</v>
      </c>
    </row>
    <row r="68">
      <c r="A68" s="47">
        <v>64.0</v>
      </c>
      <c r="B68" s="160" t="s">
        <v>106</v>
      </c>
      <c r="C68" s="49" t="s">
        <v>93</v>
      </c>
      <c r="D68" s="59"/>
      <c r="E68" s="158" t="s">
        <v>516</v>
      </c>
      <c r="F68" s="159" t="s">
        <v>575</v>
      </c>
      <c r="G68" s="159" t="s">
        <v>516</v>
      </c>
      <c r="H68" s="159" t="s">
        <v>576</v>
      </c>
      <c r="I68" s="159" t="s">
        <v>516</v>
      </c>
      <c r="J68" s="52" t="s">
        <v>577</v>
      </c>
      <c r="K68" s="52" t="s">
        <v>578</v>
      </c>
      <c r="L68" s="52" t="s">
        <v>579</v>
      </c>
      <c r="M68" s="144"/>
      <c r="N68" s="144"/>
    </row>
    <row r="69">
      <c r="A69" s="47">
        <v>65.0</v>
      </c>
      <c r="B69" s="160" t="s">
        <v>107</v>
      </c>
      <c r="C69" s="49" t="s">
        <v>93</v>
      </c>
      <c r="D69" s="59"/>
      <c r="E69" s="89" t="s">
        <v>516</v>
      </c>
      <c r="F69" s="156" t="s">
        <v>580</v>
      </c>
      <c r="G69" s="156" t="s">
        <v>516</v>
      </c>
      <c r="H69" s="156" t="s">
        <v>581</v>
      </c>
      <c r="I69" s="156" t="s">
        <v>516</v>
      </c>
      <c r="J69" s="52" t="s">
        <v>582</v>
      </c>
      <c r="K69" s="52" t="s">
        <v>583</v>
      </c>
      <c r="L69" s="52" t="s">
        <v>583</v>
      </c>
      <c r="M69" s="144"/>
      <c r="N69" s="144"/>
    </row>
    <row r="70">
      <c r="A70" s="47">
        <v>66.0</v>
      </c>
      <c r="B70" s="160" t="s">
        <v>108</v>
      </c>
      <c r="C70" s="49" t="s">
        <v>93</v>
      </c>
      <c r="D70" s="59"/>
      <c r="E70" s="89" t="s">
        <v>516</v>
      </c>
      <c r="F70" s="156" t="s">
        <v>584</v>
      </c>
      <c r="G70" s="156" t="s">
        <v>516</v>
      </c>
      <c r="H70" s="156" t="s">
        <v>585</v>
      </c>
      <c r="I70" s="156" t="s">
        <v>516</v>
      </c>
      <c r="J70" s="52" t="s">
        <v>585</v>
      </c>
      <c r="K70" s="52" t="s">
        <v>586</v>
      </c>
      <c r="L70" s="52" t="s">
        <v>586</v>
      </c>
      <c r="M70" s="144"/>
      <c r="N70" s="144"/>
    </row>
    <row r="71">
      <c r="A71" s="47">
        <v>67.0</v>
      </c>
      <c r="B71" s="160" t="s">
        <v>109</v>
      </c>
      <c r="C71" s="49" t="s">
        <v>93</v>
      </c>
      <c r="D71" s="59"/>
      <c r="E71" s="89" t="s">
        <v>516</v>
      </c>
      <c r="F71" s="156" t="s">
        <v>587</v>
      </c>
      <c r="G71" s="156" t="s">
        <v>516</v>
      </c>
      <c r="H71" s="156" t="s">
        <v>588</v>
      </c>
      <c r="I71" s="156" t="s">
        <v>516</v>
      </c>
      <c r="J71" s="52" t="s">
        <v>589</v>
      </c>
      <c r="K71" s="52" t="s">
        <v>590</v>
      </c>
      <c r="L71" s="52" t="s">
        <v>590</v>
      </c>
      <c r="M71" s="144"/>
      <c r="N71" s="144"/>
    </row>
    <row r="72">
      <c r="A72" s="47">
        <v>68.0</v>
      </c>
      <c r="B72" s="160" t="s">
        <v>110</v>
      </c>
      <c r="C72" s="49" t="s">
        <v>93</v>
      </c>
      <c r="D72" s="59"/>
      <c r="E72" s="89" t="s">
        <v>516</v>
      </c>
      <c r="F72" s="156" t="s">
        <v>591</v>
      </c>
      <c r="G72" s="156" t="s">
        <v>516</v>
      </c>
      <c r="H72" s="156" t="s">
        <v>592</v>
      </c>
      <c r="I72" s="156" t="s">
        <v>548</v>
      </c>
      <c r="J72" s="52" t="s">
        <v>593</v>
      </c>
      <c r="K72" s="52" t="s">
        <v>594</v>
      </c>
      <c r="L72" s="52" t="s">
        <v>595</v>
      </c>
      <c r="M72" s="144"/>
      <c r="N72" s="144"/>
    </row>
    <row r="73">
      <c r="A73" s="47">
        <v>69.0</v>
      </c>
      <c r="B73" s="160" t="s">
        <v>111</v>
      </c>
      <c r="C73" s="49" t="s">
        <v>93</v>
      </c>
      <c r="D73" s="59"/>
      <c r="E73" s="52" t="s">
        <v>516</v>
      </c>
      <c r="F73" s="52" t="s">
        <v>596</v>
      </c>
      <c r="G73" s="52" t="s">
        <v>516</v>
      </c>
      <c r="H73" s="52" t="s">
        <v>597</v>
      </c>
      <c r="I73" s="52" t="s">
        <v>516</v>
      </c>
      <c r="J73" s="52" t="s">
        <v>598</v>
      </c>
      <c r="K73" s="52" t="s">
        <v>599</v>
      </c>
      <c r="L73" s="52" t="s">
        <v>600</v>
      </c>
      <c r="M73" s="144"/>
      <c r="N73" s="144"/>
    </row>
    <row r="74">
      <c r="A74" s="47">
        <v>70.0</v>
      </c>
      <c r="B74" s="160" t="s">
        <v>112</v>
      </c>
      <c r="C74" s="49" t="s">
        <v>93</v>
      </c>
      <c r="D74" s="59"/>
      <c r="E74" s="52" t="s">
        <v>516</v>
      </c>
      <c r="F74" s="52" t="s">
        <v>601</v>
      </c>
      <c r="G74" s="52" t="s">
        <v>516</v>
      </c>
      <c r="H74" s="52" t="s">
        <v>602</v>
      </c>
      <c r="I74" s="52" t="s">
        <v>516</v>
      </c>
      <c r="J74" s="52" t="s">
        <v>588</v>
      </c>
      <c r="K74" s="52" t="s">
        <v>578</v>
      </c>
      <c r="L74" s="52" t="s">
        <v>603</v>
      </c>
      <c r="M74" s="144"/>
      <c r="N74" s="144"/>
    </row>
    <row r="75">
      <c r="A75" s="47">
        <v>71.0</v>
      </c>
      <c r="B75" s="160" t="s">
        <v>113</v>
      </c>
      <c r="C75" s="49" t="s">
        <v>93</v>
      </c>
      <c r="D75" s="59"/>
      <c r="E75" s="89" t="s">
        <v>516</v>
      </c>
      <c r="F75" s="156" t="s">
        <v>604</v>
      </c>
      <c r="G75" s="156" t="s">
        <v>516</v>
      </c>
      <c r="H75" s="156" t="s">
        <v>574</v>
      </c>
      <c r="I75" s="156" t="s">
        <v>516</v>
      </c>
      <c r="J75" s="52" t="s">
        <v>605</v>
      </c>
      <c r="K75" s="52" t="s">
        <v>606</v>
      </c>
      <c r="L75" s="52" t="s">
        <v>606</v>
      </c>
      <c r="M75" s="144"/>
      <c r="N75" s="144"/>
    </row>
    <row r="76">
      <c r="A76" s="47">
        <v>72.0</v>
      </c>
      <c r="B76" s="160" t="s">
        <v>114</v>
      </c>
      <c r="C76" s="49" t="s">
        <v>93</v>
      </c>
      <c r="D76" s="59"/>
      <c r="E76" s="89" t="s">
        <v>516</v>
      </c>
      <c r="F76" s="156" t="s">
        <v>607</v>
      </c>
      <c r="G76" s="156" t="s">
        <v>516</v>
      </c>
      <c r="H76" s="156" t="s">
        <v>605</v>
      </c>
      <c r="I76" s="156" t="s">
        <v>516</v>
      </c>
      <c r="J76" s="52" t="s">
        <v>571</v>
      </c>
      <c r="K76" s="52" t="s">
        <v>608</v>
      </c>
      <c r="L76" s="52" t="s">
        <v>609</v>
      </c>
      <c r="M76" s="144"/>
      <c r="N76" s="144"/>
    </row>
    <row r="77">
      <c r="A77" s="47">
        <v>73.0</v>
      </c>
      <c r="B77" s="160" t="s">
        <v>115</v>
      </c>
      <c r="C77" s="49" t="s">
        <v>93</v>
      </c>
      <c r="D77" s="59"/>
      <c r="E77" s="158" t="s">
        <v>516</v>
      </c>
      <c r="F77" s="159" t="s">
        <v>610</v>
      </c>
      <c r="G77" s="159" t="s">
        <v>516</v>
      </c>
      <c r="H77" s="159" t="s">
        <v>563</v>
      </c>
      <c r="I77" s="159" t="s">
        <v>516</v>
      </c>
      <c r="J77" s="52" t="s">
        <v>589</v>
      </c>
      <c r="K77" s="52" t="s">
        <v>611</v>
      </c>
      <c r="L77" s="52" t="s">
        <v>612</v>
      </c>
      <c r="M77" s="144"/>
      <c r="N77" s="144"/>
    </row>
    <row r="78">
      <c r="A78" s="47">
        <v>74.0</v>
      </c>
      <c r="B78" s="160" t="s">
        <v>116</v>
      </c>
      <c r="C78" s="49" t="s">
        <v>93</v>
      </c>
      <c r="D78" s="59"/>
      <c r="E78" s="52" t="s">
        <v>516</v>
      </c>
      <c r="F78" s="52" t="s">
        <v>613</v>
      </c>
      <c r="G78" s="52" t="s">
        <v>516</v>
      </c>
      <c r="H78" s="52" t="s">
        <v>614</v>
      </c>
      <c r="I78" s="52" t="s">
        <v>516</v>
      </c>
      <c r="J78" s="52" t="s">
        <v>615</v>
      </c>
      <c r="K78" s="52" t="s">
        <v>516</v>
      </c>
      <c r="L78" s="52" t="s">
        <v>615</v>
      </c>
      <c r="M78" s="144"/>
      <c r="N78" s="144"/>
    </row>
    <row r="79">
      <c r="A79" s="47">
        <v>75.0</v>
      </c>
      <c r="B79" s="160" t="s">
        <v>117</v>
      </c>
      <c r="C79" s="49" t="s">
        <v>93</v>
      </c>
      <c r="D79" s="59"/>
      <c r="E79" s="52" t="s">
        <v>516</v>
      </c>
      <c r="F79" s="52" t="s">
        <v>616</v>
      </c>
      <c r="G79" s="52" t="s">
        <v>516</v>
      </c>
      <c r="H79" s="52" t="s">
        <v>617</v>
      </c>
      <c r="I79" s="52" t="s">
        <v>516</v>
      </c>
      <c r="J79" s="52" t="s">
        <v>618</v>
      </c>
      <c r="K79" s="52" t="s">
        <v>619</v>
      </c>
      <c r="L79" s="52" t="s">
        <v>619</v>
      </c>
      <c r="M79" s="52">
        <v>1.0</v>
      </c>
      <c r="N79" s="52" t="s">
        <v>618</v>
      </c>
    </row>
    <row r="80">
      <c r="A80" s="47">
        <v>76.0</v>
      </c>
      <c r="B80" s="160" t="s">
        <v>118</v>
      </c>
      <c r="C80" s="49" t="s">
        <v>93</v>
      </c>
      <c r="D80" s="59"/>
      <c r="E80" s="52" t="s">
        <v>516</v>
      </c>
      <c r="F80" s="52" t="s">
        <v>620</v>
      </c>
      <c r="G80" s="52" t="s">
        <v>516</v>
      </c>
      <c r="H80" s="52" t="s">
        <v>621</v>
      </c>
      <c r="I80" s="52" t="s">
        <v>516</v>
      </c>
      <c r="J80" s="52" t="s">
        <v>622</v>
      </c>
      <c r="K80" s="52" t="s">
        <v>526</v>
      </c>
      <c r="L80" s="52" t="s">
        <v>623</v>
      </c>
      <c r="M80" s="144"/>
      <c r="N80" s="144"/>
    </row>
    <row r="81">
      <c r="A81" s="47">
        <v>77.0</v>
      </c>
      <c r="B81" s="160" t="s">
        <v>119</v>
      </c>
      <c r="C81" s="49" t="s">
        <v>93</v>
      </c>
      <c r="D81" s="59"/>
      <c r="E81" s="52" t="s">
        <v>624</v>
      </c>
      <c r="F81" s="52" t="s">
        <v>625</v>
      </c>
      <c r="G81" s="52" t="s">
        <v>516</v>
      </c>
      <c r="H81" s="52" t="s">
        <v>577</v>
      </c>
      <c r="I81" s="52" t="s">
        <v>516</v>
      </c>
      <c r="J81" s="52" t="s">
        <v>626</v>
      </c>
      <c r="K81" s="52" t="s">
        <v>516</v>
      </c>
      <c r="L81" s="52" t="s">
        <v>627</v>
      </c>
      <c r="M81" s="144"/>
      <c r="N81" s="144"/>
    </row>
    <row r="82">
      <c r="A82" s="47">
        <v>78.0</v>
      </c>
      <c r="B82" s="160" t="s">
        <v>120</v>
      </c>
      <c r="C82" s="49" t="s">
        <v>93</v>
      </c>
      <c r="D82" s="59"/>
      <c r="E82" s="52" t="s">
        <v>624</v>
      </c>
      <c r="F82" s="52" t="s">
        <v>628</v>
      </c>
      <c r="G82" s="52" t="s">
        <v>516</v>
      </c>
      <c r="H82" s="52" t="s">
        <v>629</v>
      </c>
      <c r="I82" s="52" t="s">
        <v>516</v>
      </c>
      <c r="J82" s="52" t="s">
        <v>630</v>
      </c>
      <c r="K82" s="52" t="s">
        <v>516</v>
      </c>
      <c r="L82" s="52" t="s">
        <v>631</v>
      </c>
      <c r="M82" s="144"/>
      <c r="N82" s="144"/>
    </row>
    <row r="83">
      <c r="A83" s="47">
        <v>79.0</v>
      </c>
      <c r="B83" s="160" t="s">
        <v>121</v>
      </c>
      <c r="C83" s="49" t="s">
        <v>93</v>
      </c>
      <c r="D83" s="59"/>
      <c r="E83" s="52" t="s">
        <v>516</v>
      </c>
      <c r="F83" s="52" t="s">
        <v>632</v>
      </c>
      <c r="G83" s="52" t="s">
        <v>516</v>
      </c>
      <c r="H83" s="52" t="s">
        <v>561</v>
      </c>
      <c r="I83" s="52" t="s">
        <v>516</v>
      </c>
      <c r="J83" s="52" t="s">
        <v>564</v>
      </c>
      <c r="K83" s="52" t="s">
        <v>516</v>
      </c>
      <c r="L83" s="52" t="s">
        <v>597</v>
      </c>
      <c r="M83" s="144"/>
      <c r="N83" s="144"/>
    </row>
    <row r="84">
      <c r="A84" s="47">
        <v>80.0</v>
      </c>
      <c r="B84" s="160" t="s">
        <v>122</v>
      </c>
      <c r="C84" s="49" t="s">
        <v>93</v>
      </c>
      <c r="D84" s="59"/>
      <c r="E84" s="52" t="s">
        <v>516</v>
      </c>
      <c r="F84" s="52" t="s">
        <v>633</v>
      </c>
      <c r="G84" s="52" t="s">
        <v>516</v>
      </c>
      <c r="H84" s="52" t="s">
        <v>634</v>
      </c>
      <c r="I84" s="52" t="s">
        <v>516</v>
      </c>
      <c r="J84" s="52" t="s">
        <v>635</v>
      </c>
      <c r="K84" s="52" t="s">
        <v>516</v>
      </c>
      <c r="L84" s="52" t="s">
        <v>636</v>
      </c>
      <c r="M84" s="144"/>
      <c r="N84" s="144"/>
    </row>
    <row r="85">
      <c r="A85" s="47">
        <v>81.0</v>
      </c>
      <c r="B85" s="160" t="s">
        <v>123</v>
      </c>
      <c r="C85" s="49" t="s">
        <v>93</v>
      </c>
      <c r="D85" s="59"/>
      <c r="E85" s="89" t="s">
        <v>516</v>
      </c>
      <c r="F85" s="156" t="s">
        <v>637</v>
      </c>
      <c r="G85" s="156" t="s">
        <v>516</v>
      </c>
      <c r="H85" s="156" t="s">
        <v>638</v>
      </c>
      <c r="I85" s="156" t="s">
        <v>516</v>
      </c>
      <c r="J85" s="52" t="s">
        <v>639</v>
      </c>
      <c r="K85" s="52" t="s">
        <v>516</v>
      </c>
      <c r="L85" s="52" t="s">
        <v>639</v>
      </c>
      <c r="M85" s="144"/>
      <c r="N85" s="144"/>
    </row>
    <row r="86">
      <c r="A86" s="47">
        <v>82.0</v>
      </c>
      <c r="B86" s="160" t="s">
        <v>124</v>
      </c>
      <c r="C86" s="49" t="s">
        <v>93</v>
      </c>
      <c r="D86" s="59"/>
      <c r="E86" s="89" t="s">
        <v>516</v>
      </c>
      <c r="F86" s="156" t="s">
        <v>640</v>
      </c>
      <c r="G86" s="156" t="s">
        <v>516</v>
      </c>
      <c r="H86" s="156" t="s">
        <v>641</v>
      </c>
      <c r="I86" s="156" t="s">
        <v>516</v>
      </c>
      <c r="J86" s="52" t="s">
        <v>642</v>
      </c>
      <c r="K86" s="52" t="s">
        <v>516</v>
      </c>
      <c r="L86" s="52" t="s">
        <v>617</v>
      </c>
      <c r="M86" s="144"/>
      <c r="N86" s="144"/>
    </row>
    <row r="87">
      <c r="A87" s="47">
        <v>83.0</v>
      </c>
      <c r="B87" s="160" t="s">
        <v>125</v>
      </c>
      <c r="C87" s="49" t="s">
        <v>93</v>
      </c>
      <c r="D87" s="59"/>
      <c r="E87" s="158" t="s">
        <v>516</v>
      </c>
      <c r="F87" s="159" t="s">
        <v>643</v>
      </c>
      <c r="G87" s="159" t="s">
        <v>516</v>
      </c>
      <c r="H87" s="159" t="s">
        <v>644</v>
      </c>
      <c r="I87" s="159" t="s">
        <v>516</v>
      </c>
      <c r="J87" s="52" t="s">
        <v>645</v>
      </c>
      <c r="K87" s="52" t="s">
        <v>516</v>
      </c>
      <c r="L87" s="52" t="s">
        <v>645</v>
      </c>
      <c r="M87" s="144"/>
      <c r="N87" s="144"/>
    </row>
    <row r="88">
      <c r="A88" s="47">
        <v>84.0</v>
      </c>
      <c r="B88" s="160" t="s">
        <v>126</v>
      </c>
      <c r="C88" s="100" t="s">
        <v>127</v>
      </c>
      <c r="D88" s="59"/>
      <c r="E88" s="161" t="s">
        <v>646</v>
      </c>
      <c r="F88" s="162" t="s">
        <v>647</v>
      </c>
      <c r="G88" s="162" t="s">
        <v>646</v>
      </c>
      <c r="H88" s="162" t="s">
        <v>647</v>
      </c>
      <c r="I88" s="162" t="s">
        <v>646</v>
      </c>
      <c r="J88" s="52" t="s">
        <v>647</v>
      </c>
      <c r="K88" s="52" t="s">
        <v>648</v>
      </c>
      <c r="L88" s="52" t="s">
        <v>649</v>
      </c>
      <c r="M88" s="52" t="s">
        <v>650</v>
      </c>
      <c r="N88" s="52" t="s">
        <v>650</v>
      </c>
    </row>
    <row r="89">
      <c r="A89" s="47">
        <v>85.0</v>
      </c>
      <c r="B89" s="160" t="s">
        <v>128</v>
      </c>
      <c r="C89" s="100" t="s">
        <v>127</v>
      </c>
      <c r="D89" s="59"/>
      <c r="E89" s="161" t="s">
        <v>516</v>
      </c>
      <c r="F89" s="162" t="s">
        <v>651</v>
      </c>
      <c r="G89" s="162" t="s">
        <v>516</v>
      </c>
      <c r="H89" s="162" t="s">
        <v>652</v>
      </c>
      <c r="I89" s="162" t="s">
        <v>309</v>
      </c>
      <c r="J89" s="52" t="s">
        <v>653</v>
      </c>
      <c r="K89" s="52" t="s">
        <v>654</v>
      </c>
      <c r="L89" s="52" t="s">
        <v>655</v>
      </c>
      <c r="M89" s="52" t="s">
        <v>650</v>
      </c>
      <c r="N89" s="52" t="s">
        <v>650</v>
      </c>
    </row>
    <row r="90">
      <c r="A90" s="47">
        <v>86.0</v>
      </c>
      <c r="B90" s="160" t="s">
        <v>129</v>
      </c>
      <c r="C90" s="100" t="s">
        <v>127</v>
      </c>
      <c r="D90" s="59"/>
      <c r="E90" s="95" t="s">
        <v>516</v>
      </c>
      <c r="F90" s="163" t="s">
        <v>656</v>
      </c>
      <c r="G90" s="163" t="s">
        <v>516</v>
      </c>
      <c r="H90" s="163" t="s">
        <v>657</v>
      </c>
      <c r="I90" s="163" t="s">
        <v>658</v>
      </c>
      <c r="J90" s="52" t="s">
        <v>659</v>
      </c>
      <c r="K90" s="52" t="s">
        <v>660</v>
      </c>
      <c r="L90" s="52" t="s">
        <v>661</v>
      </c>
      <c r="M90" s="52" t="s">
        <v>650</v>
      </c>
      <c r="N90" s="52" t="s">
        <v>650</v>
      </c>
    </row>
    <row r="91">
      <c r="A91" s="47">
        <v>87.0</v>
      </c>
      <c r="B91" s="160" t="s">
        <v>130</v>
      </c>
      <c r="C91" s="100" t="s">
        <v>127</v>
      </c>
      <c r="D91" s="59"/>
      <c r="E91" s="161" t="s">
        <v>516</v>
      </c>
      <c r="F91" s="162" t="s">
        <v>314</v>
      </c>
      <c r="G91" s="162" t="s">
        <v>662</v>
      </c>
      <c r="H91" s="162" t="s">
        <v>663</v>
      </c>
      <c r="I91" s="162" t="s">
        <v>309</v>
      </c>
      <c r="J91" s="52" t="s">
        <v>653</v>
      </c>
      <c r="K91" s="52" t="s">
        <v>664</v>
      </c>
      <c r="L91" s="52" t="s">
        <v>665</v>
      </c>
      <c r="M91" s="52" t="s">
        <v>650</v>
      </c>
      <c r="N91" s="52" t="s">
        <v>650</v>
      </c>
    </row>
    <row r="92">
      <c r="A92" s="47">
        <v>88.0</v>
      </c>
      <c r="B92" s="160" t="s">
        <v>131</v>
      </c>
      <c r="C92" s="100" t="s">
        <v>127</v>
      </c>
      <c r="D92" s="59"/>
      <c r="E92" s="161" t="s">
        <v>516</v>
      </c>
      <c r="F92" s="162" t="s">
        <v>666</v>
      </c>
      <c r="G92" s="162" t="s">
        <v>516</v>
      </c>
      <c r="H92" s="162" t="s">
        <v>667</v>
      </c>
      <c r="I92" s="162" t="s">
        <v>668</v>
      </c>
      <c r="J92" s="52" t="s">
        <v>669</v>
      </c>
      <c r="K92" s="52" t="s">
        <v>670</v>
      </c>
      <c r="L92" s="52" t="s">
        <v>671</v>
      </c>
      <c r="M92" s="52" t="s">
        <v>672</v>
      </c>
      <c r="N92" s="52" t="s">
        <v>673</v>
      </c>
    </row>
    <row r="93">
      <c r="A93" s="47">
        <v>89.0</v>
      </c>
      <c r="B93" s="160" t="s">
        <v>132</v>
      </c>
      <c r="C93" s="100" t="s">
        <v>127</v>
      </c>
      <c r="D93" s="59"/>
      <c r="E93" s="161" t="s">
        <v>516</v>
      </c>
      <c r="F93" s="162" t="s">
        <v>674</v>
      </c>
      <c r="G93" s="162" t="s">
        <v>675</v>
      </c>
      <c r="H93" s="162" t="s">
        <v>676</v>
      </c>
      <c r="I93" s="162" t="s">
        <v>516</v>
      </c>
      <c r="J93" s="52" t="s">
        <v>677</v>
      </c>
      <c r="K93" s="52" t="s">
        <v>678</v>
      </c>
      <c r="L93" s="52" t="s">
        <v>679</v>
      </c>
      <c r="M93" s="52" t="s">
        <v>650</v>
      </c>
      <c r="N93" s="52" t="s">
        <v>650</v>
      </c>
    </row>
    <row r="94">
      <c r="A94" s="47">
        <v>90.0</v>
      </c>
      <c r="B94" s="160" t="s">
        <v>133</v>
      </c>
      <c r="C94" s="100" t="s">
        <v>127</v>
      </c>
      <c r="D94" s="59"/>
      <c r="E94" s="161" t="s">
        <v>516</v>
      </c>
      <c r="F94" s="162" t="s">
        <v>680</v>
      </c>
      <c r="G94" s="162" t="s">
        <v>306</v>
      </c>
      <c r="H94" s="162" t="s">
        <v>681</v>
      </c>
      <c r="I94" s="162" t="s">
        <v>516</v>
      </c>
      <c r="J94" s="52" t="s">
        <v>682</v>
      </c>
      <c r="K94" s="52" t="s">
        <v>683</v>
      </c>
      <c r="L94" s="52" t="s">
        <v>684</v>
      </c>
      <c r="M94" s="52" t="s">
        <v>516</v>
      </c>
      <c r="N94" s="52" t="s">
        <v>685</v>
      </c>
    </row>
    <row r="95">
      <c r="A95" s="47">
        <v>91.0</v>
      </c>
      <c r="B95" s="160" t="s">
        <v>134</v>
      </c>
      <c r="C95" s="100" t="s">
        <v>127</v>
      </c>
      <c r="D95" s="59"/>
      <c r="E95" s="95" t="s">
        <v>516</v>
      </c>
      <c r="F95" s="163" t="s">
        <v>686</v>
      </c>
      <c r="G95" s="163" t="s">
        <v>516</v>
      </c>
      <c r="H95" s="163" t="s">
        <v>687</v>
      </c>
      <c r="I95" s="163" t="s">
        <v>516</v>
      </c>
      <c r="J95" s="52" t="s">
        <v>688</v>
      </c>
      <c r="K95" s="52" t="s">
        <v>689</v>
      </c>
      <c r="L95" s="52" t="s">
        <v>690</v>
      </c>
      <c r="M95" s="52" t="s">
        <v>650</v>
      </c>
      <c r="N95" s="52" t="s">
        <v>650</v>
      </c>
    </row>
    <row r="96">
      <c r="A96" s="47">
        <v>92.0</v>
      </c>
      <c r="B96" s="160" t="s">
        <v>135</v>
      </c>
      <c r="C96" s="100" t="s">
        <v>127</v>
      </c>
      <c r="D96" s="59"/>
      <c r="E96" s="161" t="s">
        <v>516</v>
      </c>
      <c r="F96" s="162" t="s">
        <v>691</v>
      </c>
      <c r="G96" s="162" t="s">
        <v>516</v>
      </c>
      <c r="H96" s="162" t="s">
        <v>685</v>
      </c>
      <c r="I96" s="162" t="s">
        <v>516</v>
      </c>
      <c r="J96" s="52" t="s">
        <v>692</v>
      </c>
      <c r="K96" s="52" t="s">
        <v>693</v>
      </c>
      <c r="L96" s="52" t="s">
        <v>694</v>
      </c>
      <c r="M96" s="52" t="s">
        <v>650</v>
      </c>
      <c r="N96" s="52" t="s">
        <v>650</v>
      </c>
    </row>
    <row r="97">
      <c r="A97" s="47">
        <v>93.0</v>
      </c>
      <c r="B97" s="160" t="s">
        <v>136</v>
      </c>
      <c r="C97" s="100" t="s">
        <v>127</v>
      </c>
      <c r="D97" s="59"/>
      <c r="E97" s="52" t="s">
        <v>516</v>
      </c>
      <c r="F97" s="52" t="s">
        <v>695</v>
      </c>
      <c r="G97" s="52" t="s">
        <v>516</v>
      </c>
      <c r="H97" s="52" t="s">
        <v>696</v>
      </c>
      <c r="I97" s="52" t="s">
        <v>516</v>
      </c>
      <c r="J97" s="52" t="s">
        <v>696</v>
      </c>
      <c r="K97" s="52" t="s">
        <v>689</v>
      </c>
      <c r="L97" s="52" t="s">
        <v>697</v>
      </c>
      <c r="M97" s="52" t="s">
        <v>650</v>
      </c>
      <c r="N97" s="52" t="s">
        <v>650</v>
      </c>
    </row>
    <row r="98">
      <c r="A98" s="47">
        <v>94.0</v>
      </c>
      <c r="B98" s="160" t="s">
        <v>137</v>
      </c>
      <c r="C98" s="100" t="s">
        <v>127</v>
      </c>
      <c r="D98" s="59"/>
      <c r="E98" s="52" t="s">
        <v>516</v>
      </c>
      <c r="F98" s="52" t="s">
        <v>698</v>
      </c>
      <c r="G98" s="52" t="s">
        <v>516</v>
      </c>
      <c r="H98" s="52" t="s">
        <v>699</v>
      </c>
      <c r="I98" s="52" t="s">
        <v>516</v>
      </c>
      <c r="J98" s="52" t="s">
        <v>700</v>
      </c>
      <c r="K98" s="52" t="s">
        <v>701</v>
      </c>
      <c r="L98" s="52" t="s">
        <v>702</v>
      </c>
      <c r="M98" s="52" t="s">
        <v>703</v>
      </c>
      <c r="N98" s="52" t="s">
        <v>704</v>
      </c>
    </row>
    <row r="99">
      <c r="A99" s="47">
        <v>95.0</v>
      </c>
      <c r="B99" s="160" t="s">
        <v>138</v>
      </c>
      <c r="C99" s="100" t="s">
        <v>127</v>
      </c>
      <c r="D99" s="59"/>
      <c r="E99" s="52" t="s">
        <v>516</v>
      </c>
      <c r="F99" s="52" t="s">
        <v>705</v>
      </c>
      <c r="G99" s="52" t="s">
        <v>516</v>
      </c>
      <c r="H99" s="52" t="s">
        <v>685</v>
      </c>
      <c r="I99" s="52" t="s">
        <v>306</v>
      </c>
      <c r="J99" s="52" t="s">
        <v>706</v>
      </c>
      <c r="K99" s="52" t="s">
        <v>707</v>
      </c>
      <c r="L99" s="52" t="s">
        <v>665</v>
      </c>
      <c r="M99" s="52" t="s">
        <v>516</v>
      </c>
      <c r="N99" s="52" t="s">
        <v>685</v>
      </c>
    </row>
    <row r="100">
      <c r="A100" s="47">
        <v>96.0</v>
      </c>
      <c r="B100" s="101" t="s">
        <v>139</v>
      </c>
      <c r="C100" s="100" t="s">
        <v>127</v>
      </c>
      <c r="D100" s="59"/>
      <c r="E100" s="52" t="s">
        <v>516</v>
      </c>
      <c r="F100" s="52" t="s">
        <v>698</v>
      </c>
      <c r="G100" s="52" t="s">
        <v>516</v>
      </c>
      <c r="H100" s="52" t="s">
        <v>708</v>
      </c>
      <c r="I100" s="52" t="s">
        <v>516</v>
      </c>
      <c r="J100" s="52" t="s">
        <v>709</v>
      </c>
      <c r="K100" s="52" t="s">
        <v>309</v>
      </c>
      <c r="L100" s="52" t="s">
        <v>653</v>
      </c>
      <c r="M100" s="52" t="s">
        <v>710</v>
      </c>
      <c r="N100" s="52" t="s">
        <v>711</v>
      </c>
    </row>
    <row r="101">
      <c r="A101" s="47">
        <v>97.0</v>
      </c>
      <c r="B101" s="101" t="s">
        <v>140</v>
      </c>
      <c r="C101" s="100" t="s">
        <v>127</v>
      </c>
      <c r="D101" s="59"/>
      <c r="E101" s="52" t="s">
        <v>516</v>
      </c>
      <c r="F101" s="52" t="s">
        <v>712</v>
      </c>
      <c r="G101" s="52" t="s">
        <v>516</v>
      </c>
      <c r="H101" s="52" t="s">
        <v>713</v>
      </c>
      <c r="I101" s="52" t="s">
        <v>516</v>
      </c>
      <c r="J101" s="52" t="s">
        <v>692</v>
      </c>
      <c r="K101" s="52" t="s">
        <v>516</v>
      </c>
      <c r="L101" s="52" t="s">
        <v>692</v>
      </c>
      <c r="M101" s="52" t="s">
        <v>650</v>
      </c>
      <c r="N101" s="52" t="s">
        <v>650</v>
      </c>
    </row>
    <row r="102">
      <c r="A102" s="47">
        <v>98.0</v>
      </c>
      <c r="B102" s="101" t="s">
        <v>141</v>
      </c>
      <c r="C102" s="100" t="s">
        <v>127</v>
      </c>
      <c r="D102" s="59"/>
      <c r="E102" s="52" t="s">
        <v>516</v>
      </c>
      <c r="F102" s="52" t="s">
        <v>714</v>
      </c>
      <c r="G102" s="52" t="s">
        <v>516</v>
      </c>
      <c r="H102" s="52" t="s">
        <v>692</v>
      </c>
      <c r="I102" s="52" t="s">
        <v>516</v>
      </c>
      <c r="J102" s="52" t="s">
        <v>708</v>
      </c>
      <c r="K102" s="52" t="s">
        <v>306</v>
      </c>
      <c r="L102" s="52" t="s">
        <v>715</v>
      </c>
      <c r="M102" s="52" t="s">
        <v>650</v>
      </c>
      <c r="N102" s="52" t="s">
        <v>650</v>
      </c>
    </row>
    <row r="103">
      <c r="A103" s="47">
        <v>99.0</v>
      </c>
      <c r="B103" s="101" t="s">
        <v>142</v>
      </c>
      <c r="C103" s="100" t="s">
        <v>127</v>
      </c>
      <c r="D103" s="59"/>
      <c r="E103" s="52" t="s">
        <v>516</v>
      </c>
      <c r="F103" s="52" t="s">
        <v>716</v>
      </c>
      <c r="G103" s="52" t="s">
        <v>516</v>
      </c>
      <c r="H103" s="52" t="s">
        <v>717</v>
      </c>
      <c r="I103" s="52" t="s">
        <v>718</v>
      </c>
      <c r="J103" s="52" t="s">
        <v>719</v>
      </c>
      <c r="K103" s="52" t="s">
        <v>309</v>
      </c>
      <c r="L103" s="52" t="s">
        <v>720</v>
      </c>
      <c r="M103" s="52" t="s">
        <v>516</v>
      </c>
      <c r="N103" s="52" t="s">
        <v>688</v>
      </c>
    </row>
    <row r="104">
      <c r="A104" s="47">
        <v>100.0</v>
      </c>
      <c r="B104" s="93" t="s">
        <v>143</v>
      </c>
      <c r="C104" s="100" t="s">
        <v>127</v>
      </c>
      <c r="D104" s="59"/>
      <c r="E104" s="52" t="s">
        <v>516</v>
      </c>
      <c r="F104" s="52" t="s">
        <v>721</v>
      </c>
      <c r="G104" s="52" t="s">
        <v>516</v>
      </c>
      <c r="H104" s="52" t="s">
        <v>696</v>
      </c>
      <c r="I104" s="52" t="s">
        <v>516</v>
      </c>
      <c r="J104" s="52" t="s">
        <v>722</v>
      </c>
      <c r="K104" s="52" t="s">
        <v>306</v>
      </c>
      <c r="L104" s="52" t="s">
        <v>723</v>
      </c>
      <c r="M104" s="52" t="s">
        <v>650</v>
      </c>
      <c r="N104" s="52" t="s">
        <v>650</v>
      </c>
    </row>
    <row r="105">
      <c r="A105" s="47">
        <v>101.0</v>
      </c>
      <c r="B105" s="164" t="s">
        <v>144</v>
      </c>
      <c r="C105" s="100" t="s">
        <v>127</v>
      </c>
      <c r="D105" s="59"/>
      <c r="E105" s="52" t="s">
        <v>516</v>
      </c>
      <c r="F105" s="52" t="s">
        <v>724</v>
      </c>
      <c r="G105" s="52" t="s">
        <v>516</v>
      </c>
      <c r="H105" s="52" t="s">
        <v>657</v>
      </c>
      <c r="I105" s="52" t="s">
        <v>516</v>
      </c>
      <c r="J105" s="52" t="s">
        <v>725</v>
      </c>
      <c r="K105" s="52" t="s">
        <v>306</v>
      </c>
      <c r="L105" s="52" t="s">
        <v>726</v>
      </c>
      <c r="M105" s="52" t="s">
        <v>650</v>
      </c>
      <c r="N105" s="52" t="s">
        <v>650</v>
      </c>
    </row>
    <row r="106">
      <c r="A106" s="47">
        <v>102.0</v>
      </c>
      <c r="B106" s="164" t="s">
        <v>145</v>
      </c>
      <c r="C106" s="100" t="s">
        <v>127</v>
      </c>
      <c r="D106" s="59"/>
      <c r="E106" s="52" t="s">
        <v>516</v>
      </c>
      <c r="F106" s="52" t="s">
        <v>727</v>
      </c>
      <c r="G106" s="52" t="s">
        <v>516</v>
      </c>
      <c r="H106" s="52" t="s">
        <v>728</v>
      </c>
      <c r="I106" s="52" t="s">
        <v>516</v>
      </c>
      <c r="J106" s="52" t="s">
        <v>729</v>
      </c>
      <c r="K106" s="52" t="s">
        <v>306</v>
      </c>
      <c r="L106" s="52" t="s">
        <v>729</v>
      </c>
      <c r="M106" s="52" t="s">
        <v>730</v>
      </c>
      <c r="N106" s="52" t="s">
        <v>731</v>
      </c>
    </row>
    <row r="107">
      <c r="A107" s="47">
        <v>103.0</v>
      </c>
      <c r="B107" s="164" t="s">
        <v>146</v>
      </c>
      <c r="C107" s="100" t="s">
        <v>127</v>
      </c>
      <c r="D107" s="59"/>
      <c r="E107" s="52" t="s">
        <v>516</v>
      </c>
      <c r="F107" s="52" t="s">
        <v>732</v>
      </c>
      <c r="G107" s="52" t="s">
        <v>516</v>
      </c>
      <c r="H107" s="52" t="s">
        <v>733</v>
      </c>
      <c r="I107" s="52" t="s">
        <v>516</v>
      </c>
      <c r="J107" s="52" t="s">
        <v>729</v>
      </c>
      <c r="K107" s="52" t="s">
        <v>306</v>
      </c>
      <c r="L107" s="52" t="s">
        <v>729</v>
      </c>
      <c r="M107" s="52" t="s">
        <v>650</v>
      </c>
      <c r="N107" s="52" t="s">
        <v>650</v>
      </c>
    </row>
    <row r="108">
      <c r="A108" s="47">
        <v>104.0</v>
      </c>
      <c r="B108" s="93" t="s">
        <v>147</v>
      </c>
      <c r="C108" s="100" t="s">
        <v>127</v>
      </c>
      <c r="D108" s="59"/>
      <c r="E108" s="52" t="s">
        <v>516</v>
      </c>
      <c r="F108" s="52" t="s">
        <v>734</v>
      </c>
      <c r="G108" s="52" t="s">
        <v>516</v>
      </c>
      <c r="H108" s="52" t="s">
        <v>735</v>
      </c>
      <c r="I108" s="52" t="s">
        <v>516</v>
      </c>
      <c r="J108" s="52" t="s">
        <v>677</v>
      </c>
      <c r="K108" s="52" t="s">
        <v>736</v>
      </c>
      <c r="L108" s="52" t="s">
        <v>737</v>
      </c>
      <c r="M108" s="52" t="s">
        <v>738</v>
      </c>
      <c r="N108" s="52" t="s">
        <v>739</v>
      </c>
    </row>
    <row r="109">
      <c r="A109" s="47">
        <v>105.0</v>
      </c>
      <c r="B109" s="93" t="s">
        <v>148</v>
      </c>
      <c r="C109" s="100" t="s">
        <v>127</v>
      </c>
      <c r="D109" s="59"/>
      <c r="E109" s="95" t="s">
        <v>516</v>
      </c>
      <c r="F109" s="163" t="s">
        <v>740</v>
      </c>
      <c r="G109" s="163" t="s">
        <v>516</v>
      </c>
      <c r="H109" s="163" t="s">
        <v>696</v>
      </c>
      <c r="I109" s="163" t="s">
        <v>516</v>
      </c>
      <c r="J109" s="52" t="s">
        <v>741</v>
      </c>
      <c r="K109" s="52" t="s">
        <v>742</v>
      </c>
      <c r="L109" s="52" t="s">
        <v>743</v>
      </c>
      <c r="M109" s="52" t="s">
        <v>516</v>
      </c>
      <c r="N109" s="52" t="s">
        <v>744</v>
      </c>
    </row>
    <row r="110">
      <c r="A110" s="47">
        <v>106.0</v>
      </c>
      <c r="B110" s="101" t="s">
        <v>149</v>
      </c>
      <c r="C110" s="100" t="s">
        <v>127</v>
      </c>
      <c r="D110" s="64"/>
      <c r="E110" s="95" t="s">
        <v>516</v>
      </c>
      <c r="F110" s="163" t="s">
        <v>745</v>
      </c>
      <c r="G110" s="163" t="s">
        <v>516</v>
      </c>
      <c r="H110" s="163" t="s">
        <v>746</v>
      </c>
      <c r="I110" s="163" t="s">
        <v>747</v>
      </c>
      <c r="J110" s="52" t="s">
        <v>748</v>
      </c>
      <c r="K110" s="52" t="s">
        <v>526</v>
      </c>
      <c r="L110" s="52" t="s">
        <v>653</v>
      </c>
      <c r="M110" s="52" t="s">
        <v>749</v>
      </c>
      <c r="N110" s="52" t="s">
        <v>750</v>
      </c>
    </row>
    <row r="111">
      <c r="A111" s="47">
        <v>107.0</v>
      </c>
      <c r="B111" s="101" t="s">
        <v>150</v>
      </c>
      <c r="C111" s="100" t="s">
        <v>127</v>
      </c>
      <c r="D111" s="59"/>
      <c r="E111" s="95" t="s">
        <v>516</v>
      </c>
      <c r="F111" s="163" t="s">
        <v>751</v>
      </c>
      <c r="G111" s="163" t="s">
        <v>516</v>
      </c>
      <c r="H111" s="163" t="s">
        <v>752</v>
      </c>
      <c r="I111" s="163" t="s">
        <v>516</v>
      </c>
      <c r="J111" s="52" t="s">
        <v>752</v>
      </c>
      <c r="K111" s="52" t="s">
        <v>678</v>
      </c>
      <c r="L111" s="52" t="s">
        <v>753</v>
      </c>
      <c r="M111" s="52" t="s">
        <v>749</v>
      </c>
      <c r="N111" s="52" t="s">
        <v>754</v>
      </c>
    </row>
    <row r="112">
      <c r="A112" s="47">
        <v>108.0</v>
      </c>
      <c r="B112" s="101" t="s">
        <v>151</v>
      </c>
      <c r="C112" s="100" t="s">
        <v>127</v>
      </c>
      <c r="D112" s="59"/>
      <c r="E112" s="161" t="s">
        <v>516</v>
      </c>
      <c r="F112" s="162" t="s">
        <v>755</v>
      </c>
      <c r="G112" s="162" t="s">
        <v>516</v>
      </c>
      <c r="H112" s="162" t="s">
        <v>726</v>
      </c>
      <c r="I112" s="162" t="s">
        <v>516</v>
      </c>
      <c r="J112" s="52" t="s">
        <v>756</v>
      </c>
      <c r="K112" s="52" t="s">
        <v>306</v>
      </c>
      <c r="L112" s="52" t="s">
        <v>757</v>
      </c>
      <c r="M112" s="52" t="s">
        <v>650</v>
      </c>
      <c r="N112" s="52" t="s">
        <v>650</v>
      </c>
    </row>
    <row r="113">
      <c r="A113" s="47">
        <v>109.0</v>
      </c>
      <c r="B113" s="93" t="s">
        <v>152</v>
      </c>
      <c r="C113" s="100" t="s">
        <v>127</v>
      </c>
      <c r="D113" s="59"/>
      <c r="E113" s="52" t="s">
        <v>516</v>
      </c>
      <c r="F113" s="52" t="s">
        <v>758</v>
      </c>
      <c r="G113" s="52" t="s">
        <v>516</v>
      </c>
      <c r="H113" s="52" t="s">
        <v>759</v>
      </c>
      <c r="I113" s="52" t="s">
        <v>516</v>
      </c>
      <c r="J113" s="52" t="s">
        <v>657</v>
      </c>
      <c r="K113" s="52" t="s">
        <v>306</v>
      </c>
      <c r="L113" s="52" t="s">
        <v>657</v>
      </c>
      <c r="M113" s="52" t="s">
        <v>650</v>
      </c>
      <c r="N113" s="52" t="s">
        <v>650</v>
      </c>
    </row>
    <row r="114">
      <c r="A114" s="47">
        <v>110.0</v>
      </c>
      <c r="B114" s="93" t="s">
        <v>153</v>
      </c>
      <c r="C114" s="100" t="s">
        <v>127</v>
      </c>
      <c r="D114" s="59"/>
      <c r="E114" s="95" t="s">
        <v>516</v>
      </c>
      <c r="F114" s="163" t="s">
        <v>760</v>
      </c>
      <c r="G114" s="163" t="s">
        <v>761</v>
      </c>
      <c r="H114" s="163" t="s">
        <v>762</v>
      </c>
      <c r="I114" s="163" t="s">
        <v>516</v>
      </c>
      <c r="J114" s="52" t="s">
        <v>763</v>
      </c>
      <c r="K114" s="52" t="s">
        <v>764</v>
      </c>
      <c r="L114" s="52" t="s">
        <v>765</v>
      </c>
      <c r="M114" s="52" t="s">
        <v>749</v>
      </c>
      <c r="N114" s="52" t="s">
        <v>766</v>
      </c>
    </row>
    <row r="115">
      <c r="A115" s="47">
        <v>111.0</v>
      </c>
      <c r="B115" s="93" t="s">
        <v>154</v>
      </c>
      <c r="C115" s="100" t="s">
        <v>127</v>
      </c>
      <c r="D115" s="64"/>
      <c r="E115" s="95" t="s">
        <v>516</v>
      </c>
      <c r="F115" s="95" t="s">
        <v>767</v>
      </c>
      <c r="G115" s="95" t="s">
        <v>516</v>
      </c>
      <c r="H115" s="95" t="s">
        <v>724</v>
      </c>
      <c r="I115" s="95" t="s">
        <v>516</v>
      </c>
      <c r="J115" s="52" t="s">
        <v>696</v>
      </c>
      <c r="K115" s="52" t="s">
        <v>768</v>
      </c>
      <c r="L115" s="52" t="s">
        <v>769</v>
      </c>
      <c r="M115" s="52" t="s">
        <v>749</v>
      </c>
      <c r="N115" s="52" t="s">
        <v>770</v>
      </c>
    </row>
    <row r="116">
      <c r="A116" s="47">
        <v>112.0</v>
      </c>
      <c r="B116" s="101" t="s">
        <v>155</v>
      </c>
      <c r="C116" s="100" t="s">
        <v>127</v>
      </c>
      <c r="D116" s="114"/>
      <c r="E116" s="89" t="s">
        <v>516</v>
      </c>
      <c r="F116" s="156" t="s">
        <v>771</v>
      </c>
      <c r="G116" s="156" t="s">
        <v>516</v>
      </c>
      <c r="H116" s="156" t="s">
        <v>741</v>
      </c>
      <c r="I116" s="156" t="s">
        <v>516</v>
      </c>
      <c r="J116" s="52" t="s">
        <v>744</v>
      </c>
      <c r="K116" s="52" t="s">
        <v>678</v>
      </c>
      <c r="L116" s="52" t="s">
        <v>772</v>
      </c>
      <c r="M116" s="52" t="s">
        <v>650</v>
      </c>
      <c r="N116" s="52" t="s">
        <v>650</v>
      </c>
    </row>
    <row r="117">
      <c r="A117" s="47">
        <v>113.0</v>
      </c>
      <c r="B117" s="117" t="s">
        <v>156</v>
      </c>
      <c r="C117" s="100" t="s">
        <v>127</v>
      </c>
      <c r="D117" s="59"/>
      <c r="E117" s="95" t="s">
        <v>516</v>
      </c>
      <c r="F117" s="163" t="s">
        <v>773</v>
      </c>
      <c r="G117" s="163" t="s">
        <v>516</v>
      </c>
      <c r="H117" s="163" t="s">
        <v>774</v>
      </c>
      <c r="I117" s="163" t="s">
        <v>516</v>
      </c>
      <c r="J117" s="52" t="s">
        <v>775</v>
      </c>
      <c r="K117" s="52" t="s">
        <v>306</v>
      </c>
      <c r="L117" s="52" t="s">
        <v>726</v>
      </c>
      <c r="M117" s="52" t="s">
        <v>650</v>
      </c>
      <c r="N117" s="52" t="s">
        <v>650</v>
      </c>
    </row>
    <row r="118">
      <c r="A118" s="47">
        <v>114.0</v>
      </c>
      <c r="B118" s="118" t="s">
        <v>157</v>
      </c>
      <c r="C118" s="100" t="s">
        <v>127</v>
      </c>
      <c r="D118" s="64"/>
      <c r="E118" s="95" t="s">
        <v>516</v>
      </c>
      <c r="F118" s="163" t="s">
        <v>776</v>
      </c>
      <c r="G118" s="163" t="s">
        <v>516</v>
      </c>
      <c r="H118" s="163" t="s">
        <v>777</v>
      </c>
      <c r="I118" s="163" t="s">
        <v>516</v>
      </c>
      <c r="J118" s="52" t="s">
        <v>774</v>
      </c>
      <c r="K118" s="52" t="s">
        <v>516</v>
      </c>
      <c r="L118" s="52" t="s">
        <v>778</v>
      </c>
      <c r="M118" s="52" t="s">
        <v>650</v>
      </c>
      <c r="N118" s="52" t="s">
        <v>650</v>
      </c>
    </row>
    <row r="119">
      <c r="A119" s="47">
        <v>115.0</v>
      </c>
      <c r="B119" s="101" t="s">
        <v>158</v>
      </c>
      <c r="C119" s="100" t="s">
        <v>127</v>
      </c>
      <c r="D119" s="59"/>
      <c r="E119" s="95" t="s">
        <v>516</v>
      </c>
      <c r="F119" s="163" t="s">
        <v>779</v>
      </c>
      <c r="G119" s="163" t="s">
        <v>516</v>
      </c>
      <c r="H119" s="163" t="s">
        <v>780</v>
      </c>
      <c r="I119" s="163" t="s">
        <v>516</v>
      </c>
      <c r="J119" s="52" t="s">
        <v>781</v>
      </c>
      <c r="K119" s="52" t="s">
        <v>516</v>
      </c>
      <c r="L119" s="52" t="s">
        <v>781</v>
      </c>
      <c r="M119" s="52" t="s">
        <v>650</v>
      </c>
      <c r="N119" s="52" t="s">
        <v>650</v>
      </c>
    </row>
    <row r="120">
      <c r="A120" s="47">
        <v>116.0</v>
      </c>
      <c r="B120" s="101" t="s">
        <v>159</v>
      </c>
      <c r="C120" s="100" t="s">
        <v>127</v>
      </c>
      <c r="D120" s="59"/>
      <c r="E120" s="95" t="s">
        <v>516</v>
      </c>
      <c r="F120" s="163" t="s">
        <v>781</v>
      </c>
      <c r="G120" s="163" t="s">
        <v>516</v>
      </c>
      <c r="H120" s="163" t="s">
        <v>781</v>
      </c>
      <c r="I120" s="163" t="s">
        <v>516</v>
      </c>
      <c r="J120" s="52" t="s">
        <v>726</v>
      </c>
      <c r="K120" s="52" t="s">
        <v>516</v>
      </c>
      <c r="L120" s="52" t="s">
        <v>782</v>
      </c>
      <c r="M120" s="52" t="s">
        <v>650</v>
      </c>
      <c r="N120" s="52" t="s">
        <v>650</v>
      </c>
    </row>
    <row r="121">
      <c r="A121" s="47">
        <v>117.0</v>
      </c>
      <c r="B121" s="117" t="s">
        <v>160</v>
      </c>
      <c r="C121" s="49" t="s">
        <v>161</v>
      </c>
      <c r="D121" s="59"/>
      <c r="E121" s="89">
        <v>0.0</v>
      </c>
      <c r="F121" s="156" t="s">
        <v>783</v>
      </c>
      <c r="G121" s="156">
        <v>0.0</v>
      </c>
      <c r="H121" s="156" t="s">
        <v>783</v>
      </c>
      <c r="I121" s="156">
        <v>0.0</v>
      </c>
      <c r="J121" s="52" t="s">
        <v>783</v>
      </c>
      <c r="K121" s="52">
        <v>0.0</v>
      </c>
      <c r="L121" s="52" t="s">
        <v>783</v>
      </c>
      <c r="M121" s="52">
        <v>4.0</v>
      </c>
      <c r="N121" s="52" t="s">
        <v>784</v>
      </c>
    </row>
    <row r="122">
      <c r="A122" s="47">
        <v>118.0</v>
      </c>
      <c r="B122" s="117" t="s">
        <v>162</v>
      </c>
      <c r="C122" s="49" t="s">
        <v>161</v>
      </c>
      <c r="D122" s="64"/>
      <c r="E122" s="89" t="s">
        <v>516</v>
      </c>
      <c r="F122" s="156" t="s">
        <v>785</v>
      </c>
      <c r="G122" s="156" t="s">
        <v>516</v>
      </c>
      <c r="H122" s="156" t="s">
        <v>786</v>
      </c>
      <c r="I122" s="156" t="s">
        <v>787</v>
      </c>
      <c r="J122" s="52" t="s">
        <v>787</v>
      </c>
      <c r="K122" s="52" t="s">
        <v>788</v>
      </c>
      <c r="L122" s="52" t="s">
        <v>788</v>
      </c>
      <c r="M122" s="52">
        <v>0.0</v>
      </c>
      <c r="N122" s="144"/>
    </row>
    <row r="123">
      <c r="A123" s="47">
        <v>119.0</v>
      </c>
      <c r="B123" s="101" t="s">
        <v>163</v>
      </c>
      <c r="C123" s="49" t="s">
        <v>161</v>
      </c>
      <c r="D123" s="59"/>
      <c r="E123" s="89" t="s">
        <v>516</v>
      </c>
      <c r="F123" s="156" t="s">
        <v>789</v>
      </c>
      <c r="G123" s="156" t="s">
        <v>516</v>
      </c>
      <c r="H123" s="156" t="s">
        <v>786</v>
      </c>
      <c r="I123" s="156" t="s">
        <v>516</v>
      </c>
      <c r="J123" s="52" t="s">
        <v>790</v>
      </c>
      <c r="K123" s="52" t="s">
        <v>526</v>
      </c>
      <c r="L123" s="52" t="s">
        <v>526</v>
      </c>
      <c r="M123" s="52">
        <v>0.0</v>
      </c>
      <c r="N123" s="144"/>
    </row>
    <row r="124">
      <c r="A124" s="47">
        <v>120.0</v>
      </c>
      <c r="B124" s="117" t="s">
        <v>164</v>
      </c>
      <c r="C124" s="49" t="s">
        <v>161</v>
      </c>
      <c r="D124" s="64"/>
      <c r="E124" s="89" t="s">
        <v>516</v>
      </c>
      <c r="F124" s="156" t="s">
        <v>791</v>
      </c>
      <c r="G124" s="156" t="s">
        <v>516</v>
      </c>
      <c r="H124" s="156" t="s">
        <v>791</v>
      </c>
      <c r="I124" s="156" t="s">
        <v>516</v>
      </c>
      <c r="J124" s="52" t="s">
        <v>791</v>
      </c>
      <c r="K124" s="52" t="s">
        <v>792</v>
      </c>
      <c r="L124" s="52" t="s">
        <v>792</v>
      </c>
      <c r="M124" s="52" t="s">
        <v>793</v>
      </c>
      <c r="N124" s="52" t="s">
        <v>794</v>
      </c>
    </row>
    <row r="125">
      <c r="A125" s="47">
        <v>121.0</v>
      </c>
      <c r="B125" s="117" t="s">
        <v>165</v>
      </c>
      <c r="C125" s="49" t="s">
        <v>161</v>
      </c>
      <c r="D125" s="59"/>
      <c r="E125" s="89" t="s">
        <v>516</v>
      </c>
      <c r="F125" s="156" t="s">
        <v>795</v>
      </c>
      <c r="G125" s="156" t="s">
        <v>516</v>
      </c>
      <c r="H125" s="156" t="s">
        <v>796</v>
      </c>
      <c r="I125" s="156" t="s">
        <v>516</v>
      </c>
      <c r="J125" s="52" t="s">
        <v>790</v>
      </c>
      <c r="K125" s="52" t="s">
        <v>797</v>
      </c>
      <c r="L125" s="52" t="s">
        <v>797</v>
      </c>
      <c r="M125" s="52" t="s">
        <v>516</v>
      </c>
      <c r="N125" s="52" t="s">
        <v>798</v>
      </c>
    </row>
    <row r="126">
      <c r="A126" s="47">
        <v>122.0</v>
      </c>
      <c r="B126" s="118" t="s">
        <v>166</v>
      </c>
      <c r="C126" s="49" t="s">
        <v>161</v>
      </c>
      <c r="D126" s="64"/>
      <c r="E126" s="89" t="s">
        <v>516</v>
      </c>
      <c r="F126" s="156" t="s">
        <v>799</v>
      </c>
      <c r="G126" s="156" t="s">
        <v>516</v>
      </c>
      <c r="H126" s="156" t="s">
        <v>800</v>
      </c>
      <c r="I126" s="156" t="s">
        <v>516</v>
      </c>
      <c r="J126" s="52" t="s">
        <v>801</v>
      </c>
      <c r="K126" s="52" t="s">
        <v>797</v>
      </c>
      <c r="L126" s="52" t="s">
        <v>797</v>
      </c>
      <c r="M126" s="52" t="s">
        <v>516</v>
      </c>
      <c r="N126" s="52" t="s">
        <v>802</v>
      </c>
    </row>
    <row r="127">
      <c r="A127" s="47">
        <v>123.0</v>
      </c>
      <c r="B127" s="117" t="s">
        <v>167</v>
      </c>
      <c r="C127" s="49" t="s">
        <v>161</v>
      </c>
      <c r="D127" s="64"/>
      <c r="E127" s="89" t="s">
        <v>803</v>
      </c>
      <c r="F127" s="156" t="s">
        <v>804</v>
      </c>
      <c r="G127" s="156" t="s">
        <v>516</v>
      </c>
      <c r="H127" s="156" t="s">
        <v>805</v>
      </c>
      <c r="I127" s="156" t="s">
        <v>526</v>
      </c>
      <c r="J127" s="52" t="s">
        <v>526</v>
      </c>
      <c r="K127" s="52" t="s">
        <v>797</v>
      </c>
      <c r="L127" s="52" t="s">
        <v>797</v>
      </c>
      <c r="M127" s="52" t="s">
        <v>516</v>
      </c>
      <c r="N127" s="52" t="s">
        <v>806</v>
      </c>
    </row>
    <row r="128">
      <c r="A128" s="47">
        <v>124.0</v>
      </c>
      <c r="B128" s="117" t="s">
        <v>168</v>
      </c>
      <c r="C128" s="49" t="s">
        <v>161</v>
      </c>
      <c r="D128" s="59"/>
      <c r="E128" s="89" t="s">
        <v>516</v>
      </c>
      <c r="F128" s="156" t="s">
        <v>807</v>
      </c>
      <c r="G128" s="156" t="s">
        <v>516</v>
      </c>
      <c r="H128" s="156" t="s">
        <v>808</v>
      </c>
      <c r="I128" s="156" t="s">
        <v>516</v>
      </c>
      <c r="J128" s="52" t="s">
        <v>809</v>
      </c>
      <c r="K128" s="52" t="s">
        <v>797</v>
      </c>
      <c r="L128" s="52" t="s">
        <v>797</v>
      </c>
      <c r="M128" s="52" t="s">
        <v>516</v>
      </c>
      <c r="N128" s="52" t="s">
        <v>810</v>
      </c>
    </row>
    <row r="129">
      <c r="A129" s="47">
        <v>125.0</v>
      </c>
      <c r="B129" s="117" t="s">
        <v>169</v>
      </c>
      <c r="C129" s="49" t="s">
        <v>161</v>
      </c>
      <c r="D129" s="59"/>
      <c r="E129" s="158" t="s">
        <v>516</v>
      </c>
      <c r="F129" s="159" t="s">
        <v>811</v>
      </c>
      <c r="G129" s="159" t="s">
        <v>516</v>
      </c>
      <c r="H129" s="159" t="s">
        <v>812</v>
      </c>
      <c r="I129" s="159" t="s">
        <v>516</v>
      </c>
      <c r="J129" s="52" t="s">
        <v>813</v>
      </c>
      <c r="K129" s="52" t="s">
        <v>797</v>
      </c>
      <c r="L129" s="52" t="s">
        <v>797</v>
      </c>
      <c r="M129" s="52" t="s">
        <v>516</v>
      </c>
      <c r="N129" s="52" t="s">
        <v>814</v>
      </c>
    </row>
    <row r="130">
      <c r="A130" s="47">
        <v>126.0</v>
      </c>
      <c r="B130" s="118" t="s">
        <v>170</v>
      </c>
      <c r="C130" s="49" t="s">
        <v>161</v>
      </c>
      <c r="D130" s="59"/>
      <c r="E130" s="89" t="s">
        <v>516</v>
      </c>
      <c r="F130" s="156" t="s">
        <v>815</v>
      </c>
      <c r="G130" s="156" t="s">
        <v>516</v>
      </c>
      <c r="H130" s="156" t="s">
        <v>816</v>
      </c>
      <c r="I130" s="156" t="s">
        <v>817</v>
      </c>
      <c r="J130" s="52" t="s">
        <v>818</v>
      </c>
      <c r="K130" s="52" t="s">
        <v>516</v>
      </c>
      <c r="L130" s="52" t="s">
        <v>819</v>
      </c>
      <c r="M130" s="52" t="s">
        <v>516</v>
      </c>
      <c r="N130" s="52" t="s">
        <v>820</v>
      </c>
    </row>
    <row r="131">
      <c r="A131" s="47">
        <v>127.0</v>
      </c>
      <c r="B131" s="118" t="s">
        <v>171</v>
      </c>
      <c r="C131" s="49" t="s">
        <v>161</v>
      </c>
      <c r="D131" s="59"/>
      <c r="E131" s="89" t="s">
        <v>516</v>
      </c>
      <c r="F131" s="156" t="s">
        <v>821</v>
      </c>
      <c r="G131" s="156" t="s">
        <v>516</v>
      </c>
      <c r="H131" s="156" t="s">
        <v>822</v>
      </c>
      <c r="I131" s="156" t="s">
        <v>516</v>
      </c>
      <c r="J131" s="52" t="s">
        <v>823</v>
      </c>
      <c r="K131" s="52" t="s">
        <v>526</v>
      </c>
      <c r="L131" s="52" t="s">
        <v>526</v>
      </c>
      <c r="M131" s="52" t="s">
        <v>516</v>
      </c>
      <c r="N131" s="52" t="s">
        <v>824</v>
      </c>
    </row>
    <row r="132">
      <c r="A132" s="47">
        <v>128.0</v>
      </c>
      <c r="B132" s="118" t="s">
        <v>172</v>
      </c>
      <c r="C132" s="49" t="s">
        <v>161</v>
      </c>
      <c r="D132" s="59"/>
      <c r="E132" s="89" t="s">
        <v>516</v>
      </c>
      <c r="F132" s="165"/>
      <c r="G132" s="156" t="s">
        <v>516</v>
      </c>
      <c r="H132" s="165"/>
      <c r="I132" s="165"/>
      <c r="J132" s="144"/>
      <c r="K132" s="144"/>
      <c r="L132" s="144"/>
      <c r="M132" s="144"/>
      <c r="N132" s="144"/>
    </row>
    <row r="133">
      <c r="A133" s="47">
        <v>129.0</v>
      </c>
      <c r="B133" s="118" t="s">
        <v>173</v>
      </c>
      <c r="C133" s="49" t="s">
        <v>161</v>
      </c>
      <c r="D133" s="59"/>
      <c r="E133" s="89" t="s">
        <v>516</v>
      </c>
      <c r="F133" s="156" t="s">
        <v>825</v>
      </c>
      <c r="G133" s="156" t="s">
        <v>516</v>
      </c>
      <c r="H133" s="156" t="s">
        <v>826</v>
      </c>
      <c r="I133" s="156" t="s">
        <v>516</v>
      </c>
      <c r="J133" s="52" t="s">
        <v>827</v>
      </c>
      <c r="K133" s="52" t="s">
        <v>526</v>
      </c>
      <c r="L133" s="52" t="s">
        <v>526</v>
      </c>
      <c r="M133" s="52" t="s">
        <v>516</v>
      </c>
      <c r="N133" s="52" t="s">
        <v>828</v>
      </c>
    </row>
    <row r="134">
      <c r="A134" s="47">
        <v>130.0</v>
      </c>
      <c r="B134" s="118" t="s">
        <v>174</v>
      </c>
      <c r="C134" s="49" t="s">
        <v>161</v>
      </c>
      <c r="D134" s="64"/>
      <c r="E134" s="89" t="s">
        <v>516</v>
      </c>
      <c r="F134" s="156" t="s">
        <v>829</v>
      </c>
      <c r="G134" s="156" t="s">
        <v>516</v>
      </c>
      <c r="H134" s="156" t="s">
        <v>830</v>
      </c>
      <c r="I134" s="156" t="s">
        <v>516</v>
      </c>
      <c r="J134" s="52" t="s">
        <v>806</v>
      </c>
      <c r="K134" s="52" t="s">
        <v>831</v>
      </c>
      <c r="L134" s="52" t="s">
        <v>832</v>
      </c>
      <c r="M134" s="52" t="s">
        <v>833</v>
      </c>
      <c r="N134" s="52" t="s">
        <v>834</v>
      </c>
    </row>
    <row r="135">
      <c r="A135" s="47">
        <v>131.0</v>
      </c>
      <c r="B135" s="118" t="s">
        <v>175</v>
      </c>
      <c r="C135" s="49" t="s">
        <v>161</v>
      </c>
      <c r="D135" s="59"/>
      <c r="E135" s="89" t="s">
        <v>516</v>
      </c>
      <c r="F135" s="156" t="s">
        <v>816</v>
      </c>
      <c r="G135" s="156" t="s">
        <v>516</v>
      </c>
      <c r="H135" s="156" t="s">
        <v>819</v>
      </c>
      <c r="I135" s="156" t="s">
        <v>526</v>
      </c>
      <c r="J135" s="52" t="s">
        <v>526</v>
      </c>
      <c r="K135" s="52" t="s">
        <v>835</v>
      </c>
      <c r="L135" s="52" t="s">
        <v>836</v>
      </c>
      <c r="M135" s="52" t="s">
        <v>837</v>
      </c>
      <c r="N135" s="52" t="s">
        <v>838</v>
      </c>
    </row>
    <row r="136">
      <c r="A136" s="47">
        <v>132.0</v>
      </c>
      <c r="B136" s="118" t="s">
        <v>176</v>
      </c>
      <c r="C136" s="49" t="s">
        <v>161</v>
      </c>
      <c r="D136" s="59"/>
      <c r="E136" s="158" t="s">
        <v>516</v>
      </c>
      <c r="F136" s="159" t="s">
        <v>839</v>
      </c>
      <c r="G136" s="159" t="s">
        <v>516</v>
      </c>
      <c r="H136" s="159" t="s">
        <v>840</v>
      </c>
      <c r="I136" s="159" t="s">
        <v>516</v>
      </c>
      <c r="J136" s="52" t="s">
        <v>807</v>
      </c>
      <c r="K136" s="52" t="s">
        <v>526</v>
      </c>
      <c r="L136" s="52" t="s">
        <v>526</v>
      </c>
      <c r="M136" s="52" t="s">
        <v>516</v>
      </c>
      <c r="N136" s="52" t="s">
        <v>841</v>
      </c>
    </row>
    <row r="137">
      <c r="A137" s="47">
        <v>133.0</v>
      </c>
      <c r="B137" s="117" t="s">
        <v>177</v>
      </c>
      <c r="C137" s="49" t="s">
        <v>161</v>
      </c>
      <c r="D137" s="59"/>
      <c r="E137" s="52" t="s">
        <v>516</v>
      </c>
      <c r="F137" s="52" t="s">
        <v>842</v>
      </c>
      <c r="G137" s="52" t="s">
        <v>516</v>
      </c>
      <c r="H137" s="52" t="s">
        <v>843</v>
      </c>
      <c r="I137" s="52" t="s">
        <v>516</v>
      </c>
      <c r="J137" s="52" t="s">
        <v>844</v>
      </c>
      <c r="K137" s="52" t="s">
        <v>526</v>
      </c>
      <c r="L137" s="52" t="s">
        <v>526</v>
      </c>
      <c r="M137" s="52" t="s">
        <v>516</v>
      </c>
      <c r="N137" s="52" t="s">
        <v>845</v>
      </c>
    </row>
    <row r="138">
      <c r="A138" s="47">
        <v>134.0</v>
      </c>
      <c r="B138" s="118" t="s">
        <v>178</v>
      </c>
      <c r="C138" s="49" t="s">
        <v>161</v>
      </c>
      <c r="D138" s="59"/>
      <c r="E138" s="52" t="s">
        <v>516</v>
      </c>
      <c r="F138" s="52" t="s">
        <v>846</v>
      </c>
      <c r="G138" s="52" t="s">
        <v>516</v>
      </c>
      <c r="H138" s="52" t="s">
        <v>847</v>
      </c>
      <c r="I138" s="52" t="s">
        <v>516</v>
      </c>
      <c r="J138" s="52" t="s">
        <v>805</v>
      </c>
      <c r="K138" s="52" t="s">
        <v>526</v>
      </c>
      <c r="L138" s="52" t="s">
        <v>526</v>
      </c>
      <c r="M138" s="52" t="s">
        <v>516</v>
      </c>
      <c r="N138" s="52" t="s">
        <v>834</v>
      </c>
    </row>
    <row r="139">
      <c r="A139" s="47">
        <v>135.0</v>
      </c>
      <c r="B139" s="118" t="s">
        <v>179</v>
      </c>
      <c r="C139" s="49" t="s">
        <v>161</v>
      </c>
      <c r="D139" s="59"/>
      <c r="E139" s="89" t="s">
        <v>516</v>
      </c>
      <c r="F139" s="156" t="s">
        <v>848</v>
      </c>
      <c r="G139" s="156" t="s">
        <v>516</v>
      </c>
      <c r="H139" s="156" t="s">
        <v>849</v>
      </c>
      <c r="I139" s="156" t="s">
        <v>516</v>
      </c>
      <c r="J139" s="52" t="s">
        <v>850</v>
      </c>
      <c r="K139" s="52" t="s">
        <v>526</v>
      </c>
      <c r="L139" s="52" t="s">
        <v>526</v>
      </c>
      <c r="M139" s="52" t="s">
        <v>516</v>
      </c>
      <c r="N139" s="52" t="s">
        <v>830</v>
      </c>
    </row>
    <row r="140">
      <c r="A140" s="47">
        <v>136.0</v>
      </c>
      <c r="B140" s="118" t="s">
        <v>180</v>
      </c>
      <c r="C140" s="49" t="s">
        <v>161</v>
      </c>
      <c r="D140" s="59"/>
      <c r="E140" s="89" t="s">
        <v>516</v>
      </c>
      <c r="F140" s="156" t="s">
        <v>851</v>
      </c>
      <c r="G140" s="156" t="s">
        <v>516</v>
      </c>
      <c r="H140" s="156" t="s">
        <v>852</v>
      </c>
      <c r="I140" s="156" t="s">
        <v>516</v>
      </c>
      <c r="J140" s="52" t="s">
        <v>853</v>
      </c>
      <c r="K140" s="52" t="s">
        <v>526</v>
      </c>
      <c r="L140" s="52" t="s">
        <v>526</v>
      </c>
      <c r="M140" s="52" t="s">
        <v>516</v>
      </c>
      <c r="N140" s="52" t="s">
        <v>854</v>
      </c>
    </row>
    <row r="141">
      <c r="A141" s="47">
        <v>137.0</v>
      </c>
      <c r="B141" s="118" t="s">
        <v>181</v>
      </c>
      <c r="C141" s="49" t="s">
        <v>161</v>
      </c>
      <c r="D141" s="59"/>
      <c r="E141" s="89" t="s">
        <v>516</v>
      </c>
      <c r="F141" s="156" t="s">
        <v>855</v>
      </c>
      <c r="G141" s="156" t="s">
        <v>516</v>
      </c>
      <c r="H141" s="156" t="s">
        <v>856</v>
      </c>
      <c r="I141" s="165"/>
      <c r="J141" s="52" t="s">
        <v>857</v>
      </c>
      <c r="K141" s="52" t="s">
        <v>858</v>
      </c>
      <c r="L141" s="52" t="s">
        <v>858</v>
      </c>
      <c r="M141" s="52">
        <v>0.0</v>
      </c>
      <c r="N141" s="52" t="s">
        <v>783</v>
      </c>
    </row>
    <row r="142">
      <c r="A142" s="47">
        <v>138.0</v>
      </c>
      <c r="B142" s="122" t="s">
        <v>182</v>
      </c>
      <c r="C142" s="49" t="s">
        <v>161</v>
      </c>
      <c r="D142" s="59"/>
      <c r="E142" s="89" t="s">
        <v>516</v>
      </c>
      <c r="F142" s="156" t="s">
        <v>859</v>
      </c>
      <c r="G142" s="156" t="s">
        <v>516</v>
      </c>
      <c r="H142" s="156" t="s">
        <v>860</v>
      </c>
      <c r="I142" s="156" t="s">
        <v>516</v>
      </c>
      <c r="J142" s="52" t="s">
        <v>861</v>
      </c>
      <c r="K142" s="52" t="s">
        <v>526</v>
      </c>
      <c r="L142" s="52" t="s">
        <v>526</v>
      </c>
      <c r="M142" s="52" t="s">
        <v>516</v>
      </c>
      <c r="N142" s="52" t="s">
        <v>802</v>
      </c>
    </row>
    <row r="143">
      <c r="A143" s="47">
        <v>139.0</v>
      </c>
      <c r="B143" s="101" t="s">
        <v>183</v>
      </c>
      <c r="C143" s="49" t="s">
        <v>161</v>
      </c>
      <c r="D143" s="59"/>
      <c r="E143" s="89" t="s">
        <v>516</v>
      </c>
      <c r="F143" s="156" t="s">
        <v>862</v>
      </c>
      <c r="G143" s="156" t="s">
        <v>516</v>
      </c>
      <c r="H143" s="156" t="s">
        <v>863</v>
      </c>
      <c r="I143" s="156" t="s">
        <v>516</v>
      </c>
      <c r="J143" s="52" t="s">
        <v>864</v>
      </c>
      <c r="K143" s="52" t="s">
        <v>516</v>
      </c>
      <c r="L143" s="52" t="s">
        <v>865</v>
      </c>
      <c r="M143" s="52">
        <v>0.0</v>
      </c>
      <c r="N143" s="52" t="s">
        <v>783</v>
      </c>
    </row>
    <row r="144">
      <c r="A144" s="47">
        <v>140.0</v>
      </c>
      <c r="B144" s="123" t="s">
        <v>184</v>
      </c>
      <c r="C144" s="49" t="s">
        <v>161</v>
      </c>
      <c r="D144" s="59"/>
      <c r="E144" s="89" t="s">
        <v>516</v>
      </c>
      <c r="F144" s="156" t="s">
        <v>866</v>
      </c>
      <c r="G144" s="156" t="s">
        <v>516</v>
      </c>
      <c r="H144" s="156" t="s">
        <v>867</v>
      </c>
      <c r="I144" s="156" t="s">
        <v>516</v>
      </c>
      <c r="J144" s="52" t="s">
        <v>868</v>
      </c>
      <c r="K144" s="52" t="s">
        <v>516</v>
      </c>
      <c r="L144" s="52" t="s">
        <v>869</v>
      </c>
      <c r="M144" s="52">
        <v>0.0</v>
      </c>
      <c r="N144" s="52" t="s">
        <v>783</v>
      </c>
    </row>
    <row r="145">
      <c r="A145" s="47">
        <v>141.0</v>
      </c>
      <c r="B145" s="117" t="s">
        <v>185</v>
      </c>
      <c r="C145" s="49" t="s">
        <v>161</v>
      </c>
      <c r="D145" s="59"/>
      <c r="E145" s="158" t="s">
        <v>516</v>
      </c>
      <c r="F145" s="159" t="s">
        <v>870</v>
      </c>
      <c r="G145" s="159" t="s">
        <v>516</v>
      </c>
      <c r="H145" s="159" t="s">
        <v>871</v>
      </c>
      <c r="I145" s="159" t="s">
        <v>516</v>
      </c>
      <c r="J145" s="52" t="s">
        <v>872</v>
      </c>
      <c r="K145" s="52" t="s">
        <v>516</v>
      </c>
      <c r="L145" s="52" t="s">
        <v>864</v>
      </c>
      <c r="M145" s="52">
        <v>0.0</v>
      </c>
      <c r="N145" s="52" t="s">
        <v>783</v>
      </c>
    </row>
    <row r="146">
      <c r="A146" s="47">
        <v>142.0</v>
      </c>
      <c r="B146" s="117" t="s">
        <v>186</v>
      </c>
      <c r="C146" s="49" t="s">
        <v>161</v>
      </c>
      <c r="D146" s="59"/>
      <c r="E146" s="89" t="s">
        <v>516</v>
      </c>
      <c r="F146" s="156" t="s">
        <v>873</v>
      </c>
      <c r="G146" s="156" t="s">
        <v>516</v>
      </c>
      <c r="H146" s="156" t="s">
        <v>874</v>
      </c>
      <c r="I146" s="156" t="s">
        <v>516</v>
      </c>
      <c r="J146" s="52" t="s">
        <v>868</v>
      </c>
      <c r="K146" s="52" t="s">
        <v>516</v>
      </c>
      <c r="L146" s="52" t="s">
        <v>869</v>
      </c>
      <c r="M146" s="52">
        <v>0.0</v>
      </c>
      <c r="N146" s="52" t="s">
        <v>783</v>
      </c>
    </row>
    <row r="147">
      <c r="A147" s="47">
        <v>143.0</v>
      </c>
      <c r="B147" s="117" t="s">
        <v>187</v>
      </c>
      <c r="C147" s="49" t="s">
        <v>161</v>
      </c>
      <c r="D147" s="59"/>
      <c r="E147" s="158" t="s">
        <v>516</v>
      </c>
      <c r="F147" s="159" t="s">
        <v>875</v>
      </c>
      <c r="G147" s="159" t="s">
        <v>516</v>
      </c>
      <c r="H147" s="159" t="s">
        <v>876</v>
      </c>
      <c r="I147" s="159" t="s">
        <v>516</v>
      </c>
      <c r="J147" s="52" t="s">
        <v>860</v>
      </c>
      <c r="K147" s="52" t="s">
        <v>516</v>
      </c>
      <c r="L147" s="52" t="s">
        <v>865</v>
      </c>
      <c r="M147" s="52">
        <v>0.0</v>
      </c>
      <c r="N147" s="52" t="s">
        <v>783</v>
      </c>
    </row>
    <row r="148">
      <c r="A148" s="47">
        <v>144.0</v>
      </c>
      <c r="B148" s="117" t="s">
        <v>188</v>
      </c>
      <c r="C148" s="49" t="s">
        <v>161</v>
      </c>
      <c r="D148" s="59"/>
      <c r="E148" s="158" t="s">
        <v>516</v>
      </c>
      <c r="F148" s="158" t="s">
        <v>877</v>
      </c>
      <c r="G148" s="158" t="s">
        <v>516</v>
      </c>
      <c r="H148" s="158" t="s">
        <v>814</v>
      </c>
      <c r="I148" s="158" t="s">
        <v>516</v>
      </c>
      <c r="J148" s="52" t="s">
        <v>878</v>
      </c>
      <c r="K148" s="52" t="s">
        <v>516</v>
      </c>
      <c r="L148" s="52" t="s">
        <v>879</v>
      </c>
      <c r="M148" s="52">
        <v>0.0</v>
      </c>
      <c r="N148" s="52" t="s">
        <v>783</v>
      </c>
    </row>
    <row r="149">
      <c r="A149" s="47">
        <v>145.0</v>
      </c>
      <c r="B149" s="117" t="s">
        <v>189</v>
      </c>
      <c r="C149" s="125" t="s">
        <v>190</v>
      </c>
      <c r="D149" s="59"/>
      <c r="E149" s="60"/>
      <c r="F149" s="61"/>
      <c r="G149" s="61"/>
      <c r="H149" s="61"/>
      <c r="I149" s="61"/>
      <c r="J149" s="54"/>
      <c r="K149" s="54"/>
      <c r="L149" s="54"/>
      <c r="M149" s="54"/>
      <c r="N149" s="54"/>
    </row>
    <row r="150">
      <c r="A150" s="47">
        <v>146.0</v>
      </c>
      <c r="B150" s="117" t="s">
        <v>191</v>
      </c>
      <c r="C150" s="125" t="s">
        <v>190</v>
      </c>
      <c r="D150" s="59"/>
      <c r="E150" s="60"/>
      <c r="F150" s="61"/>
      <c r="G150" s="61"/>
      <c r="H150" s="61"/>
      <c r="I150" s="61"/>
      <c r="J150" s="54"/>
      <c r="K150" s="54"/>
      <c r="L150" s="54"/>
      <c r="M150" s="54"/>
      <c r="N150" s="54"/>
    </row>
    <row r="151">
      <c r="A151" s="47">
        <v>147.0</v>
      </c>
      <c r="B151" s="123" t="s">
        <v>192</v>
      </c>
      <c r="C151" s="125" t="s">
        <v>190</v>
      </c>
      <c r="D151" s="59"/>
      <c r="E151" s="60"/>
      <c r="F151" s="61"/>
      <c r="G151" s="61"/>
      <c r="H151" s="61"/>
      <c r="I151" s="61"/>
      <c r="J151" s="54"/>
      <c r="K151" s="54"/>
      <c r="L151" s="54"/>
      <c r="M151" s="54"/>
      <c r="N151" s="54"/>
    </row>
    <row r="152">
      <c r="A152" s="47">
        <v>148.0</v>
      </c>
      <c r="B152" s="117" t="s">
        <v>193</v>
      </c>
      <c r="C152" s="125" t="s">
        <v>190</v>
      </c>
      <c r="D152" s="59"/>
      <c r="E152" s="60"/>
      <c r="F152" s="61"/>
      <c r="G152" s="61"/>
      <c r="H152" s="61"/>
      <c r="I152" s="61"/>
      <c r="J152" s="54"/>
      <c r="K152" s="54"/>
      <c r="L152" s="54"/>
      <c r="M152" s="54"/>
      <c r="N152" s="54"/>
    </row>
    <row r="153">
      <c r="A153" s="47">
        <v>149.0</v>
      </c>
      <c r="B153" s="117" t="s">
        <v>194</v>
      </c>
      <c r="C153" s="125" t="s">
        <v>190</v>
      </c>
      <c r="D153" s="59"/>
      <c r="E153" s="47"/>
      <c r="F153" s="47"/>
      <c r="G153" s="47"/>
      <c r="H153" s="47"/>
      <c r="I153" s="47"/>
      <c r="J153" s="54"/>
      <c r="K153" s="54"/>
      <c r="L153" s="54"/>
      <c r="M153" s="54"/>
      <c r="N153" s="54"/>
    </row>
    <row r="154">
      <c r="A154" s="47">
        <v>150.0</v>
      </c>
      <c r="B154" s="117" t="s">
        <v>195</v>
      </c>
      <c r="C154" s="125" t="s">
        <v>190</v>
      </c>
      <c r="D154" s="59"/>
      <c r="E154" s="47"/>
      <c r="F154" s="47"/>
      <c r="G154" s="47"/>
      <c r="H154" s="47"/>
      <c r="I154" s="47"/>
      <c r="J154" s="54"/>
      <c r="K154" s="54"/>
      <c r="L154" s="54"/>
      <c r="M154" s="54"/>
      <c r="N154" s="54"/>
    </row>
    <row r="155">
      <c r="A155" s="47">
        <v>151.0</v>
      </c>
      <c r="B155" s="117" t="s">
        <v>196</v>
      </c>
      <c r="C155" s="125" t="s">
        <v>190</v>
      </c>
      <c r="D155" s="59"/>
      <c r="E155" s="47"/>
      <c r="F155" s="47"/>
      <c r="G155" s="47"/>
      <c r="H155" s="47"/>
      <c r="I155" s="47"/>
      <c r="J155" s="54"/>
      <c r="K155" s="54"/>
      <c r="L155" s="54"/>
      <c r="M155" s="54"/>
      <c r="N155" s="54"/>
    </row>
    <row r="156">
      <c r="A156" s="47">
        <v>152.0</v>
      </c>
      <c r="B156" s="117" t="s">
        <v>197</v>
      </c>
      <c r="C156" s="125" t="s">
        <v>190</v>
      </c>
      <c r="D156" s="59"/>
      <c r="E156" s="47"/>
      <c r="F156" s="47"/>
      <c r="G156" s="47"/>
      <c r="H156" s="47"/>
      <c r="I156" s="47"/>
      <c r="J156" s="54"/>
      <c r="K156" s="54"/>
      <c r="L156" s="54"/>
      <c r="M156" s="54"/>
      <c r="N156" s="54"/>
    </row>
    <row r="157">
      <c r="A157" s="47">
        <v>153.0</v>
      </c>
      <c r="B157" s="117" t="s">
        <v>198</v>
      </c>
      <c r="C157" s="125" t="s">
        <v>190</v>
      </c>
      <c r="D157" s="59"/>
      <c r="E157" s="47"/>
      <c r="F157" s="47"/>
      <c r="G157" s="47"/>
      <c r="H157" s="47"/>
      <c r="I157" s="47"/>
      <c r="J157" s="54"/>
      <c r="K157" s="54"/>
      <c r="L157" s="54"/>
      <c r="M157" s="54"/>
      <c r="N157" s="54"/>
    </row>
    <row r="158">
      <c r="A158" s="47">
        <v>154.0</v>
      </c>
      <c r="B158" s="117" t="s">
        <v>199</v>
      </c>
      <c r="C158" s="125" t="s">
        <v>190</v>
      </c>
      <c r="D158" s="59"/>
      <c r="E158" s="47"/>
      <c r="F158" s="47"/>
      <c r="G158" s="47"/>
      <c r="H158" s="47"/>
      <c r="I158" s="47"/>
      <c r="J158" s="54"/>
      <c r="K158" s="54"/>
      <c r="L158" s="54"/>
      <c r="M158" s="54"/>
      <c r="N158" s="54"/>
    </row>
    <row r="159">
      <c r="A159" s="47">
        <v>155.0</v>
      </c>
      <c r="B159" s="117" t="s">
        <v>200</v>
      </c>
      <c r="C159" s="125" t="s">
        <v>190</v>
      </c>
      <c r="D159" s="59"/>
      <c r="E159" s="47"/>
      <c r="F159" s="47"/>
      <c r="G159" s="47"/>
      <c r="H159" s="47"/>
      <c r="I159" s="47"/>
      <c r="J159" s="54"/>
      <c r="K159" s="54"/>
      <c r="L159" s="54"/>
      <c r="M159" s="54"/>
      <c r="N159" s="54"/>
    </row>
    <row r="160">
      <c r="A160" s="47">
        <v>156.0</v>
      </c>
      <c r="B160" s="117" t="s">
        <v>201</v>
      </c>
      <c r="C160" s="125" t="s">
        <v>190</v>
      </c>
      <c r="D160" s="59"/>
      <c r="E160" s="47"/>
      <c r="F160" s="47"/>
      <c r="G160" s="47"/>
      <c r="H160" s="47"/>
      <c r="I160" s="47"/>
      <c r="J160" s="54"/>
      <c r="K160" s="54"/>
      <c r="L160" s="54"/>
      <c r="M160" s="54"/>
      <c r="N160" s="54"/>
    </row>
    <row r="161">
      <c r="A161" s="47">
        <v>157.0</v>
      </c>
      <c r="B161" s="117" t="s">
        <v>202</v>
      </c>
      <c r="C161" s="125" t="s">
        <v>190</v>
      </c>
      <c r="D161" s="59"/>
      <c r="E161" s="47"/>
      <c r="F161" s="47"/>
      <c r="G161" s="47"/>
      <c r="H161" s="47"/>
      <c r="I161" s="47"/>
      <c r="J161" s="54"/>
      <c r="K161" s="54"/>
      <c r="L161" s="54"/>
      <c r="M161" s="54"/>
      <c r="N161" s="54"/>
    </row>
    <row r="162">
      <c r="A162" s="47">
        <v>158.0</v>
      </c>
      <c r="B162" s="117" t="s">
        <v>203</v>
      </c>
      <c r="C162" s="125" t="s">
        <v>190</v>
      </c>
      <c r="D162" s="59"/>
      <c r="E162" s="47"/>
      <c r="F162" s="47"/>
      <c r="G162" s="47"/>
      <c r="H162" s="47"/>
      <c r="I162" s="47"/>
      <c r="J162" s="54"/>
      <c r="K162" s="54"/>
      <c r="L162" s="54"/>
      <c r="M162" s="54"/>
      <c r="N162" s="54"/>
    </row>
    <row r="163">
      <c r="A163" s="47">
        <v>159.0</v>
      </c>
      <c r="B163" s="117" t="s">
        <v>204</v>
      </c>
      <c r="C163" s="125" t="s">
        <v>190</v>
      </c>
      <c r="D163" s="59"/>
      <c r="E163" s="47"/>
      <c r="F163" s="47"/>
      <c r="G163" s="47"/>
      <c r="H163" s="47"/>
      <c r="I163" s="47"/>
      <c r="J163" s="54"/>
      <c r="K163" s="54"/>
      <c r="L163" s="54"/>
      <c r="M163" s="54"/>
      <c r="N163" s="54"/>
    </row>
    <row r="164">
      <c r="A164" s="47">
        <v>160.0</v>
      </c>
      <c r="B164" s="117" t="s">
        <v>205</v>
      </c>
      <c r="C164" s="125" t="s">
        <v>190</v>
      </c>
      <c r="D164" s="59"/>
      <c r="E164" s="47"/>
      <c r="F164" s="47"/>
      <c r="G164" s="47"/>
      <c r="H164" s="47"/>
      <c r="I164" s="47"/>
      <c r="J164" s="54"/>
      <c r="K164" s="54"/>
      <c r="L164" s="54"/>
      <c r="M164" s="54"/>
      <c r="N164" s="54"/>
    </row>
    <row r="165">
      <c r="A165" s="47">
        <v>161.0</v>
      </c>
      <c r="B165" s="118" t="s">
        <v>206</v>
      </c>
      <c r="C165" s="125" t="s">
        <v>190</v>
      </c>
      <c r="D165" s="59"/>
      <c r="E165" s="47"/>
      <c r="F165" s="127"/>
      <c r="G165" s="127"/>
      <c r="H165" s="127"/>
      <c r="I165" s="127"/>
      <c r="J165" s="54"/>
      <c r="K165" s="54"/>
      <c r="L165" s="54"/>
      <c r="M165" s="54"/>
      <c r="N165" s="54"/>
    </row>
    <row r="166">
      <c r="A166" s="47">
        <v>162.0</v>
      </c>
      <c r="B166" s="118" t="s">
        <v>207</v>
      </c>
      <c r="C166" s="125" t="s">
        <v>190</v>
      </c>
      <c r="D166" s="59"/>
      <c r="E166" s="47"/>
      <c r="F166" s="127"/>
      <c r="G166" s="127"/>
      <c r="H166" s="127"/>
      <c r="I166" s="127"/>
      <c r="J166" s="54"/>
      <c r="K166" s="54"/>
      <c r="L166" s="54"/>
      <c r="M166" s="54"/>
      <c r="N166" s="54"/>
    </row>
    <row r="167">
      <c r="A167" s="47">
        <v>163.0</v>
      </c>
      <c r="B167" s="118" t="s">
        <v>208</v>
      </c>
      <c r="C167" s="125" t="s">
        <v>190</v>
      </c>
      <c r="D167" s="59"/>
      <c r="E167" s="47"/>
      <c r="F167" s="127"/>
      <c r="G167" s="127"/>
      <c r="H167" s="127"/>
      <c r="I167" s="127"/>
      <c r="J167" s="54"/>
      <c r="K167" s="54"/>
      <c r="L167" s="54"/>
      <c r="M167" s="54"/>
      <c r="N167" s="54"/>
    </row>
    <row r="168">
      <c r="A168" s="47">
        <v>164.0</v>
      </c>
      <c r="B168" s="101" t="s">
        <v>209</v>
      </c>
      <c r="C168" s="125" t="s">
        <v>190</v>
      </c>
      <c r="D168" s="59"/>
      <c r="E168" s="60"/>
      <c r="F168" s="61"/>
      <c r="G168" s="61"/>
      <c r="H168" s="61"/>
      <c r="I168" s="61"/>
      <c r="J168" s="54"/>
      <c r="K168" s="54"/>
      <c r="L168" s="54"/>
      <c r="M168" s="54"/>
      <c r="N168" s="54"/>
    </row>
    <row r="169">
      <c r="A169" s="47">
        <v>165.0</v>
      </c>
      <c r="B169" s="101" t="s">
        <v>210</v>
      </c>
      <c r="C169" s="125" t="s">
        <v>190</v>
      </c>
      <c r="D169" s="59"/>
      <c r="E169" s="68"/>
      <c r="F169" s="69"/>
      <c r="G169" s="69"/>
      <c r="H169" s="69"/>
      <c r="I169" s="69"/>
      <c r="J169" s="54"/>
      <c r="K169" s="54"/>
      <c r="L169" s="54"/>
      <c r="M169" s="54"/>
      <c r="N169" s="54"/>
    </row>
    <row r="170">
      <c r="A170" s="47">
        <v>166.0</v>
      </c>
      <c r="B170" s="101" t="s">
        <v>211</v>
      </c>
      <c r="C170" s="125" t="s">
        <v>190</v>
      </c>
      <c r="D170" s="59"/>
      <c r="E170" s="60"/>
      <c r="F170" s="61"/>
      <c r="G170" s="61"/>
      <c r="H170" s="61"/>
      <c r="I170" s="61"/>
      <c r="J170" s="54"/>
      <c r="K170" s="54"/>
      <c r="L170" s="54"/>
      <c r="M170" s="54"/>
      <c r="N170" s="54"/>
    </row>
    <row r="171">
      <c r="A171" s="47">
        <v>167.0</v>
      </c>
      <c r="B171" s="101" t="s">
        <v>212</v>
      </c>
      <c r="C171" s="125" t="s">
        <v>190</v>
      </c>
      <c r="D171" s="64"/>
      <c r="E171" s="60"/>
      <c r="F171" s="61"/>
      <c r="G171" s="61"/>
      <c r="H171" s="61"/>
      <c r="I171" s="61"/>
      <c r="J171" s="54"/>
      <c r="K171" s="54"/>
      <c r="L171" s="54"/>
      <c r="M171" s="54"/>
      <c r="N171" s="54"/>
    </row>
    <row r="172">
      <c r="A172" s="47">
        <v>168.0</v>
      </c>
      <c r="B172" s="101" t="s">
        <v>213</v>
      </c>
      <c r="C172" s="125" t="s">
        <v>190</v>
      </c>
      <c r="D172" s="59"/>
      <c r="E172" s="68"/>
      <c r="F172" s="69"/>
      <c r="G172" s="69"/>
      <c r="H172" s="69"/>
      <c r="I172" s="69"/>
      <c r="J172" s="54"/>
      <c r="K172" s="54"/>
      <c r="L172" s="54"/>
      <c r="M172" s="54"/>
      <c r="N172" s="54"/>
    </row>
    <row r="173">
      <c r="A173" s="47">
        <v>169.0</v>
      </c>
      <c r="B173" s="93" t="s">
        <v>214</v>
      </c>
      <c r="C173" s="125" t="s">
        <v>190</v>
      </c>
      <c r="D173" s="59"/>
      <c r="E173" s="68"/>
      <c r="F173" s="69"/>
      <c r="G173" s="69"/>
      <c r="H173" s="69"/>
      <c r="I173" s="69"/>
      <c r="J173" s="54"/>
      <c r="K173" s="54"/>
      <c r="L173" s="54"/>
      <c r="M173" s="54"/>
      <c r="N173" s="54"/>
    </row>
    <row r="174">
      <c r="A174" s="47">
        <v>170.0</v>
      </c>
      <c r="B174" s="101" t="s">
        <v>215</v>
      </c>
      <c r="C174" s="125" t="s">
        <v>190</v>
      </c>
      <c r="D174" s="59"/>
      <c r="E174" s="68"/>
      <c r="F174" s="69"/>
      <c r="G174" s="69"/>
      <c r="H174" s="69"/>
      <c r="I174" s="69"/>
      <c r="J174" s="54"/>
      <c r="K174" s="54"/>
      <c r="L174" s="54"/>
      <c r="M174" s="54"/>
      <c r="N174" s="54"/>
    </row>
    <row r="175">
      <c r="A175" s="47">
        <v>171.0</v>
      </c>
      <c r="B175" s="101" t="s">
        <v>216</v>
      </c>
      <c r="C175" s="125" t="s">
        <v>190</v>
      </c>
      <c r="D175" s="59"/>
      <c r="E175" s="68"/>
      <c r="F175" s="69"/>
      <c r="G175" s="69"/>
      <c r="H175" s="69"/>
      <c r="I175" s="69"/>
      <c r="J175" s="54"/>
      <c r="K175" s="54"/>
      <c r="L175" s="54"/>
      <c r="M175" s="54"/>
      <c r="N175" s="54"/>
    </row>
    <row r="176">
      <c r="A176" s="47">
        <v>172.0</v>
      </c>
      <c r="B176" s="101" t="s">
        <v>217</v>
      </c>
      <c r="C176" s="125" t="s">
        <v>190</v>
      </c>
      <c r="D176" s="59"/>
      <c r="E176" s="68"/>
      <c r="F176" s="69"/>
      <c r="G176" s="69"/>
      <c r="H176" s="69"/>
      <c r="I176" s="69"/>
      <c r="J176" s="54"/>
      <c r="K176" s="54"/>
      <c r="L176" s="54"/>
      <c r="M176" s="54"/>
      <c r="N176" s="54"/>
    </row>
    <row r="177">
      <c r="A177" s="47">
        <v>173.0</v>
      </c>
      <c r="B177" s="101" t="s">
        <v>218</v>
      </c>
      <c r="C177" s="125" t="s">
        <v>190</v>
      </c>
      <c r="D177" s="64"/>
      <c r="E177" s="68"/>
      <c r="F177" s="69"/>
      <c r="G177" s="69"/>
      <c r="H177" s="69"/>
      <c r="I177" s="69"/>
      <c r="J177" s="54"/>
      <c r="K177" s="54"/>
      <c r="L177" s="54"/>
      <c r="M177" s="54"/>
      <c r="N177" s="54"/>
    </row>
    <row r="178">
      <c r="A178" s="47">
        <v>174.0</v>
      </c>
      <c r="B178" s="101" t="s">
        <v>219</v>
      </c>
      <c r="C178" s="125" t="s">
        <v>190</v>
      </c>
      <c r="D178" s="59"/>
      <c r="E178" s="68"/>
      <c r="F178" s="69"/>
      <c r="G178" s="69"/>
      <c r="H178" s="69"/>
      <c r="I178" s="69"/>
      <c r="J178" s="54"/>
      <c r="K178" s="54"/>
      <c r="L178" s="54"/>
      <c r="M178" s="54"/>
      <c r="N178" s="54"/>
    </row>
    <row r="179">
      <c r="A179" s="47">
        <v>175.0</v>
      </c>
      <c r="B179" s="101" t="s">
        <v>220</v>
      </c>
      <c r="C179" s="49" t="s">
        <v>221</v>
      </c>
      <c r="D179" s="59"/>
      <c r="E179" s="89" t="s">
        <v>309</v>
      </c>
      <c r="F179" s="156" t="s">
        <v>309</v>
      </c>
      <c r="G179" s="156" t="s">
        <v>309</v>
      </c>
      <c r="H179" s="156" t="s">
        <v>309</v>
      </c>
      <c r="I179" s="156" t="s">
        <v>302</v>
      </c>
      <c r="J179" s="52" t="s">
        <v>650</v>
      </c>
      <c r="K179" s="52" t="s">
        <v>302</v>
      </c>
      <c r="L179" s="52" t="s">
        <v>650</v>
      </c>
      <c r="M179" s="52" t="s">
        <v>650</v>
      </c>
      <c r="N179" s="52" t="s">
        <v>650</v>
      </c>
    </row>
    <row r="180">
      <c r="A180" s="47">
        <v>176.0</v>
      </c>
      <c r="B180" s="101" t="s">
        <v>222</v>
      </c>
      <c r="C180" s="49" t="s">
        <v>221</v>
      </c>
      <c r="D180" s="59"/>
      <c r="E180" s="89" t="s">
        <v>309</v>
      </c>
      <c r="F180" s="156" t="s">
        <v>309</v>
      </c>
      <c r="G180" s="156" t="s">
        <v>309</v>
      </c>
      <c r="H180" s="156" t="s">
        <v>309</v>
      </c>
      <c r="I180" s="156" t="s">
        <v>880</v>
      </c>
      <c r="J180" s="52" t="s">
        <v>880</v>
      </c>
      <c r="K180" s="52" t="s">
        <v>881</v>
      </c>
      <c r="L180" s="52" t="s">
        <v>882</v>
      </c>
      <c r="M180" s="52" t="s">
        <v>650</v>
      </c>
      <c r="N180" s="52" t="s">
        <v>650</v>
      </c>
    </row>
    <row r="181">
      <c r="A181" s="47">
        <v>177.0</v>
      </c>
      <c r="B181" s="101" t="s">
        <v>223</v>
      </c>
      <c r="C181" s="49" t="s">
        <v>221</v>
      </c>
      <c r="D181" s="59"/>
      <c r="E181" s="89" t="s">
        <v>526</v>
      </c>
      <c r="F181" s="156" t="s">
        <v>526</v>
      </c>
      <c r="G181" s="156" t="s">
        <v>526</v>
      </c>
      <c r="H181" s="156" t="s">
        <v>526</v>
      </c>
      <c r="I181" s="156" t="s">
        <v>883</v>
      </c>
      <c r="J181" s="52" t="s">
        <v>883</v>
      </c>
      <c r="K181" s="52" t="s">
        <v>884</v>
      </c>
      <c r="L181" s="52" t="s">
        <v>884</v>
      </c>
      <c r="M181" s="52" t="s">
        <v>650</v>
      </c>
      <c r="N181" s="52" t="s">
        <v>650</v>
      </c>
    </row>
    <row r="182">
      <c r="A182" s="47">
        <v>178.0</v>
      </c>
      <c r="B182" s="101" t="s">
        <v>224</v>
      </c>
      <c r="C182" s="49" t="s">
        <v>221</v>
      </c>
      <c r="D182" s="59"/>
      <c r="E182" s="158" t="s">
        <v>526</v>
      </c>
      <c r="F182" s="159" t="s">
        <v>526</v>
      </c>
      <c r="G182" s="159" t="s">
        <v>526</v>
      </c>
      <c r="H182" s="159" t="s">
        <v>526</v>
      </c>
      <c r="I182" s="159" t="s">
        <v>885</v>
      </c>
      <c r="J182" s="52" t="s">
        <v>885</v>
      </c>
      <c r="K182" s="52" t="s">
        <v>886</v>
      </c>
      <c r="L182" s="52" t="s">
        <v>886</v>
      </c>
      <c r="M182" s="52" t="s">
        <v>650</v>
      </c>
      <c r="N182" s="52" t="s">
        <v>650</v>
      </c>
    </row>
    <row r="183">
      <c r="A183" s="47">
        <v>179.0</v>
      </c>
      <c r="B183" s="93" t="s">
        <v>225</v>
      </c>
      <c r="C183" s="49" t="s">
        <v>221</v>
      </c>
      <c r="D183" s="59"/>
      <c r="E183" s="158" t="s">
        <v>306</v>
      </c>
      <c r="F183" s="159" t="s">
        <v>887</v>
      </c>
      <c r="G183" s="159" t="s">
        <v>306</v>
      </c>
      <c r="H183" s="159" t="s">
        <v>888</v>
      </c>
      <c r="I183" s="159" t="s">
        <v>306</v>
      </c>
      <c r="J183" s="52" t="s">
        <v>889</v>
      </c>
      <c r="K183" s="52" t="s">
        <v>309</v>
      </c>
      <c r="L183" s="52" t="s">
        <v>309</v>
      </c>
      <c r="M183" s="52" t="s">
        <v>650</v>
      </c>
      <c r="N183" s="52" t="s">
        <v>650</v>
      </c>
    </row>
    <row r="184">
      <c r="A184" s="47">
        <v>180.0</v>
      </c>
      <c r="B184" s="101" t="s">
        <v>226</v>
      </c>
      <c r="C184" s="49" t="s">
        <v>221</v>
      </c>
      <c r="D184" s="59"/>
      <c r="E184" s="158" t="s">
        <v>306</v>
      </c>
      <c r="F184" s="159" t="s">
        <v>890</v>
      </c>
      <c r="G184" s="159" t="s">
        <v>306</v>
      </c>
      <c r="H184" s="159" t="s">
        <v>891</v>
      </c>
      <c r="I184" s="159" t="s">
        <v>309</v>
      </c>
      <c r="J184" s="52" t="s">
        <v>309</v>
      </c>
      <c r="K184" s="52" t="s">
        <v>892</v>
      </c>
      <c r="L184" s="52" t="s">
        <v>892</v>
      </c>
      <c r="M184" s="52" t="s">
        <v>650</v>
      </c>
      <c r="N184" s="52" t="s">
        <v>650</v>
      </c>
    </row>
    <row r="185">
      <c r="A185" s="47">
        <v>181.0</v>
      </c>
      <c r="B185" s="101" t="s">
        <v>227</v>
      </c>
      <c r="C185" s="49" t="s">
        <v>221</v>
      </c>
      <c r="D185" s="59"/>
      <c r="E185" s="158" t="s">
        <v>516</v>
      </c>
      <c r="F185" s="159" t="s">
        <v>893</v>
      </c>
      <c r="G185" s="159" t="s">
        <v>516</v>
      </c>
      <c r="H185" s="159" t="s">
        <v>894</v>
      </c>
      <c r="I185" s="159" t="s">
        <v>516</v>
      </c>
      <c r="J185" s="52" t="s">
        <v>895</v>
      </c>
      <c r="K185" s="52" t="s">
        <v>896</v>
      </c>
      <c r="L185" s="52" t="s">
        <v>896</v>
      </c>
      <c r="M185" s="52" t="s">
        <v>650</v>
      </c>
      <c r="N185" s="52" t="s">
        <v>650</v>
      </c>
    </row>
    <row r="186">
      <c r="A186" s="47">
        <v>182.0</v>
      </c>
      <c r="B186" s="101" t="s">
        <v>228</v>
      </c>
      <c r="C186" s="49" t="s">
        <v>221</v>
      </c>
      <c r="D186" s="59"/>
      <c r="E186" s="158" t="s">
        <v>516</v>
      </c>
      <c r="F186" s="159" t="s">
        <v>897</v>
      </c>
      <c r="G186" s="159" t="s">
        <v>516</v>
      </c>
      <c r="H186" s="159" t="s">
        <v>898</v>
      </c>
      <c r="I186" s="159" t="s">
        <v>309</v>
      </c>
      <c r="J186" s="52" t="s">
        <v>309</v>
      </c>
      <c r="K186" s="52" t="s">
        <v>899</v>
      </c>
      <c r="L186" s="52" t="s">
        <v>899</v>
      </c>
      <c r="M186" s="52" t="s">
        <v>650</v>
      </c>
      <c r="N186" s="52" t="s">
        <v>650</v>
      </c>
    </row>
    <row r="187">
      <c r="A187" s="47">
        <v>183.0</v>
      </c>
      <c r="B187" s="101" t="s">
        <v>229</v>
      </c>
      <c r="C187" s="49" t="s">
        <v>221</v>
      </c>
      <c r="D187" s="59"/>
      <c r="E187" s="158" t="s">
        <v>516</v>
      </c>
      <c r="F187" s="159" t="s">
        <v>900</v>
      </c>
      <c r="G187" s="159" t="s">
        <v>516</v>
      </c>
      <c r="H187" s="159" t="s">
        <v>901</v>
      </c>
      <c r="I187" s="159" t="s">
        <v>309</v>
      </c>
      <c r="J187" s="52" t="s">
        <v>309</v>
      </c>
      <c r="K187" s="52" t="s">
        <v>899</v>
      </c>
      <c r="L187" s="52" t="s">
        <v>899</v>
      </c>
      <c r="M187" s="52" t="s">
        <v>650</v>
      </c>
      <c r="N187" s="52" t="s">
        <v>650</v>
      </c>
    </row>
    <row r="188">
      <c r="A188" s="47">
        <v>184.0</v>
      </c>
      <c r="B188" s="101" t="s">
        <v>230</v>
      </c>
      <c r="C188" s="49" t="s">
        <v>221</v>
      </c>
      <c r="D188" s="59"/>
      <c r="E188" s="158" t="s">
        <v>516</v>
      </c>
      <c r="F188" s="159" t="s">
        <v>902</v>
      </c>
      <c r="G188" s="159" t="s">
        <v>516</v>
      </c>
      <c r="H188" s="159" t="s">
        <v>903</v>
      </c>
      <c r="I188" s="159" t="s">
        <v>516</v>
      </c>
      <c r="J188" s="52" t="s">
        <v>904</v>
      </c>
      <c r="K188" s="52" t="s">
        <v>526</v>
      </c>
      <c r="L188" s="52" t="s">
        <v>526</v>
      </c>
      <c r="M188" s="52" t="s">
        <v>650</v>
      </c>
      <c r="N188" s="52" t="s">
        <v>650</v>
      </c>
    </row>
    <row r="189">
      <c r="A189" s="47">
        <v>185.0</v>
      </c>
      <c r="B189" s="123" t="s">
        <v>231</v>
      </c>
      <c r="C189" s="49" t="s">
        <v>221</v>
      </c>
      <c r="D189" s="59"/>
      <c r="E189" s="158" t="s">
        <v>516</v>
      </c>
      <c r="F189" s="159" t="s">
        <v>905</v>
      </c>
      <c r="G189" s="159" t="s">
        <v>516</v>
      </c>
      <c r="H189" s="159" t="s">
        <v>906</v>
      </c>
      <c r="I189" s="159" t="s">
        <v>516</v>
      </c>
      <c r="J189" s="52" t="s">
        <v>907</v>
      </c>
      <c r="K189" s="52" t="s">
        <v>516</v>
      </c>
      <c r="L189" s="52" t="s">
        <v>908</v>
      </c>
      <c r="M189" s="52" t="s">
        <v>650</v>
      </c>
      <c r="N189" s="52" t="s">
        <v>650</v>
      </c>
    </row>
    <row r="190">
      <c r="A190" s="47">
        <v>186.0</v>
      </c>
      <c r="B190" s="123" t="s">
        <v>232</v>
      </c>
      <c r="C190" s="49" t="s">
        <v>221</v>
      </c>
      <c r="D190" s="59"/>
      <c r="E190" s="158" t="s">
        <v>516</v>
      </c>
      <c r="F190" s="159" t="s">
        <v>909</v>
      </c>
      <c r="G190" s="159" t="s">
        <v>516</v>
      </c>
      <c r="H190" s="159" t="s">
        <v>910</v>
      </c>
      <c r="I190" s="159" t="s">
        <v>516</v>
      </c>
      <c r="J190" s="52" t="s">
        <v>911</v>
      </c>
      <c r="K190" s="52" t="s">
        <v>516</v>
      </c>
      <c r="L190" s="52" t="s">
        <v>912</v>
      </c>
      <c r="M190" s="52" t="s">
        <v>650</v>
      </c>
      <c r="N190" s="52" t="s">
        <v>650</v>
      </c>
    </row>
    <row r="191">
      <c r="A191" s="47">
        <v>187.0</v>
      </c>
      <c r="B191" s="101" t="s">
        <v>233</v>
      </c>
      <c r="C191" s="100" t="s">
        <v>234</v>
      </c>
      <c r="D191" s="114"/>
      <c r="E191" s="158" t="s">
        <v>526</v>
      </c>
      <c r="F191" s="159" t="s">
        <v>526</v>
      </c>
      <c r="G191" s="159" t="s">
        <v>302</v>
      </c>
      <c r="H191" s="159" t="s">
        <v>302</v>
      </c>
      <c r="I191" s="159" t="s">
        <v>302</v>
      </c>
      <c r="J191" s="52" t="s">
        <v>302</v>
      </c>
      <c r="K191" s="52" t="s">
        <v>302</v>
      </c>
      <c r="L191" s="52" t="s">
        <v>302</v>
      </c>
      <c r="M191" s="52" t="s">
        <v>913</v>
      </c>
      <c r="N191" s="52" t="s">
        <v>913</v>
      </c>
    </row>
    <row r="192">
      <c r="A192" s="47">
        <v>188.0</v>
      </c>
      <c r="B192" s="101" t="s">
        <v>235</v>
      </c>
      <c r="C192" s="100" t="s">
        <v>234</v>
      </c>
      <c r="D192" s="59"/>
      <c r="E192" s="52" t="s">
        <v>516</v>
      </c>
      <c r="F192" s="52" t="s">
        <v>914</v>
      </c>
      <c r="G192" s="52" t="s">
        <v>302</v>
      </c>
      <c r="H192" s="52" t="s">
        <v>302</v>
      </c>
      <c r="I192" s="52" t="s">
        <v>302</v>
      </c>
      <c r="J192" s="52" t="s">
        <v>302</v>
      </c>
      <c r="K192" s="52" t="s">
        <v>302</v>
      </c>
      <c r="L192" s="52" t="s">
        <v>302</v>
      </c>
      <c r="M192" s="52" t="s">
        <v>913</v>
      </c>
      <c r="N192" s="52" t="s">
        <v>913</v>
      </c>
    </row>
    <row r="193">
      <c r="A193" s="47">
        <v>189.0</v>
      </c>
      <c r="B193" s="101" t="s">
        <v>236</v>
      </c>
      <c r="C193" s="100" t="s">
        <v>234</v>
      </c>
      <c r="D193" s="59"/>
      <c r="E193" s="89" t="s">
        <v>516</v>
      </c>
      <c r="F193" s="156" t="s">
        <v>915</v>
      </c>
      <c r="G193" s="156" t="s">
        <v>516</v>
      </c>
      <c r="H193" s="156" t="s">
        <v>916</v>
      </c>
      <c r="I193" s="156" t="s">
        <v>526</v>
      </c>
      <c r="J193" s="52" t="s">
        <v>526</v>
      </c>
      <c r="K193" s="52" t="s">
        <v>917</v>
      </c>
      <c r="L193" s="52" t="s">
        <v>917</v>
      </c>
      <c r="M193" s="52" t="s">
        <v>913</v>
      </c>
      <c r="N193" s="52" t="s">
        <v>913</v>
      </c>
    </row>
    <row r="194">
      <c r="A194" s="47">
        <v>190.0</v>
      </c>
      <c r="B194" s="101" t="s">
        <v>237</v>
      </c>
      <c r="C194" s="100" t="s">
        <v>234</v>
      </c>
      <c r="D194" s="59"/>
      <c r="E194" s="158" t="s">
        <v>516</v>
      </c>
      <c r="F194" s="159" t="s">
        <v>918</v>
      </c>
      <c r="G194" s="159" t="s">
        <v>526</v>
      </c>
      <c r="H194" s="159" t="s">
        <v>526</v>
      </c>
      <c r="I194" s="159" t="s">
        <v>526</v>
      </c>
      <c r="J194" s="52" t="s">
        <v>526</v>
      </c>
      <c r="K194" s="52" t="s">
        <v>919</v>
      </c>
      <c r="L194" s="52" t="s">
        <v>919</v>
      </c>
      <c r="M194" s="52" t="s">
        <v>913</v>
      </c>
      <c r="N194" s="52" t="s">
        <v>913</v>
      </c>
    </row>
    <row r="195">
      <c r="A195" s="47">
        <v>191.0</v>
      </c>
      <c r="B195" s="101" t="s">
        <v>238</v>
      </c>
      <c r="C195" s="100" t="s">
        <v>234</v>
      </c>
      <c r="D195" s="59"/>
      <c r="E195" s="158" t="s">
        <v>516</v>
      </c>
      <c r="F195" s="159" t="s">
        <v>920</v>
      </c>
      <c r="G195" s="159" t="s">
        <v>516</v>
      </c>
      <c r="H195" s="159" t="s">
        <v>921</v>
      </c>
      <c r="I195" s="159" t="s">
        <v>526</v>
      </c>
      <c r="J195" s="52" t="s">
        <v>526</v>
      </c>
      <c r="K195" s="52" t="s">
        <v>922</v>
      </c>
      <c r="L195" s="52" t="s">
        <v>922</v>
      </c>
      <c r="M195" s="52" t="s">
        <v>913</v>
      </c>
      <c r="N195" s="52" t="s">
        <v>913</v>
      </c>
    </row>
    <row r="196">
      <c r="A196" s="47">
        <v>192.0</v>
      </c>
      <c r="B196" s="101" t="s">
        <v>239</v>
      </c>
      <c r="C196" s="100" t="s">
        <v>234</v>
      </c>
      <c r="D196" s="59"/>
      <c r="E196" s="158" t="s">
        <v>516</v>
      </c>
      <c r="F196" s="159" t="s">
        <v>923</v>
      </c>
      <c r="G196" s="159" t="s">
        <v>516</v>
      </c>
      <c r="H196" s="159" t="s">
        <v>924</v>
      </c>
      <c r="I196" s="159" t="s">
        <v>516</v>
      </c>
      <c r="J196" s="52" t="s">
        <v>925</v>
      </c>
      <c r="K196" s="52" t="s">
        <v>926</v>
      </c>
      <c r="L196" s="52" t="s">
        <v>926</v>
      </c>
      <c r="M196" s="52" t="s">
        <v>913</v>
      </c>
      <c r="N196" s="52" t="s">
        <v>913</v>
      </c>
    </row>
    <row r="197">
      <c r="A197" s="47">
        <v>193.0</v>
      </c>
      <c r="B197" s="101" t="s">
        <v>240</v>
      </c>
      <c r="C197" s="100" t="s">
        <v>234</v>
      </c>
      <c r="D197" s="59"/>
      <c r="E197" s="89" t="s">
        <v>516</v>
      </c>
      <c r="F197" s="156" t="s">
        <v>927</v>
      </c>
      <c r="G197" s="156" t="s">
        <v>526</v>
      </c>
      <c r="H197" s="156" t="s">
        <v>526</v>
      </c>
      <c r="I197" s="156" t="s">
        <v>928</v>
      </c>
      <c r="J197" s="52" t="s">
        <v>928</v>
      </c>
      <c r="K197" s="52" t="s">
        <v>929</v>
      </c>
      <c r="L197" s="52" t="s">
        <v>929</v>
      </c>
      <c r="M197" s="52" t="s">
        <v>913</v>
      </c>
      <c r="N197" s="52" t="s">
        <v>913</v>
      </c>
    </row>
    <row r="198">
      <c r="A198" s="47">
        <v>194.0</v>
      </c>
      <c r="B198" s="101" t="s">
        <v>241</v>
      </c>
      <c r="C198" s="100" t="s">
        <v>234</v>
      </c>
      <c r="D198" s="59"/>
      <c r="E198" s="89" t="s">
        <v>516</v>
      </c>
      <c r="F198" s="156" t="s">
        <v>930</v>
      </c>
      <c r="G198" s="156" t="s">
        <v>526</v>
      </c>
      <c r="H198" s="156" t="s">
        <v>526</v>
      </c>
      <c r="I198" s="156" t="s">
        <v>931</v>
      </c>
      <c r="J198" s="52" t="s">
        <v>931</v>
      </c>
      <c r="K198" s="52" t="s">
        <v>932</v>
      </c>
      <c r="L198" s="52" t="s">
        <v>932</v>
      </c>
      <c r="M198" s="52" t="s">
        <v>913</v>
      </c>
      <c r="N198" s="52" t="s">
        <v>913</v>
      </c>
    </row>
    <row r="199">
      <c r="A199" s="47">
        <v>195.0</v>
      </c>
      <c r="B199" s="101" t="s">
        <v>242</v>
      </c>
      <c r="C199" s="100" t="s">
        <v>234</v>
      </c>
      <c r="D199" s="59"/>
      <c r="E199" s="158" t="s">
        <v>516</v>
      </c>
      <c r="F199" s="159" t="s">
        <v>933</v>
      </c>
      <c r="G199" s="159" t="s">
        <v>526</v>
      </c>
      <c r="H199" s="159" t="s">
        <v>526</v>
      </c>
      <c r="I199" s="159" t="s">
        <v>526</v>
      </c>
      <c r="J199" s="52" t="s">
        <v>526</v>
      </c>
      <c r="K199" s="52" t="s">
        <v>934</v>
      </c>
      <c r="L199" s="52" t="s">
        <v>934</v>
      </c>
      <c r="M199" s="52" t="s">
        <v>913</v>
      </c>
      <c r="N199" s="52" t="s">
        <v>913</v>
      </c>
    </row>
    <row r="200">
      <c r="A200" s="47">
        <v>196.0</v>
      </c>
      <c r="B200" s="101" t="s">
        <v>243</v>
      </c>
      <c r="C200" s="100" t="s">
        <v>234</v>
      </c>
      <c r="D200" s="59"/>
      <c r="E200" s="89" t="s">
        <v>516</v>
      </c>
      <c r="F200" s="156" t="s">
        <v>935</v>
      </c>
      <c r="G200" s="156" t="s">
        <v>516</v>
      </c>
      <c r="H200" s="156" t="s">
        <v>936</v>
      </c>
      <c r="I200" s="156" t="s">
        <v>526</v>
      </c>
      <c r="J200" s="52" t="s">
        <v>526</v>
      </c>
      <c r="K200" s="52" t="s">
        <v>934</v>
      </c>
      <c r="L200" s="52" t="s">
        <v>934</v>
      </c>
      <c r="M200" s="52" t="s">
        <v>913</v>
      </c>
      <c r="N200" s="52" t="s">
        <v>913</v>
      </c>
    </row>
    <row r="201">
      <c r="A201" s="47">
        <v>197.0</v>
      </c>
      <c r="B201" s="101" t="s">
        <v>244</v>
      </c>
      <c r="C201" s="100" t="s">
        <v>234</v>
      </c>
      <c r="D201" s="59"/>
      <c r="E201" s="89" t="s">
        <v>516</v>
      </c>
      <c r="F201" s="156" t="s">
        <v>937</v>
      </c>
      <c r="G201" s="156" t="s">
        <v>516</v>
      </c>
      <c r="H201" s="156" t="s">
        <v>938</v>
      </c>
      <c r="I201" s="156" t="s">
        <v>516</v>
      </c>
      <c r="J201" s="52" t="s">
        <v>939</v>
      </c>
      <c r="K201" s="52" t="s">
        <v>516</v>
      </c>
      <c r="L201" s="52" t="s">
        <v>939</v>
      </c>
      <c r="M201" s="52" t="s">
        <v>913</v>
      </c>
      <c r="N201" s="52" t="s">
        <v>913</v>
      </c>
    </row>
    <row r="202">
      <c r="A202" s="47">
        <v>198.0</v>
      </c>
      <c r="B202" s="123" t="s">
        <v>245</v>
      </c>
      <c r="C202" s="100" t="s">
        <v>234</v>
      </c>
      <c r="D202" s="59"/>
      <c r="E202" s="89" t="s">
        <v>516</v>
      </c>
      <c r="F202" s="156" t="s">
        <v>940</v>
      </c>
      <c r="G202" s="156" t="s">
        <v>516</v>
      </c>
      <c r="H202" s="156" t="s">
        <v>941</v>
      </c>
      <c r="I202" s="156" t="s">
        <v>516</v>
      </c>
      <c r="J202" s="52" t="s">
        <v>942</v>
      </c>
      <c r="K202" s="52" t="s">
        <v>526</v>
      </c>
      <c r="L202" s="52" t="s">
        <v>526</v>
      </c>
      <c r="M202" s="52" t="s">
        <v>913</v>
      </c>
      <c r="N202" s="52" t="s">
        <v>913</v>
      </c>
    </row>
    <row r="203">
      <c r="A203" s="47">
        <v>199.0</v>
      </c>
      <c r="B203" s="117" t="s">
        <v>246</v>
      </c>
      <c r="C203" s="100" t="s">
        <v>234</v>
      </c>
      <c r="D203" s="59"/>
      <c r="E203" s="158" t="s">
        <v>516</v>
      </c>
      <c r="F203" s="159" t="s">
        <v>943</v>
      </c>
      <c r="G203" s="159" t="s">
        <v>516</v>
      </c>
      <c r="H203" s="159" t="s">
        <v>944</v>
      </c>
      <c r="I203" s="159" t="s">
        <v>526</v>
      </c>
      <c r="J203" s="52" t="s">
        <v>526</v>
      </c>
      <c r="K203" s="52" t="s">
        <v>526</v>
      </c>
      <c r="L203" s="52" t="s">
        <v>526</v>
      </c>
      <c r="M203" s="52" t="s">
        <v>913</v>
      </c>
      <c r="N203" s="52" t="s">
        <v>913</v>
      </c>
    </row>
    <row r="204">
      <c r="A204" s="47">
        <v>200.0</v>
      </c>
      <c r="B204" s="117" t="s">
        <v>247</v>
      </c>
      <c r="C204" s="100" t="s">
        <v>234</v>
      </c>
      <c r="D204" s="59"/>
      <c r="E204" s="52" t="s">
        <v>516</v>
      </c>
      <c r="F204" s="52" t="s">
        <v>945</v>
      </c>
      <c r="G204" s="52" t="s">
        <v>516</v>
      </c>
      <c r="H204" s="52" t="s">
        <v>946</v>
      </c>
      <c r="I204" s="52" t="s">
        <v>548</v>
      </c>
      <c r="J204" s="52" t="s">
        <v>947</v>
      </c>
      <c r="K204" s="52" t="s">
        <v>548</v>
      </c>
      <c r="L204" s="52" t="s">
        <v>947</v>
      </c>
      <c r="M204" s="52" t="s">
        <v>913</v>
      </c>
      <c r="N204" s="52" t="s">
        <v>913</v>
      </c>
    </row>
    <row r="205">
      <c r="A205" s="47">
        <v>201.0</v>
      </c>
      <c r="B205" s="117" t="s">
        <v>248</v>
      </c>
      <c r="C205" s="49" t="s">
        <v>249</v>
      </c>
      <c r="D205" s="59"/>
      <c r="E205" s="52" t="s">
        <v>516</v>
      </c>
      <c r="F205" s="52" t="s">
        <v>948</v>
      </c>
      <c r="G205" s="52" t="s">
        <v>516</v>
      </c>
      <c r="H205" s="52" t="s">
        <v>949</v>
      </c>
      <c r="I205" s="52" t="s">
        <v>950</v>
      </c>
      <c r="J205" s="52" t="s">
        <v>951</v>
      </c>
      <c r="K205" s="52" t="s">
        <v>952</v>
      </c>
      <c r="L205" s="52" t="s">
        <v>953</v>
      </c>
      <c r="M205" s="52" t="s">
        <v>650</v>
      </c>
      <c r="N205" s="52" t="s">
        <v>650</v>
      </c>
    </row>
    <row r="206">
      <c r="A206" s="47">
        <v>202.0</v>
      </c>
      <c r="B206" s="117" t="s">
        <v>250</v>
      </c>
      <c r="C206" s="49" t="s">
        <v>249</v>
      </c>
      <c r="D206" s="59"/>
      <c r="E206" s="52" t="s">
        <v>516</v>
      </c>
      <c r="F206" s="52" t="s">
        <v>954</v>
      </c>
      <c r="G206" s="52" t="s">
        <v>516</v>
      </c>
      <c r="H206" s="52" t="s">
        <v>955</v>
      </c>
      <c r="I206" s="52" t="s">
        <v>956</v>
      </c>
      <c r="J206" s="52" t="s">
        <v>957</v>
      </c>
      <c r="K206" s="52" t="s">
        <v>608</v>
      </c>
      <c r="L206" s="52" t="s">
        <v>958</v>
      </c>
      <c r="M206" s="52" t="s">
        <v>650</v>
      </c>
      <c r="N206" s="52" t="s">
        <v>650</v>
      </c>
    </row>
    <row r="207">
      <c r="A207" s="47">
        <v>203.0</v>
      </c>
      <c r="B207" s="117" t="s">
        <v>251</v>
      </c>
      <c r="C207" s="49" t="s">
        <v>249</v>
      </c>
      <c r="D207" s="59"/>
      <c r="E207" s="52" t="s">
        <v>516</v>
      </c>
      <c r="F207" s="52" t="s">
        <v>959</v>
      </c>
      <c r="G207" s="52" t="s">
        <v>516</v>
      </c>
      <c r="H207" s="52" t="s">
        <v>960</v>
      </c>
      <c r="I207" s="52" t="s">
        <v>516</v>
      </c>
      <c r="J207" s="52" t="s">
        <v>961</v>
      </c>
      <c r="K207" s="52" t="s">
        <v>962</v>
      </c>
      <c r="L207" s="52" t="s">
        <v>963</v>
      </c>
      <c r="M207" s="52" t="s">
        <v>793</v>
      </c>
      <c r="N207" s="52" t="s">
        <v>964</v>
      </c>
    </row>
    <row r="208">
      <c r="A208" s="47">
        <v>204.0</v>
      </c>
      <c r="B208" s="118" t="s">
        <v>252</v>
      </c>
      <c r="C208" s="49" t="s">
        <v>249</v>
      </c>
      <c r="D208" s="59"/>
      <c r="E208" s="52" t="s">
        <v>516</v>
      </c>
      <c r="F208" s="52" t="s">
        <v>965</v>
      </c>
      <c r="G208" s="52" t="s">
        <v>516</v>
      </c>
      <c r="H208" s="52" t="s">
        <v>966</v>
      </c>
      <c r="I208" s="52" t="s">
        <v>516</v>
      </c>
      <c r="J208" s="52" t="s">
        <v>967</v>
      </c>
      <c r="K208" s="52" t="s">
        <v>968</v>
      </c>
      <c r="L208" s="52" t="s">
        <v>969</v>
      </c>
      <c r="M208" s="52" t="s">
        <v>650</v>
      </c>
      <c r="N208" s="52" t="s">
        <v>650</v>
      </c>
    </row>
    <row r="209">
      <c r="A209" s="47">
        <v>205.0</v>
      </c>
      <c r="B209" s="118" t="s">
        <v>253</v>
      </c>
      <c r="C209" s="49" t="s">
        <v>249</v>
      </c>
      <c r="D209" s="59"/>
      <c r="E209" s="52" t="s">
        <v>516</v>
      </c>
      <c r="F209" s="52" t="s">
        <v>970</v>
      </c>
      <c r="G209" s="52" t="s">
        <v>516</v>
      </c>
      <c r="H209" s="52" t="s">
        <v>971</v>
      </c>
      <c r="I209" s="52" t="s">
        <v>968</v>
      </c>
      <c r="J209" s="52" t="s">
        <v>972</v>
      </c>
      <c r="K209" s="52" t="s">
        <v>973</v>
      </c>
      <c r="L209" s="52" t="s">
        <v>974</v>
      </c>
      <c r="M209" s="52" t="s">
        <v>650</v>
      </c>
      <c r="N209" s="52" t="s">
        <v>650</v>
      </c>
    </row>
    <row r="210">
      <c r="A210" s="47">
        <v>206.0</v>
      </c>
      <c r="B210" s="101" t="s">
        <v>254</v>
      </c>
      <c r="C210" s="49" t="s">
        <v>249</v>
      </c>
      <c r="D210" s="59"/>
      <c r="E210" s="89" t="s">
        <v>516</v>
      </c>
      <c r="F210" s="156" t="s">
        <v>975</v>
      </c>
      <c r="G210" s="156" t="s">
        <v>516</v>
      </c>
      <c r="H210" s="156" t="s">
        <v>976</v>
      </c>
      <c r="I210" s="156" t="s">
        <v>516</v>
      </c>
      <c r="J210" s="52" t="s">
        <v>977</v>
      </c>
      <c r="K210" s="52" t="s">
        <v>978</v>
      </c>
      <c r="L210" s="52" t="s">
        <v>979</v>
      </c>
      <c r="M210" s="52" t="s">
        <v>650</v>
      </c>
      <c r="N210" s="52" t="s">
        <v>650</v>
      </c>
    </row>
    <row r="211">
      <c r="A211" s="47">
        <v>207.0</v>
      </c>
      <c r="B211" s="93" t="s">
        <v>255</v>
      </c>
      <c r="C211" s="49" t="s">
        <v>249</v>
      </c>
      <c r="D211" s="64"/>
      <c r="E211" s="158" t="s">
        <v>516</v>
      </c>
      <c r="F211" s="159" t="s">
        <v>980</v>
      </c>
      <c r="G211" s="159" t="s">
        <v>516</v>
      </c>
      <c r="H211" s="159" t="s">
        <v>981</v>
      </c>
      <c r="I211" s="159" t="s">
        <v>516</v>
      </c>
      <c r="J211" s="52" t="s">
        <v>982</v>
      </c>
      <c r="K211" s="52" t="s">
        <v>950</v>
      </c>
      <c r="L211" s="52" t="s">
        <v>983</v>
      </c>
      <c r="M211" s="52" t="s">
        <v>650</v>
      </c>
      <c r="N211" s="52" t="s">
        <v>650</v>
      </c>
    </row>
    <row r="212">
      <c r="A212" s="47">
        <v>208.0</v>
      </c>
      <c r="B212" s="101" t="s">
        <v>256</v>
      </c>
      <c r="C212" s="49" t="s">
        <v>249</v>
      </c>
      <c r="D212" s="59"/>
      <c r="E212" s="158" t="s">
        <v>516</v>
      </c>
      <c r="F212" s="159" t="s">
        <v>984</v>
      </c>
      <c r="G212" s="159" t="s">
        <v>516</v>
      </c>
      <c r="H212" s="159" t="s">
        <v>985</v>
      </c>
      <c r="I212" s="159" t="s">
        <v>516</v>
      </c>
      <c r="J212" s="52" t="s">
        <v>986</v>
      </c>
      <c r="K212" s="52" t="s">
        <v>968</v>
      </c>
      <c r="L212" s="52" t="s">
        <v>987</v>
      </c>
      <c r="M212" s="52" t="s">
        <v>650</v>
      </c>
      <c r="N212" s="52" t="s">
        <v>650</v>
      </c>
    </row>
    <row r="213">
      <c r="A213" s="47">
        <v>209.0</v>
      </c>
      <c r="B213" s="101" t="s">
        <v>257</v>
      </c>
      <c r="C213" s="49" t="s">
        <v>258</v>
      </c>
      <c r="D213" s="114"/>
      <c r="E213" s="158" t="s">
        <v>516</v>
      </c>
      <c r="F213" s="159" t="s">
        <v>988</v>
      </c>
      <c r="G213" s="159" t="s">
        <v>989</v>
      </c>
      <c r="H213" s="159" t="s">
        <v>990</v>
      </c>
      <c r="I213" s="159" t="s">
        <v>309</v>
      </c>
      <c r="J213" s="52" t="s">
        <v>309</v>
      </c>
      <c r="K213" s="52" t="s">
        <v>991</v>
      </c>
      <c r="L213" s="52" t="s">
        <v>991</v>
      </c>
      <c r="M213" s="52">
        <v>0.0</v>
      </c>
      <c r="N213" s="52">
        <v>0.0</v>
      </c>
    </row>
    <row r="214">
      <c r="A214" s="47">
        <v>210.0</v>
      </c>
      <c r="B214" s="93" t="s">
        <v>259</v>
      </c>
      <c r="C214" s="49" t="s">
        <v>258</v>
      </c>
      <c r="D214" s="59"/>
      <c r="E214" s="158" t="s">
        <v>516</v>
      </c>
      <c r="F214" s="159" t="s">
        <v>992</v>
      </c>
      <c r="G214" s="159" t="s">
        <v>516</v>
      </c>
      <c r="H214" s="159" t="s">
        <v>993</v>
      </c>
      <c r="I214" s="159" t="s">
        <v>516</v>
      </c>
      <c r="J214" s="52" t="s">
        <v>994</v>
      </c>
      <c r="K214" s="52" t="s">
        <v>995</v>
      </c>
      <c r="L214" s="52" t="s">
        <v>996</v>
      </c>
      <c r="M214" s="52">
        <v>0.0</v>
      </c>
      <c r="N214" s="52">
        <v>0.0</v>
      </c>
    </row>
    <row r="215">
      <c r="A215" s="47">
        <v>211.0</v>
      </c>
      <c r="B215" s="93" t="s">
        <v>260</v>
      </c>
      <c r="C215" s="49" t="s">
        <v>258</v>
      </c>
      <c r="D215" s="64"/>
      <c r="E215" s="158" t="s">
        <v>516</v>
      </c>
      <c r="F215" s="159" t="s">
        <v>997</v>
      </c>
      <c r="G215" s="159" t="s">
        <v>516</v>
      </c>
      <c r="H215" s="159" t="s">
        <v>998</v>
      </c>
      <c r="I215" s="159" t="s">
        <v>516</v>
      </c>
      <c r="J215" s="52" t="s">
        <v>999</v>
      </c>
      <c r="K215" s="52" t="s">
        <v>1000</v>
      </c>
      <c r="L215" s="52" t="s">
        <v>1001</v>
      </c>
      <c r="M215" s="52">
        <v>0.0</v>
      </c>
      <c r="N215" s="52">
        <v>0.0</v>
      </c>
    </row>
    <row r="216">
      <c r="A216" s="47">
        <v>212.0</v>
      </c>
      <c r="B216" s="101" t="s">
        <v>261</v>
      </c>
      <c r="C216" s="49" t="s">
        <v>258</v>
      </c>
      <c r="D216" s="59"/>
      <c r="E216" s="158" t="s">
        <v>516</v>
      </c>
      <c r="F216" s="159" t="s">
        <v>1002</v>
      </c>
      <c r="G216" s="159" t="s">
        <v>516</v>
      </c>
      <c r="H216" s="159" t="s">
        <v>1003</v>
      </c>
      <c r="I216" s="159" t="s">
        <v>516</v>
      </c>
      <c r="J216" s="52" t="s">
        <v>1004</v>
      </c>
      <c r="K216" s="52" t="s">
        <v>1005</v>
      </c>
      <c r="L216" s="52" t="s">
        <v>1006</v>
      </c>
      <c r="M216" s="52">
        <v>0.33</v>
      </c>
      <c r="N216" s="52" t="s">
        <v>1007</v>
      </c>
    </row>
    <row r="217">
      <c r="A217" s="47">
        <v>213.0</v>
      </c>
      <c r="B217" s="123" t="s">
        <v>262</v>
      </c>
      <c r="C217" s="49" t="s">
        <v>258</v>
      </c>
      <c r="D217" s="59"/>
      <c r="E217" s="158" t="s">
        <v>516</v>
      </c>
      <c r="F217" s="159" t="s">
        <v>1008</v>
      </c>
      <c r="G217" s="159" t="s">
        <v>516</v>
      </c>
      <c r="H217" s="159" t="s">
        <v>1009</v>
      </c>
      <c r="I217" s="159" t="s">
        <v>516</v>
      </c>
      <c r="J217" s="52" t="s">
        <v>1010</v>
      </c>
      <c r="K217" s="52" t="s">
        <v>1011</v>
      </c>
      <c r="L217" s="52" t="s">
        <v>1012</v>
      </c>
      <c r="M217" s="52">
        <v>0.33</v>
      </c>
      <c r="N217" s="52" t="s">
        <v>1013</v>
      </c>
    </row>
    <row r="218">
      <c r="A218" s="47">
        <v>214.0</v>
      </c>
      <c r="B218" s="101" t="s">
        <v>263</v>
      </c>
      <c r="C218" s="49" t="s">
        <v>258</v>
      </c>
      <c r="D218" s="59"/>
      <c r="E218" s="158" t="s">
        <v>516</v>
      </c>
      <c r="F218" s="159" t="s">
        <v>1014</v>
      </c>
      <c r="G218" s="159" t="s">
        <v>516</v>
      </c>
      <c r="H218" s="159" t="s">
        <v>1015</v>
      </c>
      <c r="I218" s="159" t="s">
        <v>516</v>
      </c>
      <c r="J218" s="52" t="s">
        <v>1016</v>
      </c>
      <c r="K218" s="52" t="s">
        <v>1017</v>
      </c>
      <c r="L218" s="52" t="s">
        <v>1018</v>
      </c>
      <c r="M218" s="52">
        <v>0.0</v>
      </c>
      <c r="N218" s="52">
        <v>0.0</v>
      </c>
    </row>
    <row r="219">
      <c r="A219" s="47">
        <v>215.0</v>
      </c>
      <c r="B219" s="101" t="s">
        <v>264</v>
      </c>
      <c r="C219" s="49" t="s">
        <v>258</v>
      </c>
      <c r="D219" s="59"/>
      <c r="E219" s="89" t="s">
        <v>516</v>
      </c>
      <c r="F219" s="156" t="s">
        <v>1019</v>
      </c>
      <c r="G219" s="156" t="s">
        <v>516</v>
      </c>
      <c r="H219" s="156" t="s">
        <v>1020</v>
      </c>
      <c r="I219" s="156" t="s">
        <v>516</v>
      </c>
      <c r="J219" s="52" t="s">
        <v>1021</v>
      </c>
      <c r="K219" s="52" t="s">
        <v>1022</v>
      </c>
      <c r="L219" s="52" t="s">
        <v>1023</v>
      </c>
      <c r="M219" s="52">
        <v>1.0</v>
      </c>
      <c r="N219" s="52" t="s">
        <v>1024</v>
      </c>
    </row>
    <row r="220">
      <c r="A220" s="47">
        <v>216.0</v>
      </c>
      <c r="B220" s="101" t="s">
        <v>265</v>
      </c>
      <c r="C220" s="49" t="s">
        <v>258</v>
      </c>
      <c r="D220" s="59"/>
      <c r="E220" s="158" t="s">
        <v>516</v>
      </c>
      <c r="F220" s="159" t="s">
        <v>1025</v>
      </c>
      <c r="G220" s="159" t="s">
        <v>516</v>
      </c>
      <c r="H220" s="159" t="s">
        <v>1026</v>
      </c>
      <c r="I220" s="159" t="s">
        <v>516</v>
      </c>
      <c r="J220" s="52" t="s">
        <v>1027</v>
      </c>
      <c r="K220" s="52" t="s">
        <v>1028</v>
      </c>
      <c r="L220" s="52" t="s">
        <v>1029</v>
      </c>
      <c r="M220" s="52">
        <v>0.0</v>
      </c>
      <c r="N220" s="52">
        <v>0.0</v>
      </c>
    </row>
    <row r="221">
      <c r="A221" s="47">
        <v>217.0</v>
      </c>
      <c r="B221" s="101" t="s">
        <v>266</v>
      </c>
      <c r="C221" s="49" t="s">
        <v>258</v>
      </c>
      <c r="D221" s="59"/>
      <c r="E221" s="158" t="s">
        <v>516</v>
      </c>
      <c r="F221" s="159" t="s">
        <v>1030</v>
      </c>
      <c r="G221" s="159" t="s">
        <v>516</v>
      </c>
      <c r="H221" s="159" t="s">
        <v>1031</v>
      </c>
      <c r="I221" s="159" t="s">
        <v>516</v>
      </c>
      <c r="J221" s="52" t="s">
        <v>1032</v>
      </c>
      <c r="K221" s="52" t="s">
        <v>1022</v>
      </c>
      <c r="L221" s="52" t="s">
        <v>1033</v>
      </c>
      <c r="M221" s="52">
        <v>0.33</v>
      </c>
      <c r="N221" s="52" t="s">
        <v>1034</v>
      </c>
    </row>
    <row r="222">
      <c r="A222" s="47">
        <v>218.0</v>
      </c>
      <c r="B222" s="101" t="s">
        <v>267</v>
      </c>
      <c r="C222" s="49" t="s">
        <v>258</v>
      </c>
      <c r="D222" s="59"/>
      <c r="E222" s="158" t="s">
        <v>516</v>
      </c>
      <c r="F222" s="159" t="s">
        <v>1035</v>
      </c>
      <c r="G222" s="159" t="s">
        <v>516</v>
      </c>
      <c r="H222" s="159" t="s">
        <v>1036</v>
      </c>
      <c r="I222" s="159" t="s">
        <v>516</v>
      </c>
      <c r="J222" s="52" t="s">
        <v>1037</v>
      </c>
      <c r="K222" s="52" t="s">
        <v>516</v>
      </c>
      <c r="L222" s="52" t="s">
        <v>1038</v>
      </c>
      <c r="M222" s="52">
        <v>0.0</v>
      </c>
      <c r="N222" s="52">
        <v>0.0</v>
      </c>
    </row>
    <row r="223">
      <c r="A223" s="47">
        <v>219.0</v>
      </c>
      <c r="B223" s="101" t="s">
        <v>268</v>
      </c>
      <c r="C223" s="49" t="s">
        <v>258</v>
      </c>
      <c r="D223" s="64"/>
      <c r="E223" s="158" t="s">
        <v>516</v>
      </c>
      <c r="F223" s="159" t="s">
        <v>1039</v>
      </c>
      <c r="G223" s="159" t="s">
        <v>516</v>
      </c>
      <c r="H223" s="159" t="s">
        <v>1040</v>
      </c>
      <c r="I223" s="159" t="s">
        <v>516</v>
      </c>
      <c r="J223" s="52" t="s">
        <v>1041</v>
      </c>
      <c r="K223" s="52" t="s">
        <v>1042</v>
      </c>
      <c r="L223" s="52" t="s">
        <v>1043</v>
      </c>
      <c r="M223" s="52">
        <v>0.5</v>
      </c>
      <c r="N223" s="52" t="s">
        <v>1044</v>
      </c>
    </row>
    <row r="224">
      <c r="A224" s="47">
        <v>220.0</v>
      </c>
      <c r="B224" s="101" t="s">
        <v>269</v>
      </c>
      <c r="C224" s="49" t="s">
        <v>258</v>
      </c>
      <c r="D224" s="64"/>
      <c r="E224" s="158" t="s">
        <v>516</v>
      </c>
      <c r="F224" s="159" t="s">
        <v>1045</v>
      </c>
      <c r="G224" s="159" t="s">
        <v>516</v>
      </c>
      <c r="H224" s="159" t="s">
        <v>1046</v>
      </c>
      <c r="I224" s="159" t="s">
        <v>516</v>
      </c>
      <c r="J224" s="52" t="s">
        <v>1047</v>
      </c>
      <c r="K224" s="52" t="s">
        <v>1022</v>
      </c>
      <c r="L224" s="52" t="s">
        <v>1048</v>
      </c>
      <c r="M224" s="52">
        <v>0.67</v>
      </c>
      <c r="N224" s="52" t="s">
        <v>1049</v>
      </c>
    </row>
    <row r="225">
      <c r="A225" s="47">
        <v>221.0</v>
      </c>
      <c r="B225" s="138" t="s">
        <v>270</v>
      </c>
      <c r="C225" s="49" t="s">
        <v>258</v>
      </c>
      <c r="D225" s="59"/>
      <c r="E225" s="158" t="s">
        <v>516</v>
      </c>
      <c r="F225" s="159" t="s">
        <v>1050</v>
      </c>
      <c r="G225" s="159" t="s">
        <v>516</v>
      </c>
      <c r="H225" s="159" t="s">
        <v>1051</v>
      </c>
      <c r="I225" s="159" t="s">
        <v>516</v>
      </c>
      <c r="J225" s="52" t="s">
        <v>1052</v>
      </c>
      <c r="K225" s="52" t="s">
        <v>1053</v>
      </c>
      <c r="L225" s="52" t="s">
        <v>1054</v>
      </c>
      <c r="M225" s="52">
        <v>0.67</v>
      </c>
      <c r="N225" s="52" t="s">
        <v>1055</v>
      </c>
    </row>
    <row r="226">
      <c r="A226" s="47">
        <v>222.0</v>
      </c>
      <c r="B226" s="123" t="s">
        <v>271</v>
      </c>
      <c r="C226" s="49" t="s">
        <v>258</v>
      </c>
      <c r="D226" s="64"/>
      <c r="E226" s="158" t="s">
        <v>516</v>
      </c>
      <c r="F226" s="159" t="s">
        <v>1056</v>
      </c>
      <c r="G226" s="159" t="s">
        <v>516</v>
      </c>
      <c r="H226" s="159" t="s">
        <v>1057</v>
      </c>
      <c r="I226" s="159" t="s">
        <v>516</v>
      </c>
      <c r="J226" s="52" t="s">
        <v>1058</v>
      </c>
      <c r="K226" s="52" t="s">
        <v>1059</v>
      </c>
      <c r="L226" s="52" t="s">
        <v>1060</v>
      </c>
      <c r="M226" s="52">
        <v>0.0</v>
      </c>
      <c r="N226" s="52">
        <v>0.0</v>
      </c>
    </row>
    <row r="227">
      <c r="A227" s="47">
        <v>223.0</v>
      </c>
      <c r="B227" s="101" t="s">
        <v>272</v>
      </c>
      <c r="C227" s="49" t="s">
        <v>258</v>
      </c>
      <c r="D227" s="59"/>
      <c r="E227" s="89" t="s">
        <v>516</v>
      </c>
      <c r="F227" s="156" t="s">
        <v>1061</v>
      </c>
      <c r="G227" s="156" t="s">
        <v>516</v>
      </c>
      <c r="H227" s="156" t="s">
        <v>1062</v>
      </c>
      <c r="I227" s="156" t="s">
        <v>516</v>
      </c>
      <c r="J227" s="52" t="s">
        <v>1063</v>
      </c>
      <c r="K227" s="52" t="s">
        <v>1064</v>
      </c>
      <c r="L227" s="52" t="s">
        <v>1065</v>
      </c>
      <c r="M227" s="52">
        <v>0.0</v>
      </c>
      <c r="N227" s="52">
        <v>0.0</v>
      </c>
    </row>
    <row r="228">
      <c r="A228" s="47">
        <v>224.0</v>
      </c>
      <c r="B228" s="139" t="s">
        <v>273</v>
      </c>
      <c r="C228" s="49" t="s">
        <v>274</v>
      </c>
      <c r="D228" s="59"/>
      <c r="E228" s="166" t="s">
        <v>516</v>
      </c>
      <c r="F228" s="167" t="s">
        <v>1066</v>
      </c>
      <c r="G228" s="166" t="s">
        <v>516</v>
      </c>
      <c r="H228" s="167" t="s">
        <v>1067</v>
      </c>
      <c r="I228" s="166" t="s">
        <v>516</v>
      </c>
      <c r="J228" s="167" t="s">
        <v>1068</v>
      </c>
      <c r="K228" s="166" t="s">
        <v>1069</v>
      </c>
      <c r="L228" s="166" t="s">
        <v>1069</v>
      </c>
      <c r="M228" s="168" t="s">
        <v>1070</v>
      </c>
      <c r="N228" s="169"/>
    </row>
    <row r="229">
      <c r="A229" s="47">
        <v>225.0</v>
      </c>
      <c r="B229" s="139" t="s">
        <v>275</v>
      </c>
      <c r="C229" s="49" t="s">
        <v>274</v>
      </c>
      <c r="D229" s="59"/>
      <c r="E229" s="166" t="s">
        <v>516</v>
      </c>
      <c r="F229" s="167" t="s">
        <v>1071</v>
      </c>
      <c r="G229" s="166" t="s">
        <v>516</v>
      </c>
      <c r="H229" s="167" t="s">
        <v>1072</v>
      </c>
      <c r="I229" s="166" t="s">
        <v>516</v>
      </c>
      <c r="J229" s="167" t="s">
        <v>1073</v>
      </c>
      <c r="K229" s="166" t="s">
        <v>1074</v>
      </c>
      <c r="L229" s="166" t="s">
        <v>1075</v>
      </c>
      <c r="M229" s="166">
        <v>1.0</v>
      </c>
      <c r="N229" s="167" t="s">
        <v>1076</v>
      </c>
    </row>
    <row r="230">
      <c r="A230" s="47">
        <v>226.0</v>
      </c>
      <c r="B230" s="139" t="s">
        <v>276</v>
      </c>
      <c r="C230" s="49" t="s">
        <v>274</v>
      </c>
      <c r="D230" s="59"/>
      <c r="E230" s="166" t="s">
        <v>516</v>
      </c>
      <c r="F230" s="167" t="s">
        <v>1077</v>
      </c>
      <c r="G230" s="166" t="s">
        <v>516</v>
      </c>
      <c r="H230" s="167" t="s">
        <v>1078</v>
      </c>
      <c r="I230" s="166" t="s">
        <v>516</v>
      </c>
      <c r="J230" s="167" t="s">
        <v>1079</v>
      </c>
      <c r="K230" s="166" t="s">
        <v>1080</v>
      </c>
      <c r="L230" s="166" t="s">
        <v>1081</v>
      </c>
      <c r="M230" s="170"/>
      <c r="N230" s="170"/>
    </row>
    <row r="231">
      <c r="A231" s="47">
        <v>227.0</v>
      </c>
      <c r="B231" s="139" t="s">
        <v>277</v>
      </c>
      <c r="C231" s="49" t="s">
        <v>274</v>
      </c>
      <c r="D231" s="59"/>
      <c r="E231" s="166" t="s">
        <v>516</v>
      </c>
      <c r="F231" s="167" t="s">
        <v>1082</v>
      </c>
      <c r="G231" s="166" t="s">
        <v>516</v>
      </c>
      <c r="H231" s="167" t="s">
        <v>1078</v>
      </c>
      <c r="I231" s="166" t="s">
        <v>516</v>
      </c>
      <c r="J231" s="167" t="s">
        <v>1083</v>
      </c>
      <c r="K231" s="166" t="s">
        <v>1084</v>
      </c>
      <c r="L231" s="167" t="s">
        <v>1085</v>
      </c>
      <c r="M231" s="171"/>
      <c r="N231" s="169"/>
    </row>
    <row r="232">
      <c r="A232" s="47">
        <v>228.0</v>
      </c>
      <c r="B232" s="139" t="s">
        <v>278</v>
      </c>
      <c r="C232" s="49" t="s">
        <v>274</v>
      </c>
      <c r="D232" s="59"/>
      <c r="E232" s="166" t="s">
        <v>516</v>
      </c>
      <c r="F232" s="167" t="s">
        <v>1086</v>
      </c>
      <c r="G232" s="166" t="s">
        <v>516</v>
      </c>
      <c r="H232" s="167" t="s">
        <v>1087</v>
      </c>
      <c r="I232" s="166" t="s">
        <v>516</v>
      </c>
      <c r="J232" s="167" t="s">
        <v>1088</v>
      </c>
      <c r="K232" s="166" t="s">
        <v>1089</v>
      </c>
      <c r="L232" s="167" t="s">
        <v>1090</v>
      </c>
      <c r="M232" s="171"/>
      <c r="N232" s="169"/>
    </row>
    <row r="233">
      <c r="A233" s="47">
        <v>229.0</v>
      </c>
      <c r="B233" s="139" t="s">
        <v>279</v>
      </c>
      <c r="C233" s="49" t="s">
        <v>274</v>
      </c>
      <c r="D233" s="59"/>
      <c r="E233" s="166" t="s">
        <v>516</v>
      </c>
      <c r="F233" s="167" t="s">
        <v>1091</v>
      </c>
      <c r="G233" s="166" t="s">
        <v>516</v>
      </c>
      <c r="H233" s="167" t="s">
        <v>1092</v>
      </c>
      <c r="I233" s="166" t="s">
        <v>1093</v>
      </c>
      <c r="J233" s="167" t="s">
        <v>1094</v>
      </c>
      <c r="K233" s="166" t="s">
        <v>1095</v>
      </c>
      <c r="L233" s="166" t="s">
        <v>1096</v>
      </c>
      <c r="M233" s="168" t="s">
        <v>1097</v>
      </c>
      <c r="N233" s="167" t="s">
        <v>1098</v>
      </c>
    </row>
    <row r="234">
      <c r="A234" s="47">
        <v>230.0</v>
      </c>
      <c r="B234" s="139" t="s">
        <v>280</v>
      </c>
      <c r="C234" s="49" t="s">
        <v>274</v>
      </c>
      <c r="D234" s="59"/>
      <c r="E234" s="166" t="s">
        <v>516</v>
      </c>
      <c r="F234" s="167" t="s">
        <v>1099</v>
      </c>
      <c r="G234" s="166" t="s">
        <v>516</v>
      </c>
      <c r="H234" s="167" t="s">
        <v>1100</v>
      </c>
      <c r="I234" s="166" t="s">
        <v>516</v>
      </c>
      <c r="J234" s="167" t="s">
        <v>1101</v>
      </c>
      <c r="K234" s="166" t="s">
        <v>1089</v>
      </c>
      <c r="L234" s="167" t="s">
        <v>1102</v>
      </c>
      <c r="M234" s="171"/>
      <c r="N234" s="169"/>
    </row>
    <row r="235">
      <c r="A235" s="47">
        <v>231.0</v>
      </c>
      <c r="B235" s="123" t="s">
        <v>281</v>
      </c>
      <c r="C235" s="49" t="s">
        <v>282</v>
      </c>
      <c r="D235" s="59"/>
      <c r="E235" s="89" t="s">
        <v>516</v>
      </c>
      <c r="F235" s="89" t="s">
        <v>1103</v>
      </c>
      <c r="G235" s="89" t="s">
        <v>516</v>
      </c>
      <c r="H235" s="89" t="s">
        <v>1104</v>
      </c>
      <c r="I235" s="89" t="s">
        <v>950</v>
      </c>
      <c r="J235" s="52" t="s">
        <v>1105</v>
      </c>
      <c r="K235" s="52" t="s">
        <v>952</v>
      </c>
      <c r="L235" s="52" t="s">
        <v>953</v>
      </c>
      <c r="M235" s="52" t="s">
        <v>650</v>
      </c>
      <c r="N235" s="52" t="s">
        <v>650</v>
      </c>
    </row>
    <row r="236">
      <c r="A236" s="47">
        <v>232.0</v>
      </c>
      <c r="B236" s="138" t="s">
        <v>283</v>
      </c>
      <c r="C236" s="49" t="s">
        <v>282</v>
      </c>
      <c r="D236" s="59"/>
      <c r="E236" s="89" t="s">
        <v>516</v>
      </c>
      <c r="F236" s="89" t="s">
        <v>1106</v>
      </c>
      <c r="G236" s="89" t="s">
        <v>516</v>
      </c>
      <c r="H236" s="89" t="s">
        <v>1107</v>
      </c>
      <c r="I236" s="89" t="s">
        <v>516</v>
      </c>
      <c r="J236" s="52" t="s">
        <v>1108</v>
      </c>
      <c r="K236" s="52" t="s">
        <v>934</v>
      </c>
      <c r="L236" s="52" t="s">
        <v>1109</v>
      </c>
      <c r="M236" s="52" t="s">
        <v>650</v>
      </c>
      <c r="N236" s="52" t="s">
        <v>650</v>
      </c>
    </row>
    <row r="237">
      <c r="A237" s="47">
        <v>233.0</v>
      </c>
      <c r="B237" s="123" t="s">
        <v>284</v>
      </c>
      <c r="C237" s="49" t="s">
        <v>282</v>
      </c>
      <c r="D237" s="59"/>
      <c r="E237" s="89" t="s">
        <v>516</v>
      </c>
      <c r="F237" s="89" t="s">
        <v>1110</v>
      </c>
      <c r="G237" s="89" t="s">
        <v>516</v>
      </c>
      <c r="H237" s="89" t="s">
        <v>1111</v>
      </c>
      <c r="I237" s="89" t="s">
        <v>516</v>
      </c>
      <c r="J237" s="52" t="s">
        <v>1112</v>
      </c>
      <c r="K237" s="52" t="s">
        <v>968</v>
      </c>
      <c r="L237" s="52" t="s">
        <v>1113</v>
      </c>
      <c r="M237" s="52" t="s">
        <v>650</v>
      </c>
      <c r="N237" s="52" t="s">
        <v>650</v>
      </c>
    </row>
    <row r="238">
      <c r="A238" s="47">
        <v>234.0</v>
      </c>
      <c r="B238" s="123" t="s">
        <v>285</v>
      </c>
      <c r="C238" s="49" t="s">
        <v>282</v>
      </c>
      <c r="D238" s="64"/>
      <c r="E238" s="89" t="s">
        <v>516</v>
      </c>
      <c r="F238" s="89" t="s">
        <v>1114</v>
      </c>
      <c r="G238" s="89" t="s">
        <v>516</v>
      </c>
      <c r="H238" s="89" t="s">
        <v>1115</v>
      </c>
      <c r="I238" s="89" t="s">
        <v>516</v>
      </c>
      <c r="J238" s="52" t="s">
        <v>1116</v>
      </c>
      <c r="K238" s="52" t="s">
        <v>962</v>
      </c>
      <c r="L238" s="52" t="s">
        <v>962</v>
      </c>
      <c r="M238" s="52" t="s">
        <v>793</v>
      </c>
      <c r="N238" s="52" t="s">
        <v>1117</v>
      </c>
    </row>
    <row r="239">
      <c r="A239" s="47">
        <v>235.0</v>
      </c>
      <c r="B239" s="123" t="s">
        <v>286</v>
      </c>
      <c r="C239" s="49" t="s">
        <v>282</v>
      </c>
      <c r="D239" s="59"/>
      <c r="E239" s="89" t="s">
        <v>516</v>
      </c>
      <c r="F239" s="89" t="s">
        <v>1118</v>
      </c>
      <c r="G239" s="89" t="s">
        <v>516</v>
      </c>
      <c r="H239" s="89" t="s">
        <v>1119</v>
      </c>
      <c r="I239" s="89" t="s">
        <v>516</v>
      </c>
      <c r="J239" s="52" t="s">
        <v>1120</v>
      </c>
      <c r="K239" s="52" t="s">
        <v>1121</v>
      </c>
      <c r="L239" s="52" t="s">
        <v>1122</v>
      </c>
      <c r="M239" s="52" t="s">
        <v>650</v>
      </c>
      <c r="N239" s="52" t="s">
        <v>650</v>
      </c>
    </row>
    <row r="240">
      <c r="A240" s="47">
        <v>236.0</v>
      </c>
      <c r="B240" s="123" t="s">
        <v>287</v>
      </c>
      <c r="C240" s="49" t="s">
        <v>282</v>
      </c>
      <c r="D240" s="59"/>
      <c r="E240" s="89" t="s">
        <v>516</v>
      </c>
      <c r="F240" s="89" t="s">
        <v>1123</v>
      </c>
      <c r="G240" s="89" t="s">
        <v>516</v>
      </c>
      <c r="H240" s="89" t="s">
        <v>1124</v>
      </c>
      <c r="I240" s="89" t="s">
        <v>516</v>
      </c>
      <c r="J240" s="52" t="s">
        <v>1125</v>
      </c>
      <c r="K240" s="52" t="s">
        <v>1126</v>
      </c>
      <c r="L240" s="52" t="s">
        <v>1127</v>
      </c>
      <c r="M240" s="52" t="s">
        <v>650</v>
      </c>
      <c r="N240" s="52" t="s">
        <v>650</v>
      </c>
    </row>
    <row r="241">
      <c r="A241" s="47">
        <v>237.0</v>
      </c>
      <c r="B241" s="123" t="s">
        <v>288</v>
      </c>
      <c r="C241" s="49" t="s">
        <v>282</v>
      </c>
      <c r="D241" s="59"/>
      <c r="E241" s="89" t="s">
        <v>516</v>
      </c>
      <c r="F241" s="89" t="s">
        <v>1128</v>
      </c>
      <c r="G241" s="89" t="s">
        <v>516</v>
      </c>
      <c r="H241" s="89" t="s">
        <v>1129</v>
      </c>
      <c r="I241" s="89" t="s">
        <v>516</v>
      </c>
      <c r="J241" s="52" t="s">
        <v>1130</v>
      </c>
      <c r="K241" s="52" t="s">
        <v>968</v>
      </c>
      <c r="L241" s="52" t="s">
        <v>1131</v>
      </c>
      <c r="M241" s="52" t="s">
        <v>650</v>
      </c>
      <c r="N241" s="52" t="s">
        <v>650</v>
      </c>
    </row>
    <row r="242">
      <c r="A242" s="47">
        <v>238.0</v>
      </c>
      <c r="B242" s="143" t="s">
        <v>289</v>
      </c>
      <c r="C242" s="49" t="s">
        <v>282</v>
      </c>
      <c r="D242" s="59"/>
      <c r="E242" s="52" t="s">
        <v>516</v>
      </c>
      <c r="F242" s="52" t="s">
        <v>1132</v>
      </c>
      <c r="G242" s="52" t="s">
        <v>516</v>
      </c>
      <c r="H242" s="52" t="s">
        <v>1133</v>
      </c>
      <c r="I242" s="52" t="s">
        <v>1134</v>
      </c>
      <c r="J242" s="52" t="s">
        <v>1135</v>
      </c>
      <c r="K242" s="52" t="s">
        <v>526</v>
      </c>
      <c r="L242" s="52" t="s">
        <v>526</v>
      </c>
      <c r="M242" s="52" t="s">
        <v>650</v>
      </c>
      <c r="N242" s="52" t="s">
        <v>650</v>
      </c>
    </row>
    <row r="243">
      <c r="A243" s="96"/>
      <c r="B243" s="145"/>
      <c r="C243" s="146"/>
      <c r="D243" s="59"/>
      <c r="E243" s="96"/>
      <c r="F243" s="96"/>
      <c r="G243" s="96"/>
      <c r="H243" s="96"/>
      <c r="I243" s="96"/>
      <c r="J243" s="96"/>
      <c r="K243" s="96"/>
      <c r="L243" s="96"/>
      <c r="M243" s="96"/>
      <c r="N243" s="96"/>
    </row>
    <row r="244">
      <c r="A244" s="96"/>
      <c r="B244" s="145"/>
      <c r="C244" s="146"/>
      <c r="D244" s="59"/>
      <c r="E244" s="96"/>
      <c r="F244" s="96"/>
      <c r="G244" s="96"/>
      <c r="H244" s="96"/>
      <c r="I244" s="96"/>
      <c r="J244" s="96"/>
      <c r="K244" s="96"/>
      <c r="L244" s="96"/>
      <c r="M244" s="96"/>
      <c r="N244" s="96"/>
    </row>
    <row r="245">
      <c r="A245" s="96"/>
      <c r="B245" s="145"/>
      <c r="C245" s="146"/>
      <c r="D245" s="59"/>
      <c r="E245" s="96"/>
      <c r="F245" s="96"/>
      <c r="G245" s="96"/>
      <c r="H245" s="96"/>
      <c r="I245" s="96"/>
      <c r="J245" s="96"/>
      <c r="K245" s="96"/>
      <c r="L245" s="96"/>
      <c r="M245" s="96"/>
      <c r="N245" s="96"/>
    </row>
    <row r="246">
      <c r="A246" s="96"/>
      <c r="B246" s="145"/>
      <c r="C246" s="146"/>
      <c r="D246" s="59"/>
      <c r="E246" s="96"/>
      <c r="F246" s="96"/>
      <c r="G246" s="96"/>
      <c r="H246" s="96"/>
      <c r="I246" s="96"/>
      <c r="J246" s="96"/>
      <c r="K246" s="96"/>
      <c r="L246" s="96"/>
      <c r="M246" s="96"/>
      <c r="N246" s="96"/>
    </row>
    <row r="247">
      <c r="A247" s="96"/>
      <c r="B247" s="145"/>
      <c r="C247" s="146"/>
      <c r="D247" s="59"/>
      <c r="E247" s="96"/>
      <c r="F247" s="96"/>
      <c r="G247" s="96"/>
      <c r="H247" s="96"/>
      <c r="I247" s="96"/>
      <c r="J247" s="96"/>
      <c r="K247" s="96"/>
      <c r="L247" s="96"/>
      <c r="M247" s="96"/>
      <c r="N247" s="96"/>
    </row>
    <row r="248">
      <c r="A248" s="96"/>
      <c r="B248" s="145"/>
      <c r="C248" s="146"/>
      <c r="D248" s="59"/>
      <c r="E248" s="96"/>
      <c r="F248" s="96"/>
      <c r="G248" s="96"/>
      <c r="H248" s="96"/>
      <c r="I248" s="96"/>
      <c r="J248" s="96"/>
      <c r="K248" s="96"/>
      <c r="L248" s="96"/>
      <c r="M248" s="96"/>
      <c r="N248" s="96"/>
    </row>
    <row r="249">
      <c r="A249" s="96"/>
      <c r="B249" s="145"/>
      <c r="C249" s="146"/>
      <c r="D249" s="59"/>
      <c r="E249" s="96"/>
      <c r="F249" s="96"/>
      <c r="G249" s="96"/>
      <c r="H249" s="96"/>
      <c r="I249" s="96"/>
      <c r="J249" s="96"/>
      <c r="K249" s="96"/>
      <c r="L249" s="96"/>
      <c r="M249" s="96"/>
      <c r="N249" s="96"/>
    </row>
    <row r="250">
      <c r="A250" s="96"/>
      <c r="B250" s="145"/>
      <c r="C250" s="146"/>
      <c r="D250" s="59"/>
      <c r="E250" s="96"/>
      <c r="F250" s="96"/>
      <c r="G250" s="96"/>
      <c r="H250" s="96"/>
      <c r="I250" s="96"/>
      <c r="J250" s="96"/>
      <c r="K250" s="96"/>
      <c r="L250" s="96"/>
      <c r="M250" s="96"/>
      <c r="N250" s="96"/>
    </row>
    <row r="251">
      <c r="A251" s="96"/>
      <c r="B251" s="145"/>
      <c r="C251" s="146"/>
      <c r="D251" s="59"/>
      <c r="E251" s="96"/>
      <c r="F251" s="96"/>
      <c r="G251" s="96"/>
      <c r="H251" s="96"/>
      <c r="I251" s="96"/>
      <c r="J251" s="96"/>
      <c r="K251" s="96"/>
      <c r="L251" s="96"/>
      <c r="M251" s="96"/>
      <c r="N251" s="96"/>
    </row>
    <row r="252">
      <c r="A252" s="96"/>
      <c r="B252" s="145"/>
      <c r="C252" s="146"/>
      <c r="D252" s="59"/>
      <c r="E252" s="96"/>
      <c r="F252" s="96"/>
      <c r="G252" s="96"/>
      <c r="H252" s="96"/>
      <c r="I252" s="96"/>
      <c r="J252" s="96"/>
      <c r="K252" s="96"/>
      <c r="L252" s="96"/>
      <c r="M252" s="96"/>
      <c r="N252" s="96"/>
    </row>
    <row r="253">
      <c r="A253" s="96"/>
      <c r="B253" s="145"/>
      <c r="C253" s="146"/>
      <c r="D253" s="59"/>
      <c r="E253" s="96"/>
      <c r="F253" s="96"/>
      <c r="G253" s="96"/>
      <c r="H253" s="96"/>
      <c r="I253" s="96"/>
      <c r="J253" s="96"/>
      <c r="K253" s="96"/>
      <c r="L253" s="96"/>
      <c r="M253" s="96"/>
      <c r="N253" s="96"/>
    </row>
    <row r="254">
      <c r="A254" s="96"/>
      <c r="B254" s="145"/>
      <c r="C254" s="146"/>
      <c r="D254" s="59"/>
      <c r="E254" s="96"/>
      <c r="F254" s="96"/>
      <c r="G254" s="96"/>
      <c r="H254" s="96"/>
      <c r="I254" s="96"/>
      <c r="J254" s="96"/>
      <c r="K254" s="96"/>
      <c r="L254" s="96"/>
      <c r="M254" s="96"/>
      <c r="N254" s="96"/>
    </row>
    <row r="255">
      <c r="A255" s="96"/>
      <c r="B255" s="145"/>
      <c r="C255" s="146"/>
      <c r="D255" s="59"/>
      <c r="E255" s="96"/>
      <c r="F255" s="96"/>
      <c r="G255" s="96"/>
      <c r="H255" s="96"/>
      <c r="I255" s="96"/>
      <c r="J255" s="96"/>
      <c r="K255" s="96"/>
      <c r="L255" s="96"/>
      <c r="M255" s="96"/>
      <c r="N255" s="96"/>
    </row>
    <row r="256">
      <c r="A256" s="96"/>
      <c r="B256" s="145"/>
      <c r="C256" s="146"/>
      <c r="D256" s="59"/>
      <c r="E256" s="96"/>
      <c r="F256" s="96"/>
      <c r="G256" s="96"/>
      <c r="H256" s="96"/>
      <c r="I256" s="96"/>
      <c r="J256" s="96"/>
      <c r="K256" s="96"/>
      <c r="L256" s="96"/>
      <c r="M256" s="96"/>
      <c r="N256" s="96"/>
    </row>
    <row r="257">
      <c r="A257" s="96"/>
      <c r="B257" s="145"/>
      <c r="C257" s="146"/>
      <c r="D257" s="59"/>
      <c r="E257" s="96"/>
      <c r="F257" s="96"/>
      <c r="G257" s="96"/>
      <c r="H257" s="96"/>
      <c r="I257" s="96"/>
      <c r="J257" s="96"/>
      <c r="K257" s="96"/>
      <c r="L257" s="96"/>
      <c r="M257" s="96"/>
      <c r="N257" s="96"/>
    </row>
    <row r="258">
      <c r="A258" s="96"/>
      <c r="B258" s="145"/>
      <c r="C258" s="146"/>
      <c r="D258" s="59"/>
      <c r="E258" s="96"/>
      <c r="F258" s="96"/>
      <c r="G258" s="96"/>
      <c r="H258" s="96"/>
      <c r="I258" s="96"/>
      <c r="J258" s="96"/>
      <c r="K258" s="96"/>
      <c r="L258" s="96"/>
      <c r="M258" s="96"/>
      <c r="N258" s="96"/>
    </row>
    <row r="259">
      <c r="A259" s="96"/>
      <c r="B259" s="145"/>
      <c r="C259" s="146"/>
      <c r="D259" s="59"/>
      <c r="E259" s="96"/>
      <c r="F259" s="96"/>
      <c r="G259" s="96"/>
      <c r="H259" s="96"/>
      <c r="I259" s="96"/>
      <c r="J259" s="96"/>
      <c r="K259" s="96"/>
      <c r="L259" s="96"/>
      <c r="M259" s="96"/>
      <c r="N259" s="96"/>
    </row>
    <row r="260">
      <c r="A260" s="96"/>
      <c r="B260" s="145"/>
      <c r="C260" s="146"/>
      <c r="D260" s="59"/>
      <c r="E260" s="96"/>
      <c r="F260" s="96"/>
      <c r="G260" s="96"/>
      <c r="H260" s="96"/>
      <c r="I260" s="96"/>
      <c r="J260" s="96"/>
      <c r="K260" s="96"/>
      <c r="L260" s="96"/>
      <c r="M260" s="96"/>
      <c r="N260" s="96"/>
    </row>
    <row r="261">
      <c r="A261" s="96"/>
      <c r="B261" s="145"/>
      <c r="C261" s="146"/>
      <c r="D261" s="59"/>
      <c r="E261" s="96"/>
      <c r="F261" s="96"/>
      <c r="G261" s="96"/>
      <c r="H261" s="96"/>
      <c r="I261" s="96"/>
      <c r="J261" s="96"/>
      <c r="K261" s="96"/>
      <c r="L261" s="96"/>
      <c r="M261" s="96"/>
      <c r="N261" s="96"/>
    </row>
    <row r="262">
      <c r="A262" s="96"/>
      <c r="B262" s="145"/>
      <c r="C262" s="146"/>
      <c r="D262" s="59"/>
      <c r="E262" s="96"/>
      <c r="F262" s="96"/>
      <c r="G262" s="96"/>
      <c r="H262" s="96"/>
      <c r="I262" s="96"/>
      <c r="J262" s="96"/>
      <c r="K262" s="96"/>
      <c r="L262" s="96"/>
      <c r="M262" s="96"/>
      <c r="N262" s="96"/>
    </row>
    <row r="263">
      <c r="A263" s="96"/>
      <c r="B263" s="145"/>
      <c r="C263" s="146"/>
      <c r="D263" s="59"/>
      <c r="E263" s="96"/>
      <c r="F263" s="96"/>
      <c r="G263" s="96"/>
      <c r="H263" s="96"/>
      <c r="I263" s="96"/>
      <c r="J263" s="96"/>
      <c r="K263" s="96"/>
      <c r="L263" s="96"/>
      <c r="M263" s="96"/>
      <c r="N263" s="96"/>
    </row>
    <row r="264">
      <c r="A264" s="96"/>
      <c r="B264" s="145"/>
      <c r="C264" s="146"/>
      <c r="D264" s="59"/>
      <c r="E264" s="96"/>
      <c r="F264" s="96"/>
      <c r="G264" s="96"/>
      <c r="H264" s="96"/>
      <c r="I264" s="96"/>
      <c r="J264" s="96"/>
      <c r="K264" s="96"/>
      <c r="L264" s="96"/>
      <c r="M264" s="96"/>
      <c r="N264" s="96"/>
    </row>
    <row r="265">
      <c r="A265" s="96"/>
      <c r="B265" s="145"/>
      <c r="C265" s="146"/>
      <c r="D265" s="59"/>
      <c r="E265" s="96"/>
      <c r="F265" s="96"/>
      <c r="G265" s="96"/>
      <c r="H265" s="96"/>
      <c r="I265" s="96"/>
      <c r="J265" s="96"/>
      <c r="K265" s="96"/>
      <c r="L265" s="96"/>
      <c r="M265" s="96"/>
      <c r="N265" s="96"/>
    </row>
    <row r="266">
      <c r="A266" s="96"/>
      <c r="B266" s="145"/>
      <c r="C266" s="146"/>
      <c r="D266" s="59"/>
      <c r="E266" s="96"/>
      <c r="F266" s="96"/>
      <c r="G266" s="96"/>
      <c r="H266" s="96"/>
      <c r="I266" s="96"/>
      <c r="J266" s="96"/>
      <c r="K266" s="96"/>
      <c r="L266" s="96"/>
      <c r="M266" s="96"/>
      <c r="N266" s="96"/>
    </row>
    <row r="267">
      <c r="A267" s="96"/>
      <c r="B267" s="145"/>
      <c r="C267" s="146"/>
      <c r="D267" s="59"/>
      <c r="E267" s="96"/>
      <c r="F267" s="96"/>
      <c r="G267" s="96"/>
      <c r="H267" s="96"/>
      <c r="I267" s="96"/>
      <c r="J267" s="96"/>
      <c r="K267" s="96"/>
      <c r="L267" s="96"/>
      <c r="M267" s="96"/>
      <c r="N267" s="96"/>
    </row>
    <row r="268">
      <c r="A268" s="96"/>
      <c r="B268" s="145"/>
      <c r="C268" s="146"/>
      <c r="D268" s="59"/>
      <c r="E268" s="96"/>
      <c r="F268" s="96"/>
      <c r="G268" s="96"/>
      <c r="H268" s="96"/>
      <c r="I268" s="96"/>
      <c r="J268" s="96"/>
      <c r="K268" s="96"/>
      <c r="L268" s="96"/>
      <c r="M268" s="96"/>
      <c r="N268" s="96"/>
    </row>
    <row r="269">
      <c r="A269" s="96"/>
      <c r="B269" s="145"/>
      <c r="C269" s="146"/>
      <c r="D269" s="59"/>
      <c r="E269" s="96"/>
      <c r="F269" s="96"/>
      <c r="G269" s="96"/>
      <c r="H269" s="96"/>
      <c r="I269" s="96"/>
      <c r="J269" s="96"/>
      <c r="K269" s="96"/>
      <c r="L269" s="96"/>
      <c r="M269" s="96"/>
      <c r="N269" s="96"/>
    </row>
    <row r="270">
      <c r="A270" s="96"/>
      <c r="B270" s="145"/>
      <c r="C270" s="146"/>
      <c r="D270" s="59"/>
      <c r="E270" s="96"/>
      <c r="F270" s="96"/>
      <c r="G270" s="96"/>
      <c r="H270" s="96"/>
      <c r="I270" s="96"/>
      <c r="J270" s="96"/>
      <c r="K270" s="96"/>
      <c r="L270" s="96"/>
      <c r="M270" s="96"/>
      <c r="N270" s="96"/>
    </row>
    <row r="271">
      <c r="A271" s="96"/>
      <c r="B271" s="145"/>
      <c r="C271" s="146"/>
      <c r="D271" s="59"/>
      <c r="E271" s="96"/>
      <c r="F271" s="96"/>
      <c r="G271" s="96"/>
      <c r="H271" s="96"/>
      <c r="I271" s="96"/>
      <c r="J271" s="96"/>
      <c r="K271" s="96"/>
      <c r="L271" s="96"/>
      <c r="M271" s="96"/>
      <c r="N271" s="96"/>
    </row>
    <row r="272">
      <c r="A272" s="96"/>
      <c r="B272" s="145"/>
      <c r="C272" s="146"/>
      <c r="D272" s="59"/>
      <c r="E272" s="96"/>
      <c r="F272" s="96"/>
      <c r="G272" s="96"/>
      <c r="H272" s="96"/>
      <c r="I272" s="96"/>
      <c r="J272" s="96"/>
      <c r="K272" s="96"/>
      <c r="L272" s="96"/>
      <c r="M272" s="96"/>
      <c r="N272" s="96"/>
    </row>
    <row r="273">
      <c r="A273" s="96"/>
      <c r="B273" s="145"/>
      <c r="C273" s="146"/>
      <c r="D273" s="59"/>
      <c r="E273" s="96"/>
      <c r="F273" s="96"/>
      <c r="G273" s="96"/>
      <c r="H273" s="96"/>
      <c r="I273" s="96"/>
      <c r="J273" s="96"/>
      <c r="K273" s="96"/>
      <c r="L273" s="96"/>
      <c r="M273" s="96"/>
      <c r="N273" s="96"/>
    </row>
    <row r="274">
      <c r="A274" s="96"/>
      <c r="B274" s="145"/>
      <c r="C274" s="146"/>
      <c r="D274" s="59"/>
      <c r="E274" s="96"/>
      <c r="F274" s="96"/>
      <c r="G274" s="96"/>
      <c r="H274" s="96"/>
      <c r="I274" s="96"/>
      <c r="J274" s="96"/>
      <c r="K274" s="96"/>
      <c r="L274" s="96"/>
      <c r="M274" s="96"/>
      <c r="N274" s="96"/>
    </row>
    <row r="275">
      <c r="A275" s="96"/>
      <c r="B275" s="145"/>
      <c r="C275" s="146"/>
      <c r="D275" s="59"/>
      <c r="E275" s="96"/>
      <c r="F275" s="96"/>
      <c r="G275" s="96"/>
      <c r="H275" s="96"/>
      <c r="I275" s="96"/>
      <c r="J275" s="96"/>
      <c r="K275" s="96"/>
      <c r="L275" s="96"/>
      <c r="M275" s="96"/>
      <c r="N275" s="96"/>
    </row>
    <row r="276">
      <c r="A276" s="96"/>
      <c r="B276" s="145"/>
      <c r="C276" s="146"/>
      <c r="D276" s="59"/>
      <c r="E276" s="96"/>
      <c r="F276" s="96"/>
      <c r="G276" s="96"/>
      <c r="H276" s="96"/>
      <c r="I276" s="96"/>
      <c r="J276" s="96"/>
      <c r="K276" s="96"/>
      <c r="L276" s="96"/>
      <c r="M276" s="96"/>
      <c r="N276" s="96"/>
    </row>
    <row r="277">
      <c r="A277" s="96"/>
      <c r="B277" s="145"/>
      <c r="C277" s="146"/>
      <c r="D277" s="59"/>
      <c r="E277" s="96"/>
      <c r="F277" s="96"/>
      <c r="G277" s="96"/>
      <c r="H277" s="96"/>
      <c r="I277" s="96"/>
      <c r="J277" s="96"/>
      <c r="K277" s="96"/>
      <c r="L277" s="96"/>
      <c r="M277" s="96"/>
      <c r="N277" s="96"/>
    </row>
    <row r="278">
      <c r="A278" s="96"/>
      <c r="B278" s="145"/>
      <c r="C278" s="146"/>
      <c r="D278" s="59"/>
      <c r="E278" s="96"/>
      <c r="F278" s="96"/>
      <c r="G278" s="96"/>
      <c r="H278" s="96"/>
      <c r="I278" s="96"/>
      <c r="J278" s="96"/>
      <c r="K278" s="96"/>
      <c r="L278" s="96"/>
      <c r="M278" s="96"/>
      <c r="N278" s="96"/>
    </row>
    <row r="279">
      <c r="A279" s="96"/>
      <c r="B279" s="145"/>
      <c r="C279" s="146"/>
      <c r="D279" s="59"/>
      <c r="E279" s="96"/>
      <c r="F279" s="96"/>
      <c r="G279" s="96"/>
      <c r="H279" s="96"/>
      <c r="I279" s="96"/>
      <c r="J279" s="96"/>
      <c r="K279" s="96"/>
      <c r="L279" s="96"/>
      <c r="M279" s="96"/>
      <c r="N279" s="96"/>
    </row>
    <row r="280">
      <c r="A280" s="96"/>
      <c r="B280" s="145"/>
      <c r="C280" s="146"/>
      <c r="D280" s="59"/>
      <c r="E280" s="96"/>
      <c r="F280" s="96"/>
      <c r="G280" s="96"/>
      <c r="H280" s="96"/>
      <c r="I280" s="96"/>
      <c r="J280" s="96"/>
      <c r="K280" s="96"/>
      <c r="L280" s="96"/>
      <c r="M280" s="96"/>
      <c r="N280" s="96"/>
    </row>
    <row r="281">
      <c r="A281" s="96"/>
      <c r="B281" s="145"/>
      <c r="C281" s="146"/>
      <c r="D281" s="59"/>
      <c r="E281" s="96"/>
      <c r="F281" s="96"/>
      <c r="G281" s="96"/>
      <c r="H281" s="96"/>
      <c r="I281" s="96"/>
      <c r="J281" s="96"/>
      <c r="K281" s="96"/>
      <c r="L281" s="96"/>
      <c r="M281" s="96"/>
      <c r="N281" s="96"/>
    </row>
    <row r="282">
      <c r="A282" s="96"/>
      <c r="B282" s="145"/>
      <c r="C282" s="146"/>
      <c r="D282" s="59"/>
      <c r="E282" s="96"/>
      <c r="F282" s="96"/>
      <c r="G282" s="96"/>
      <c r="H282" s="96"/>
      <c r="I282" s="96"/>
      <c r="J282" s="96"/>
      <c r="K282" s="96"/>
      <c r="L282" s="96"/>
      <c r="M282" s="96"/>
      <c r="N282" s="96"/>
    </row>
    <row r="283">
      <c r="A283" s="96"/>
      <c r="B283" s="145"/>
      <c r="C283" s="146"/>
      <c r="D283" s="59"/>
      <c r="E283" s="96"/>
      <c r="F283" s="96"/>
      <c r="G283" s="96"/>
      <c r="H283" s="96"/>
      <c r="I283" s="96"/>
      <c r="J283" s="96"/>
      <c r="K283" s="96"/>
      <c r="L283" s="96"/>
      <c r="M283" s="96"/>
      <c r="N283" s="96"/>
    </row>
    <row r="284">
      <c r="A284" s="96"/>
      <c r="B284" s="145"/>
      <c r="C284" s="146"/>
      <c r="D284" s="59"/>
      <c r="E284" s="96"/>
      <c r="F284" s="96"/>
      <c r="G284" s="96"/>
      <c r="H284" s="96"/>
      <c r="I284" s="96"/>
      <c r="J284" s="96"/>
      <c r="K284" s="96"/>
      <c r="L284" s="96"/>
      <c r="M284" s="96"/>
      <c r="N284" s="96"/>
    </row>
    <row r="285">
      <c r="A285" s="96"/>
      <c r="B285" s="145"/>
      <c r="C285" s="146"/>
      <c r="D285" s="59"/>
      <c r="E285" s="96"/>
      <c r="F285" s="96"/>
      <c r="G285" s="96"/>
      <c r="H285" s="96"/>
      <c r="I285" s="96"/>
      <c r="J285" s="96"/>
      <c r="K285" s="96"/>
      <c r="L285" s="96"/>
      <c r="M285" s="96"/>
      <c r="N285" s="96"/>
    </row>
    <row r="286">
      <c r="A286" s="96"/>
      <c r="B286" s="145"/>
      <c r="C286" s="146"/>
      <c r="D286" s="59"/>
      <c r="E286" s="96"/>
      <c r="F286" s="96"/>
      <c r="G286" s="96"/>
      <c r="H286" s="96"/>
      <c r="I286" s="96"/>
      <c r="J286" s="96"/>
      <c r="K286" s="96"/>
      <c r="L286" s="96"/>
      <c r="M286" s="96"/>
      <c r="N286" s="96"/>
    </row>
    <row r="287">
      <c r="A287" s="96"/>
      <c r="B287" s="145"/>
      <c r="C287" s="146"/>
      <c r="D287" s="59"/>
      <c r="E287" s="96"/>
      <c r="F287" s="96"/>
      <c r="G287" s="96"/>
      <c r="H287" s="96"/>
      <c r="I287" s="96"/>
      <c r="J287" s="96"/>
      <c r="K287" s="96"/>
      <c r="L287" s="96"/>
      <c r="M287" s="96"/>
      <c r="N287" s="96"/>
    </row>
    <row r="288">
      <c r="A288" s="96"/>
      <c r="B288" s="145"/>
      <c r="C288" s="146"/>
      <c r="D288" s="59"/>
      <c r="E288" s="96"/>
      <c r="F288" s="96"/>
      <c r="G288" s="96"/>
      <c r="H288" s="96"/>
      <c r="I288" s="96"/>
      <c r="J288" s="96"/>
      <c r="K288" s="96"/>
      <c r="L288" s="96"/>
      <c r="M288" s="96"/>
      <c r="N288" s="96"/>
    </row>
    <row r="289">
      <c r="A289" s="96"/>
      <c r="B289" s="145"/>
      <c r="C289" s="146"/>
      <c r="D289" s="59"/>
      <c r="E289" s="96"/>
      <c r="F289" s="96"/>
      <c r="G289" s="96"/>
      <c r="H289" s="96"/>
      <c r="I289" s="96"/>
      <c r="J289" s="96"/>
      <c r="K289" s="96"/>
      <c r="L289" s="96"/>
      <c r="M289" s="96"/>
      <c r="N289" s="96"/>
    </row>
    <row r="290">
      <c r="A290" s="96"/>
      <c r="B290" s="145"/>
      <c r="C290" s="146"/>
      <c r="D290" s="59"/>
      <c r="E290" s="96"/>
      <c r="F290" s="96"/>
      <c r="G290" s="96"/>
      <c r="H290" s="96"/>
      <c r="I290" s="96"/>
      <c r="J290" s="96"/>
      <c r="K290" s="96"/>
      <c r="L290" s="96"/>
      <c r="M290" s="96"/>
      <c r="N290" s="96"/>
    </row>
    <row r="291">
      <c r="A291" s="96"/>
      <c r="B291" s="145"/>
      <c r="C291" s="146"/>
      <c r="D291" s="59"/>
      <c r="E291" s="96"/>
      <c r="F291" s="96"/>
      <c r="G291" s="96"/>
      <c r="H291" s="96"/>
      <c r="I291" s="96"/>
      <c r="J291" s="96"/>
      <c r="K291" s="96"/>
      <c r="L291" s="96"/>
      <c r="M291" s="96"/>
      <c r="N291" s="96"/>
    </row>
    <row r="292">
      <c r="A292" s="96"/>
      <c r="B292" s="145"/>
      <c r="C292" s="146"/>
      <c r="D292" s="59"/>
      <c r="E292" s="96"/>
      <c r="F292" s="96"/>
      <c r="G292" s="96"/>
      <c r="H292" s="96"/>
      <c r="I292" s="96"/>
      <c r="J292" s="96"/>
      <c r="K292" s="96"/>
      <c r="L292" s="96"/>
      <c r="M292" s="96"/>
      <c r="N292" s="96"/>
    </row>
    <row r="293">
      <c r="A293" s="96"/>
      <c r="B293" s="145"/>
      <c r="C293" s="146"/>
      <c r="D293" s="59"/>
      <c r="E293" s="96"/>
      <c r="F293" s="96"/>
      <c r="G293" s="96"/>
      <c r="H293" s="96"/>
      <c r="I293" s="96"/>
      <c r="J293" s="96"/>
      <c r="K293" s="96"/>
      <c r="L293" s="96"/>
      <c r="M293" s="96"/>
      <c r="N293" s="96"/>
    </row>
    <row r="294">
      <c r="A294" s="5"/>
      <c r="B294" s="150"/>
      <c r="C294" s="151"/>
      <c r="D294" s="59"/>
      <c r="E294" s="96"/>
      <c r="F294" s="96"/>
      <c r="G294" s="96"/>
      <c r="H294" s="96"/>
      <c r="I294" s="96"/>
      <c r="J294" s="5"/>
      <c r="K294" s="5"/>
      <c r="L294" s="5"/>
      <c r="M294" s="5"/>
      <c r="N294" s="5"/>
    </row>
    <row r="295">
      <c r="A295" s="5"/>
      <c r="B295" s="150"/>
      <c r="C295" s="151"/>
      <c r="D295" s="59"/>
      <c r="E295" s="96"/>
      <c r="F295" s="96"/>
      <c r="G295" s="96"/>
      <c r="H295" s="96"/>
      <c r="I295" s="96"/>
      <c r="J295" s="5"/>
      <c r="K295" s="5"/>
      <c r="L295" s="5"/>
      <c r="M295" s="5"/>
      <c r="N295" s="5"/>
    </row>
    <row r="296">
      <c r="A296" s="5"/>
      <c r="B296" s="150"/>
      <c r="C296" s="151"/>
      <c r="D296" s="59"/>
      <c r="E296" s="96"/>
      <c r="F296" s="96"/>
      <c r="G296" s="96"/>
      <c r="H296" s="96"/>
      <c r="I296" s="96"/>
      <c r="J296" s="5"/>
      <c r="K296" s="5"/>
      <c r="L296" s="5"/>
      <c r="M296" s="5"/>
      <c r="N296" s="5"/>
    </row>
    <row r="297">
      <c r="A297" s="5"/>
      <c r="B297" s="150"/>
      <c r="C297" s="151"/>
      <c r="D297" s="59"/>
      <c r="E297" s="96"/>
      <c r="F297" s="96"/>
      <c r="G297" s="96"/>
      <c r="H297" s="96"/>
      <c r="I297" s="96"/>
      <c r="J297" s="5"/>
      <c r="K297" s="5"/>
      <c r="L297" s="5"/>
      <c r="M297" s="5"/>
      <c r="N297" s="5"/>
    </row>
    <row r="298">
      <c r="A298" s="5"/>
      <c r="B298" s="150"/>
      <c r="C298" s="151"/>
      <c r="D298" s="59"/>
      <c r="E298" s="96"/>
      <c r="F298" s="96"/>
      <c r="G298" s="96"/>
      <c r="H298" s="96"/>
      <c r="I298" s="96"/>
      <c r="J298" s="5"/>
      <c r="K298" s="5"/>
      <c r="L298" s="5"/>
      <c r="M298" s="5"/>
      <c r="N298" s="5"/>
    </row>
    <row r="299">
      <c r="A299" s="5"/>
      <c r="B299" s="150"/>
      <c r="C299" s="151"/>
      <c r="D299" s="59"/>
      <c r="E299" s="96"/>
      <c r="F299" s="96"/>
      <c r="G299" s="96"/>
      <c r="H299" s="96"/>
      <c r="I299" s="96"/>
      <c r="J299" s="5"/>
      <c r="K299" s="5"/>
      <c r="L299" s="5"/>
      <c r="M299" s="5"/>
      <c r="N299" s="5"/>
    </row>
    <row r="300">
      <c r="A300" s="5"/>
      <c r="B300" s="150"/>
      <c r="C300" s="151"/>
      <c r="D300" s="59"/>
      <c r="E300" s="96"/>
      <c r="F300" s="96"/>
      <c r="G300" s="96"/>
      <c r="H300" s="96"/>
      <c r="I300" s="96"/>
      <c r="J300" s="5"/>
      <c r="K300" s="5"/>
      <c r="L300" s="5"/>
      <c r="M300" s="5"/>
      <c r="N300" s="5"/>
    </row>
    <row r="301">
      <c r="A301" s="5"/>
      <c r="B301" s="150"/>
      <c r="C301" s="151"/>
      <c r="D301" s="59"/>
      <c r="E301" s="96"/>
      <c r="F301" s="96"/>
      <c r="G301" s="96"/>
      <c r="H301" s="96"/>
      <c r="I301" s="96"/>
      <c r="J301" s="5"/>
      <c r="K301" s="5"/>
      <c r="L301" s="5"/>
      <c r="M301" s="5"/>
      <c r="N301" s="5"/>
    </row>
    <row r="302">
      <c r="A302" s="5"/>
      <c r="B302" s="150"/>
      <c r="C302" s="151"/>
      <c r="D302" s="59"/>
      <c r="E302" s="96"/>
      <c r="F302" s="96"/>
      <c r="G302" s="96"/>
      <c r="H302" s="96"/>
      <c r="I302" s="96"/>
      <c r="J302" s="5"/>
      <c r="K302" s="5"/>
      <c r="L302" s="5"/>
      <c r="M302" s="5"/>
      <c r="N302" s="5"/>
    </row>
    <row r="303">
      <c r="A303" s="5"/>
      <c r="B303" s="150"/>
      <c r="C303" s="151"/>
      <c r="D303" s="59"/>
      <c r="E303" s="96"/>
      <c r="F303" s="96"/>
      <c r="G303" s="96"/>
      <c r="H303" s="96"/>
      <c r="I303" s="96"/>
      <c r="J303" s="5"/>
      <c r="K303" s="5"/>
      <c r="L303" s="5"/>
      <c r="M303" s="5"/>
      <c r="N303" s="5"/>
    </row>
    <row r="304">
      <c r="A304" s="5"/>
      <c r="B304" s="150"/>
      <c r="C304" s="151"/>
      <c r="D304" s="59"/>
      <c r="E304" s="96"/>
      <c r="F304" s="96"/>
      <c r="G304" s="96"/>
      <c r="H304" s="96"/>
      <c r="I304" s="96"/>
      <c r="J304" s="5"/>
      <c r="K304" s="5"/>
      <c r="L304" s="5"/>
      <c r="M304" s="5"/>
      <c r="N304" s="5"/>
    </row>
    <row r="305">
      <c r="A305" s="5"/>
      <c r="B305" s="150"/>
      <c r="C305" s="151"/>
      <c r="D305" s="59"/>
      <c r="E305" s="96"/>
      <c r="F305" s="96"/>
      <c r="G305" s="96"/>
      <c r="H305" s="96"/>
      <c r="I305" s="96"/>
      <c r="J305" s="5"/>
      <c r="K305" s="5"/>
      <c r="L305" s="5"/>
      <c r="M305" s="5"/>
      <c r="N305" s="5"/>
    </row>
    <row r="306">
      <c r="A306" s="5"/>
      <c r="B306" s="150"/>
      <c r="C306" s="151"/>
      <c r="D306" s="59"/>
      <c r="E306" s="96"/>
      <c r="F306" s="96"/>
      <c r="G306" s="96"/>
      <c r="H306" s="96"/>
      <c r="I306" s="96"/>
      <c r="J306" s="5"/>
      <c r="K306" s="5"/>
      <c r="L306" s="5"/>
      <c r="M306" s="5"/>
      <c r="N306" s="5"/>
    </row>
    <row r="307">
      <c r="A307" s="5"/>
      <c r="B307" s="150"/>
      <c r="C307" s="151"/>
      <c r="D307" s="59"/>
      <c r="E307" s="96"/>
      <c r="F307" s="96"/>
      <c r="G307" s="96"/>
      <c r="H307" s="96"/>
      <c r="I307" s="96"/>
      <c r="J307" s="5"/>
      <c r="K307" s="5"/>
      <c r="L307" s="5"/>
      <c r="M307" s="5"/>
      <c r="N307" s="5"/>
    </row>
    <row r="308">
      <c r="A308" s="5"/>
      <c r="B308" s="150"/>
      <c r="C308" s="151"/>
      <c r="D308" s="59"/>
      <c r="E308" s="96"/>
      <c r="F308" s="96"/>
      <c r="G308" s="96"/>
      <c r="H308" s="96"/>
      <c r="I308" s="96"/>
      <c r="J308" s="5"/>
      <c r="K308" s="5"/>
      <c r="L308" s="5"/>
      <c r="M308" s="5"/>
      <c r="N308" s="5"/>
    </row>
    <row r="309">
      <c r="A309" s="5"/>
      <c r="B309" s="150"/>
      <c r="C309" s="151"/>
      <c r="D309" s="59"/>
      <c r="E309" s="96"/>
      <c r="F309" s="96"/>
      <c r="G309" s="96"/>
      <c r="H309" s="96"/>
      <c r="I309" s="96"/>
      <c r="J309" s="5"/>
      <c r="K309" s="5"/>
      <c r="L309" s="5"/>
      <c r="M309" s="5"/>
      <c r="N309" s="5"/>
    </row>
    <row r="310">
      <c r="A310" s="5"/>
      <c r="B310" s="150"/>
      <c r="C310" s="151"/>
      <c r="D310" s="59"/>
      <c r="E310" s="96"/>
      <c r="F310" s="96"/>
      <c r="G310" s="96"/>
      <c r="H310" s="96"/>
      <c r="I310" s="96"/>
      <c r="J310" s="5"/>
      <c r="K310" s="5"/>
      <c r="L310" s="5"/>
      <c r="M310" s="5"/>
      <c r="N310" s="5"/>
    </row>
    <row r="311">
      <c r="A311" s="5"/>
      <c r="B311" s="150"/>
      <c r="C311" s="151"/>
      <c r="D311" s="59"/>
      <c r="E311" s="96"/>
      <c r="F311" s="96"/>
      <c r="G311" s="96"/>
      <c r="H311" s="96"/>
      <c r="I311" s="96"/>
      <c r="J311" s="5"/>
      <c r="K311" s="5"/>
      <c r="L311" s="5"/>
      <c r="M311" s="5"/>
      <c r="N311" s="5"/>
    </row>
    <row r="312">
      <c r="A312" s="5"/>
      <c r="B312" s="150"/>
      <c r="C312" s="151"/>
      <c r="D312" s="59"/>
      <c r="E312" s="96"/>
      <c r="F312" s="96"/>
      <c r="G312" s="96"/>
      <c r="H312" s="96"/>
      <c r="I312" s="96"/>
      <c r="J312" s="5"/>
      <c r="K312" s="5"/>
      <c r="L312" s="5"/>
      <c r="M312" s="5"/>
      <c r="N312" s="5"/>
    </row>
    <row r="313">
      <c r="A313" s="5"/>
      <c r="B313" s="150"/>
      <c r="C313" s="151"/>
      <c r="D313" s="59"/>
      <c r="E313" s="96"/>
      <c r="F313" s="96"/>
      <c r="G313" s="96"/>
      <c r="H313" s="96"/>
      <c r="I313" s="96"/>
      <c r="J313" s="5"/>
      <c r="K313" s="5"/>
      <c r="L313" s="5"/>
      <c r="M313" s="5"/>
      <c r="N313" s="5"/>
    </row>
    <row r="314">
      <c r="A314" s="5"/>
      <c r="B314" s="150"/>
      <c r="C314" s="151"/>
      <c r="D314" s="59"/>
      <c r="E314" s="96"/>
      <c r="F314" s="96"/>
      <c r="G314" s="96"/>
      <c r="H314" s="96"/>
      <c r="I314" s="96"/>
      <c r="J314" s="5"/>
      <c r="K314" s="5"/>
      <c r="L314" s="5"/>
      <c r="M314" s="5"/>
      <c r="N314" s="5"/>
    </row>
    <row r="315">
      <c r="A315" s="5"/>
      <c r="B315" s="150"/>
      <c r="C315" s="151"/>
      <c r="D315" s="59"/>
      <c r="E315" s="96"/>
      <c r="F315" s="96"/>
      <c r="G315" s="96"/>
      <c r="H315" s="96"/>
      <c r="I315" s="96"/>
      <c r="J315" s="5"/>
      <c r="K315" s="5"/>
      <c r="L315" s="5"/>
      <c r="M315" s="5"/>
      <c r="N315" s="5"/>
    </row>
    <row r="316">
      <c r="A316" s="5"/>
      <c r="B316" s="150"/>
      <c r="C316" s="151"/>
      <c r="D316" s="59"/>
      <c r="E316" s="96"/>
      <c r="F316" s="96"/>
      <c r="G316" s="96"/>
      <c r="H316" s="96"/>
      <c r="I316" s="96"/>
      <c r="J316" s="5"/>
      <c r="K316" s="5"/>
      <c r="L316" s="5"/>
      <c r="M316" s="5"/>
      <c r="N316" s="5"/>
    </row>
    <row r="317">
      <c r="A317" s="5"/>
      <c r="B317" s="150"/>
      <c r="C317" s="151"/>
      <c r="D317" s="59"/>
      <c r="E317" s="96"/>
      <c r="F317" s="96"/>
      <c r="G317" s="96"/>
      <c r="H317" s="96"/>
      <c r="I317" s="96"/>
      <c r="J317" s="5"/>
      <c r="K317" s="5"/>
      <c r="L317" s="5"/>
      <c r="M317" s="5"/>
      <c r="N317" s="5"/>
    </row>
    <row r="318">
      <c r="A318" s="5"/>
      <c r="B318" s="150"/>
      <c r="C318" s="151"/>
      <c r="D318" s="59"/>
      <c r="E318" s="96"/>
      <c r="F318" s="96"/>
      <c r="G318" s="96"/>
      <c r="H318" s="96"/>
      <c r="I318" s="96"/>
      <c r="J318" s="5"/>
      <c r="K318" s="5"/>
      <c r="L318" s="5"/>
      <c r="M318" s="5"/>
      <c r="N318" s="5"/>
    </row>
    <row r="319">
      <c r="A319" s="5"/>
      <c r="B319" s="150"/>
      <c r="C319" s="151"/>
      <c r="D319" s="59"/>
      <c r="E319" s="96"/>
      <c r="F319" s="96"/>
      <c r="G319" s="96"/>
      <c r="H319" s="96"/>
      <c r="I319" s="96"/>
      <c r="J319" s="5"/>
      <c r="K319" s="5"/>
      <c r="L319" s="5"/>
      <c r="M319" s="5"/>
      <c r="N319" s="5"/>
    </row>
    <row r="320">
      <c r="A320" s="5"/>
      <c r="B320" s="150"/>
      <c r="C320" s="151"/>
      <c r="D320" s="59"/>
      <c r="E320" s="96"/>
      <c r="F320" s="96"/>
      <c r="G320" s="96"/>
      <c r="H320" s="96"/>
      <c r="I320" s="96"/>
      <c r="J320" s="5"/>
      <c r="K320" s="5"/>
      <c r="L320" s="5"/>
      <c r="M320" s="5"/>
      <c r="N320" s="5"/>
    </row>
    <row r="321">
      <c r="A321" s="5"/>
      <c r="B321" s="150"/>
      <c r="C321" s="151"/>
      <c r="D321" s="59"/>
      <c r="E321" s="96"/>
      <c r="F321" s="96"/>
      <c r="G321" s="96"/>
      <c r="H321" s="96"/>
      <c r="I321" s="96"/>
      <c r="J321" s="5"/>
      <c r="K321" s="5"/>
      <c r="L321" s="5"/>
      <c r="M321" s="5"/>
      <c r="N321" s="5"/>
    </row>
    <row r="322">
      <c r="A322" s="5"/>
      <c r="B322" s="150"/>
      <c r="C322" s="151"/>
      <c r="D322" s="59"/>
      <c r="E322" s="96"/>
      <c r="F322" s="96"/>
      <c r="G322" s="96"/>
      <c r="H322" s="96"/>
      <c r="I322" s="96"/>
      <c r="J322" s="5"/>
      <c r="K322" s="5"/>
      <c r="L322" s="5"/>
      <c r="M322" s="5"/>
      <c r="N322" s="5"/>
    </row>
    <row r="323">
      <c r="A323" s="5"/>
      <c r="B323" s="150"/>
      <c r="C323" s="151"/>
      <c r="D323" s="59"/>
      <c r="E323" s="96"/>
      <c r="F323" s="96"/>
      <c r="G323" s="96"/>
      <c r="H323" s="96"/>
      <c r="I323" s="96"/>
      <c r="J323" s="5"/>
      <c r="K323" s="5"/>
      <c r="L323" s="5"/>
      <c r="M323" s="5"/>
      <c r="N323" s="5"/>
    </row>
    <row r="324">
      <c r="A324" s="5"/>
      <c r="B324" s="150"/>
      <c r="C324" s="151"/>
      <c r="D324" s="59"/>
      <c r="E324" s="96"/>
      <c r="F324" s="96"/>
      <c r="G324" s="96"/>
      <c r="H324" s="96"/>
      <c r="I324" s="96"/>
      <c r="J324" s="5"/>
      <c r="K324" s="5"/>
      <c r="L324" s="5"/>
      <c r="M324" s="5"/>
      <c r="N324" s="5"/>
    </row>
    <row r="325">
      <c r="A325" s="5"/>
      <c r="B325" s="150"/>
      <c r="C325" s="151"/>
      <c r="D325" s="59"/>
      <c r="E325" s="96"/>
      <c r="F325" s="96"/>
      <c r="G325" s="96"/>
      <c r="H325" s="96"/>
      <c r="I325" s="96"/>
      <c r="J325" s="5"/>
      <c r="K325" s="5"/>
      <c r="L325" s="5"/>
      <c r="M325" s="5"/>
      <c r="N325" s="5"/>
    </row>
    <row r="326">
      <c r="A326" s="5"/>
      <c r="B326" s="150"/>
      <c r="C326" s="151"/>
      <c r="D326" s="59"/>
      <c r="E326" s="96"/>
      <c r="F326" s="96"/>
      <c r="G326" s="96"/>
      <c r="H326" s="96"/>
      <c r="I326" s="96"/>
      <c r="J326" s="5"/>
      <c r="K326" s="5"/>
      <c r="L326" s="5"/>
      <c r="M326" s="5"/>
      <c r="N326" s="5"/>
    </row>
    <row r="327">
      <c r="A327" s="5"/>
      <c r="B327" s="150"/>
      <c r="C327" s="151"/>
      <c r="D327" s="59"/>
      <c r="E327" s="96"/>
      <c r="F327" s="96"/>
      <c r="G327" s="96"/>
      <c r="H327" s="96"/>
      <c r="I327" s="96"/>
      <c r="J327" s="5"/>
      <c r="K327" s="5"/>
      <c r="L327" s="5"/>
      <c r="M327" s="5"/>
      <c r="N327" s="5"/>
    </row>
    <row r="328">
      <c r="A328" s="5"/>
      <c r="B328" s="150"/>
      <c r="C328" s="151"/>
      <c r="D328" s="59"/>
      <c r="E328" s="96"/>
      <c r="F328" s="96"/>
      <c r="G328" s="96"/>
      <c r="H328" s="96"/>
      <c r="I328" s="96"/>
      <c r="J328" s="5"/>
      <c r="K328" s="5"/>
      <c r="L328" s="5"/>
      <c r="M328" s="5"/>
      <c r="N328" s="5"/>
    </row>
    <row r="329">
      <c r="A329" s="5"/>
      <c r="B329" s="150"/>
      <c r="C329" s="151"/>
      <c r="D329" s="59"/>
      <c r="E329" s="96"/>
      <c r="F329" s="96"/>
      <c r="G329" s="96"/>
      <c r="H329" s="96"/>
      <c r="I329" s="96"/>
      <c r="J329" s="5"/>
      <c r="K329" s="5"/>
      <c r="L329" s="5"/>
      <c r="M329" s="5"/>
      <c r="N329" s="5"/>
    </row>
    <row r="330">
      <c r="A330" s="5"/>
      <c r="B330" s="150"/>
      <c r="C330" s="151"/>
      <c r="D330" s="59"/>
      <c r="E330" s="96"/>
      <c r="F330" s="96"/>
      <c r="G330" s="96"/>
      <c r="H330" s="96"/>
      <c r="I330" s="96"/>
      <c r="J330" s="5"/>
      <c r="K330" s="5"/>
      <c r="L330" s="5"/>
      <c r="M330" s="5"/>
      <c r="N330" s="5"/>
    </row>
    <row r="331">
      <c r="A331" s="5"/>
      <c r="B331" s="150"/>
      <c r="C331" s="151"/>
      <c r="D331" s="59"/>
      <c r="E331" s="96"/>
      <c r="F331" s="96"/>
      <c r="G331" s="96"/>
      <c r="H331" s="96"/>
      <c r="I331" s="96"/>
      <c r="J331" s="5"/>
      <c r="K331" s="5"/>
      <c r="L331" s="5"/>
      <c r="M331" s="5"/>
      <c r="N331" s="5"/>
    </row>
    <row r="332">
      <c r="A332" s="5"/>
      <c r="B332" s="150"/>
      <c r="C332" s="151"/>
      <c r="D332" s="59"/>
      <c r="E332" s="96"/>
      <c r="F332" s="96"/>
      <c r="G332" s="96"/>
      <c r="H332" s="96"/>
      <c r="I332" s="96"/>
      <c r="J332" s="5"/>
      <c r="K332" s="5"/>
      <c r="L332" s="5"/>
      <c r="M332" s="5"/>
      <c r="N332" s="5"/>
    </row>
    <row r="333">
      <c r="A333" s="5"/>
      <c r="B333" s="150"/>
      <c r="C333" s="151"/>
      <c r="D333" s="59"/>
      <c r="E333" s="96"/>
      <c r="F333" s="96"/>
      <c r="G333" s="96"/>
      <c r="H333" s="96"/>
      <c r="I333" s="96"/>
      <c r="J333" s="5"/>
      <c r="K333" s="5"/>
      <c r="L333" s="5"/>
      <c r="M333" s="5"/>
      <c r="N333" s="5"/>
    </row>
    <row r="334">
      <c r="A334" s="5"/>
      <c r="B334" s="150"/>
      <c r="C334" s="151"/>
      <c r="D334" s="59"/>
      <c r="E334" s="96"/>
      <c r="F334" s="96"/>
      <c r="G334" s="96"/>
      <c r="H334" s="96"/>
      <c r="I334" s="96"/>
      <c r="J334" s="5"/>
      <c r="K334" s="5"/>
      <c r="L334" s="5"/>
      <c r="M334" s="5"/>
      <c r="N334" s="5"/>
    </row>
    <row r="335">
      <c r="A335" s="5"/>
      <c r="B335" s="150"/>
      <c r="C335" s="151"/>
      <c r="D335" s="59"/>
      <c r="E335" s="96"/>
      <c r="F335" s="96"/>
      <c r="G335" s="96"/>
      <c r="H335" s="96"/>
      <c r="I335" s="96"/>
      <c r="J335" s="5"/>
      <c r="K335" s="5"/>
      <c r="L335" s="5"/>
      <c r="M335" s="5"/>
      <c r="N335" s="5"/>
    </row>
    <row r="336">
      <c r="A336" s="5"/>
      <c r="B336" s="150"/>
      <c r="C336" s="151"/>
      <c r="D336" s="59"/>
      <c r="E336" s="96"/>
      <c r="F336" s="96"/>
      <c r="G336" s="96"/>
      <c r="H336" s="96"/>
      <c r="I336" s="96"/>
      <c r="J336" s="5"/>
      <c r="K336" s="5"/>
      <c r="L336" s="5"/>
      <c r="M336" s="5"/>
      <c r="N336" s="5"/>
    </row>
    <row r="337">
      <c r="A337" s="5"/>
      <c r="B337" s="150"/>
      <c r="C337" s="151"/>
      <c r="D337" s="59"/>
      <c r="E337" s="96"/>
      <c r="F337" s="96"/>
      <c r="G337" s="96"/>
      <c r="H337" s="96"/>
      <c r="I337" s="96"/>
      <c r="J337" s="5"/>
      <c r="K337" s="5"/>
      <c r="L337" s="5"/>
      <c r="M337" s="5"/>
      <c r="N337" s="5"/>
    </row>
    <row r="338">
      <c r="A338" s="5"/>
      <c r="B338" s="150"/>
      <c r="C338" s="151"/>
      <c r="E338" s="96"/>
      <c r="F338" s="96"/>
      <c r="G338" s="96"/>
      <c r="H338" s="96"/>
      <c r="I338" s="96"/>
      <c r="J338" s="5"/>
      <c r="K338" s="5"/>
      <c r="L338" s="5"/>
      <c r="M338" s="5"/>
      <c r="N338" s="5"/>
    </row>
    <row r="339">
      <c r="A339" s="5"/>
      <c r="B339" s="150"/>
      <c r="C339" s="151"/>
      <c r="E339" s="96"/>
      <c r="F339" s="96"/>
      <c r="G339" s="96"/>
      <c r="H339" s="96"/>
      <c r="I339" s="96"/>
      <c r="J339" s="5"/>
      <c r="K339" s="5"/>
      <c r="L339" s="5"/>
      <c r="M339" s="5"/>
      <c r="N339" s="5"/>
    </row>
    <row r="340">
      <c r="A340" s="5"/>
      <c r="B340" s="150"/>
      <c r="C340" s="151"/>
      <c r="E340" s="96"/>
      <c r="F340" s="96"/>
      <c r="G340" s="96"/>
      <c r="H340" s="96"/>
      <c r="I340" s="96"/>
      <c r="J340" s="5"/>
      <c r="K340" s="5"/>
      <c r="L340" s="5"/>
      <c r="M340" s="5"/>
      <c r="N340" s="5"/>
    </row>
    <row r="341">
      <c r="A341" s="5"/>
      <c r="B341" s="150"/>
      <c r="C341" s="151"/>
      <c r="E341" s="96"/>
      <c r="F341" s="96"/>
      <c r="G341" s="96"/>
      <c r="H341" s="96"/>
      <c r="I341" s="96"/>
      <c r="J341" s="5"/>
      <c r="K341" s="5"/>
      <c r="L341" s="5"/>
      <c r="M341" s="5"/>
      <c r="N341" s="5"/>
    </row>
    <row r="342">
      <c r="A342" s="5"/>
      <c r="B342" s="150"/>
      <c r="C342" s="151"/>
      <c r="E342" s="96"/>
      <c r="F342" s="96"/>
      <c r="G342" s="96"/>
      <c r="H342" s="96"/>
      <c r="I342" s="96"/>
      <c r="J342" s="5"/>
      <c r="K342" s="5"/>
      <c r="L342" s="5"/>
      <c r="M342" s="5"/>
      <c r="N342" s="5"/>
    </row>
    <row r="343">
      <c r="A343" s="5"/>
      <c r="B343" s="150"/>
      <c r="C343" s="151"/>
      <c r="E343" s="96"/>
      <c r="F343" s="96"/>
      <c r="G343" s="96"/>
      <c r="H343" s="96"/>
      <c r="I343" s="96"/>
      <c r="J343" s="5"/>
      <c r="K343" s="5"/>
      <c r="L343" s="5"/>
      <c r="M343" s="5"/>
      <c r="N343" s="5"/>
    </row>
    <row r="344">
      <c r="A344" s="5"/>
      <c r="B344" s="150"/>
      <c r="C344" s="151"/>
      <c r="E344" s="96"/>
      <c r="F344" s="96"/>
      <c r="G344" s="96"/>
      <c r="H344" s="96"/>
      <c r="I344" s="96"/>
      <c r="J344" s="5"/>
      <c r="K344" s="5"/>
      <c r="L344" s="5"/>
      <c r="M344" s="5"/>
      <c r="N344" s="5"/>
    </row>
    <row r="345">
      <c r="A345" s="5"/>
      <c r="B345" s="150"/>
      <c r="C345" s="151"/>
      <c r="E345" s="96"/>
      <c r="F345" s="96"/>
      <c r="G345" s="96"/>
      <c r="H345" s="96"/>
      <c r="I345" s="96"/>
      <c r="J345" s="5"/>
      <c r="K345" s="5"/>
      <c r="L345" s="5"/>
      <c r="M345" s="5"/>
      <c r="N345" s="5"/>
    </row>
    <row r="346">
      <c r="A346" s="5"/>
      <c r="B346" s="150"/>
      <c r="C346" s="151"/>
      <c r="E346" s="96"/>
      <c r="F346" s="96"/>
      <c r="G346" s="96"/>
      <c r="H346" s="96"/>
      <c r="I346" s="96"/>
      <c r="J346" s="5"/>
      <c r="K346" s="5"/>
      <c r="L346" s="5"/>
      <c r="M346" s="5"/>
      <c r="N346" s="5"/>
    </row>
    <row r="347">
      <c r="A347" s="5"/>
      <c r="B347" s="150"/>
      <c r="C347" s="151"/>
      <c r="E347" s="96"/>
      <c r="F347" s="96"/>
      <c r="G347" s="96"/>
      <c r="H347" s="96"/>
      <c r="I347" s="96"/>
      <c r="J347" s="5"/>
      <c r="K347" s="5"/>
      <c r="L347" s="5"/>
      <c r="M347" s="5"/>
      <c r="N347" s="5"/>
    </row>
    <row r="348">
      <c r="A348" s="5"/>
      <c r="B348" s="150"/>
      <c r="C348" s="151"/>
      <c r="E348" s="96"/>
      <c r="F348" s="96"/>
      <c r="G348" s="96"/>
      <c r="H348" s="96"/>
      <c r="I348" s="96"/>
      <c r="J348" s="5"/>
      <c r="K348" s="5"/>
      <c r="L348" s="5"/>
      <c r="M348" s="5"/>
      <c r="N348" s="5"/>
    </row>
    <row r="349">
      <c r="A349" s="5"/>
      <c r="B349" s="150"/>
      <c r="C349" s="151"/>
      <c r="E349" s="96"/>
      <c r="F349" s="96"/>
      <c r="G349" s="96"/>
      <c r="H349" s="96"/>
      <c r="I349" s="96"/>
      <c r="J349" s="5"/>
      <c r="K349" s="5"/>
      <c r="L349" s="5"/>
      <c r="M349" s="5"/>
      <c r="N349" s="5"/>
    </row>
    <row r="350">
      <c r="A350" s="5"/>
      <c r="B350" s="150"/>
      <c r="C350" s="151"/>
      <c r="E350" s="96"/>
      <c r="F350" s="96"/>
      <c r="G350" s="96"/>
      <c r="H350" s="96"/>
      <c r="I350" s="96"/>
      <c r="J350" s="5"/>
      <c r="K350" s="5"/>
      <c r="L350" s="5"/>
      <c r="M350" s="5"/>
      <c r="N350" s="5"/>
    </row>
    <row r="351">
      <c r="A351" s="5"/>
      <c r="B351" s="150"/>
      <c r="C351" s="151"/>
      <c r="E351" s="96"/>
      <c r="F351" s="96"/>
      <c r="G351" s="96"/>
      <c r="H351" s="96"/>
      <c r="I351" s="96"/>
      <c r="J351" s="5"/>
      <c r="K351" s="5"/>
      <c r="L351" s="5"/>
      <c r="M351" s="5"/>
      <c r="N351" s="5"/>
    </row>
    <row r="352">
      <c r="A352" s="5"/>
      <c r="B352" s="150"/>
      <c r="C352" s="151"/>
      <c r="E352" s="96"/>
      <c r="F352" s="96"/>
      <c r="G352" s="96"/>
      <c r="H352" s="96"/>
      <c r="I352" s="96"/>
      <c r="J352" s="5"/>
      <c r="K352" s="5"/>
      <c r="L352" s="5"/>
      <c r="M352" s="5"/>
      <c r="N352" s="5"/>
    </row>
    <row r="353">
      <c r="A353" s="5"/>
      <c r="B353" s="150"/>
      <c r="C353" s="151"/>
      <c r="E353" s="96"/>
      <c r="F353" s="96"/>
      <c r="G353" s="96"/>
      <c r="H353" s="96"/>
      <c r="I353" s="96"/>
      <c r="J353" s="5"/>
      <c r="K353" s="5"/>
      <c r="L353" s="5"/>
      <c r="M353" s="5"/>
      <c r="N353" s="5"/>
    </row>
    <row r="354">
      <c r="A354" s="5"/>
      <c r="B354" s="150"/>
      <c r="C354" s="151"/>
      <c r="E354" s="96"/>
      <c r="F354" s="96"/>
      <c r="G354" s="96"/>
      <c r="H354" s="96"/>
      <c r="I354" s="96"/>
      <c r="J354" s="5"/>
      <c r="K354" s="5"/>
      <c r="L354" s="5"/>
      <c r="M354" s="5"/>
      <c r="N354" s="5"/>
    </row>
    <row r="355">
      <c r="A355" s="5"/>
      <c r="B355" s="150"/>
      <c r="C355" s="151"/>
      <c r="E355" s="96"/>
      <c r="F355" s="96"/>
      <c r="G355" s="96"/>
      <c r="H355" s="96"/>
      <c r="I355" s="96"/>
      <c r="J355" s="5"/>
      <c r="K355" s="5"/>
      <c r="L355" s="5"/>
      <c r="M355" s="5"/>
      <c r="N355" s="5"/>
    </row>
    <row r="356">
      <c r="A356" s="5"/>
      <c r="B356" s="150"/>
      <c r="C356" s="151"/>
      <c r="E356" s="96"/>
      <c r="F356" s="96"/>
      <c r="G356" s="96"/>
      <c r="H356" s="96"/>
      <c r="I356" s="96"/>
      <c r="J356" s="5"/>
      <c r="K356" s="5"/>
      <c r="L356" s="5"/>
      <c r="M356" s="5"/>
      <c r="N356" s="5"/>
    </row>
    <row r="357">
      <c r="A357" s="5"/>
      <c r="B357" s="150"/>
      <c r="C357" s="151"/>
      <c r="E357" s="96"/>
      <c r="F357" s="96"/>
      <c r="G357" s="96"/>
      <c r="H357" s="96"/>
      <c r="I357" s="96"/>
      <c r="J357" s="5"/>
      <c r="K357" s="5"/>
      <c r="L357" s="5"/>
      <c r="M357" s="5"/>
      <c r="N357" s="5"/>
    </row>
    <row r="358">
      <c r="A358" s="5"/>
      <c r="B358" s="150"/>
      <c r="C358" s="151"/>
      <c r="E358" s="96"/>
      <c r="F358" s="96"/>
      <c r="G358" s="96"/>
      <c r="H358" s="96"/>
      <c r="I358" s="96"/>
      <c r="J358" s="5"/>
      <c r="K358" s="5"/>
      <c r="L358" s="5"/>
      <c r="M358" s="5"/>
      <c r="N358" s="5"/>
    </row>
    <row r="359">
      <c r="A359" s="5"/>
      <c r="B359" s="150"/>
      <c r="C359" s="151"/>
      <c r="E359" s="96"/>
      <c r="F359" s="96"/>
      <c r="G359" s="96"/>
      <c r="H359" s="96"/>
      <c r="I359" s="96"/>
      <c r="J359" s="5"/>
      <c r="K359" s="5"/>
      <c r="L359" s="5"/>
      <c r="M359" s="5"/>
      <c r="N359" s="5"/>
    </row>
    <row r="360">
      <c r="A360" s="5"/>
      <c r="B360" s="150"/>
      <c r="C360" s="151"/>
      <c r="E360" s="96"/>
      <c r="F360" s="96"/>
      <c r="G360" s="96"/>
      <c r="H360" s="96"/>
      <c r="I360" s="96"/>
      <c r="J360" s="5"/>
      <c r="K360" s="5"/>
      <c r="L360" s="5"/>
      <c r="M360" s="5"/>
      <c r="N360" s="5"/>
    </row>
    <row r="361">
      <c r="A361" s="5"/>
      <c r="B361" s="150"/>
      <c r="C361" s="151"/>
      <c r="E361" s="96"/>
      <c r="F361" s="96"/>
      <c r="G361" s="96"/>
      <c r="H361" s="96"/>
      <c r="I361" s="96"/>
      <c r="J361" s="5"/>
      <c r="K361" s="5"/>
      <c r="L361" s="5"/>
      <c r="M361" s="5"/>
      <c r="N361" s="5"/>
    </row>
    <row r="362">
      <c r="A362" s="5"/>
      <c r="B362" s="150"/>
      <c r="C362" s="151"/>
      <c r="E362" s="96"/>
      <c r="F362" s="96"/>
      <c r="G362" s="96"/>
      <c r="H362" s="96"/>
      <c r="I362" s="96"/>
      <c r="J362" s="5"/>
      <c r="K362" s="5"/>
      <c r="L362" s="5"/>
      <c r="M362" s="5"/>
      <c r="N362" s="5"/>
    </row>
    <row r="363">
      <c r="A363" s="5"/>
      <c r="B363" s="150"/>
      <c r="C363" s="151"/>
      <c r="E363" s="96"/>
      <c r="F363" s="96"/>
      <c r="G363" s="96"/>
      <c r="H363" s="96"/>
      <c r="I363" s="96"/>
      <c r="J363" s="5"/>
      <c r="K363" s="5"/>
      <c r="L363" s="5"/>
      <c r="M363" s="5"/>
      <c r="N363" s="5"/>
    </row>
    <row r="364">
      <c r="A364" s="5"/>
      <c r="B364" s="150"/>
      <c r="C364" s="151"/>
      <c r="E364" s="96"/>
      <c r="F364" s="96"/>
      <c r="G364" s="96"/>
      <c r="H364" s="96"/>
      <c r="I364" s="96"/>
      <c r="J364" s="5"/>
      <c r="K364" s="5"/>
      <c r="L364" s="5"/>
      <c r="M364" s="5"/>
      <c r="N364" s="5"/>
    </row>
    <row r="365">
      <c r="A365" s="5"/>
      <c r="B365" s="150"/>
      <c r="C365" s="151"/>
      <c r="E365" s="96"/>
      <c r="F365" s="96"/>
      <c r="G365" s="96"/>
      <c r="H365" s="96"/>
      <c r="I365" s="96"/>
      <c r="J365" s="5"/>
      <c r="K365" s="5"/>
      <c r="L365" s="5"/>
      <c r="M365" s="5"/>
      <c r="N365" s="5"/>
    </row>
    <row r="366">
      <c r="A366" s="5"/>
      <c r="B366" s="150"/>
      <c r="C366" s="151"/>
      <c r="E366" s="96"/>
      <c r="F366" s="96"/>
      <c r="G366" s="96"/>
      <c r="H366" s="96"/>
      <c r="I366" s="96"/>
      <c r="J366" s="5"/>
      <c r="K366" s="5"/>
      <c r="L366" s="5"/>
      <c r="M366" s="5"/>
      <c r="N366" s="5"/>
    </row>
    <row r="367">
      <c r="A367" s="5"/>
      <c r="B367" s="150"/>
      <c r="C367" s="151"/>
      <c r="E367" s="96"/>
      <c r="F367" s="96"/>
      <c r="G367" s="96"/>
      <c r="H367" s="96"/>
      <c r="I367" s="96"/>
      <c r="J367" s="5"/>
      <c r="K367" s="5"/>
      <c r="L367" s="5"/>
      <c r="M367" s="5"/>
      <c r="N367" s="5"/>
    </row>
    <row r="368">
      <c r="A368" s="5"/>
      <c r="B368" s="150"/>
      <c r="C368" s="151"/>
      <c r="E368" s="96"/>
      <c r="F368" s="96"/>
      <c r="G368" s="96"/>
      <c r="H368" s="96"/>
      <c r="I368" s="96"/>
      <c r="J368" s="5"/>
      <c r="K368" s="5"/>
      <c r="L368" s="5"/>
      <c r="M368" s="5"/>
      <c r="N368" s="5"/>
    </row>
    <row r="369">
      <c r="A369" s="5"/>
      <c r="B369" s="150"/>
      <c r="C369" s="151"/>
      <c r="E369" s="96"/>
      <c r="F369" s="96"/>
      <c r="G369" s="96"/>
      <c r="H369" s="96"/>
      <c r="I369" s="96"/>
      <c r="J369" s="5"/>
      <c r="K369" s="5"/>
      <c r="L369" s="5"/>
      <c r="M369" s="5"/>
      <c r="N369" s="5"/>
    </row>
    <row r="370">
      <c r="A370" s="5"/>
      <c r="B370" s="150"/>
      <c r="C370" s="151"/>
      <c r="E370" s="96"/>
      <c r="F370" s="96"/>
      <c r="G370" s="96"/>
      <c r="H370" s="96"/>
      <c r="I370" s="96"/>
      <c r="J370" s="5"/>
      <c r="K370" s="5"/>
      <c r="L370" s="5"/>
      <c r="M370" s="5"/>
      <c r="N370" s="5"/>
    </row>
    <row r="371">
      <c r="A371" s="5"/>
      <c r="B371" s="150"/>
      <c r="C371" s="151"/>
      <c r="E371" s="96"/>
      <c r="F371" s="96"/>
      <c r="G371" s="96"/>
      <c r="H371" s="96"/>
      <c r="I371" s="96"/>
      <c r="J371" s="5"/>
      <c r="K371" s="5"/>
      <c r="L371" s="5"/>
      <c r="M371" s="5"/>
      <c r="N371" s="5"/>
    </row>
    <row r="372">
      <c r="A372" s="5"/>
      <c r="B372" s="150"/>
      <c r="C372" s="151"/>
      <c r="E372" s="96"/>
      <c r="F372" s="96"/>
      <c r="G372" s="96"/>
      <c r="H372" s="96"/>
      <c r="I372" s="96"/>
      <c r="J372" s="5"/>
      <c r="K372" s="5"/>
      <c r="L372" s="5"/>
      <c r="M372" s="5"/>
      <c r="N372" s="5"/>
    </row>
    <row r="373">
      <c r="A373" s="5"/>
      <c r="B373" s="150"/>
      <c r="C373" s="151"/>
      <c r="E373" s="96"/>
      <c r="F373" s="96"/>
      <c r="G373" s="96"/>
      <c r="H373" s="96"/>
      <c r="I373" s="96"/>
      <c r="J373" s="5"/>
      <c r="K373" s="5"/>
      <c r="L373" s="5"/>
      <c r="M373" s="5"/>
      <c r="N373" s="5"/>
    </row>
    <row r="374">
      <c r="A374" s="5"/>
      <c r="B374" s="150"/>
      <c r="C374" s="151"/>
      <c r="E374" s="96"/>
      <c r="F374" s="96"/>
      <c r="G374" s="96"/>
      <c r="H374" s="96"/>
      <c r="I374" s="96"/>
      <c r="J374" s="5"/>
      <c r="K374" s="5"/>
      <c r="L374" s="5"/>
      <c r="M374" s="5"/>
      <c r="N374" s="5"/>
    </row>
    <row r="375">
      <c r="A375" s="5"/>
      <c r="B375" s="150"/>
      <c r="C375" s="151"/>
      <c r="E375" s="96"/>
      <c r="F375" s="96"/>
      <c r="G375" s="96"/>
      <c r="H375" s="96"/>
      <c r="I375" s="96"/>
      <c r="J375" s="5"/>
      <c r="K375" s="5"/>
      <c r="L375" s="5"/>
      <c r="M375" s="5"/>
      <c r="N375" s="5"/>
    </row>
    <row r="376">
      <c r="A376" s="5"/>
      <c r="B376" s="150"/>
      <c r="C376" s="151"/>
      <c r="E376" s="96"/>
      <c r="F376" s="96"/>
      <c r="G376" s="96"/>
      <c r="H376" s="96"/>
      <c r="I376" s="96"/>
      <c r="J376" s="5"/>
      <c r="K376" s="5"/>
      <c r="L376" s="5"/>
      <c r="M376" s="5"/>
      <c r="N376" s="5"/>
    </row>
    <row r="377">
      <c r="A377" s="5"/>
      <c r="B377" s="150"/>
      <c r="C377" s="151"/>
      <c r="E377" s="96"/>
      <c r="F377" s="96"/>
      <c r="G377" s="96"/>
      <c r="H377" s="96"/>
      <c r="I377" s="96"/>
      <c r="J377" s="5"/>
      <c r="K377" s="5"/>
      <c r="L377" s="5"/>
      <c r="M377" s="5"/>
      <c r="N377" s="5"/>
    </row>
    <row r="378">
      <c r="A378" s="5"/>
      <c r="B378" s="150"/>
      <c r="C378" s="151"/>
      <c r="E378" s="96"/>
      <c r="F378" s="96"/>
      <c r="G378" s="96"/>
      <c r="H378" s="96"/>
      <c r="I378" s="96"/>
      <c r="J378" s="5"/>
      <c r="K378" s="5"/>
      <c r="L378" s="5"/>
      <c r="M378" s="5"/>
      <c r="N378" s="5"/>
    </row>
    <row r="379">
      <c r="A379" s="5"/>
      <c r="B379" s="150"/>
      <c r="C379" s="151"/>
      <c r="E379" s="96"/>
      <c r="F379" s="96"/>
      <c r="G379" s="96"/>
      <c r="H379" s="96"/>
      <c r="I379" s="96"/>
      <c r="J379" s="5"/>
      <c r="K379" s="5"/>
      <c r="L379" s="5"/>
      <c r="M379" s="5"/>
      <c r="N379" s="5"/>
    </row>
    <row r="380">
      <c r="A380" s="5"/>
      <c r="B380" s="150"/>
      <c r="C380" s="151"/>
      <c r="E380" s="96"/>
      <c r="F380" s="96"/>
      <c r="G380" s="96"/>
      <c r="H380" s="96"/>
      <c r="I380" s="96"/>
      <c r="J380" s="5"/>
      <c r="K380" s="5"/>
      <c r="L380" s="5"/>
      <c r="M380" s="5"/>
      <c r="N380" s="5"/>
    </row>
    <row r="381">
      <c r="A381" s="5"/>
      <c r="B381" s="150"/>
      <c r="C381" s="151"/>
      <c r="E381" s="96"/>
      <c r="F381" s="96"/>
      <c r="G381" s="96"/>
      <c r="H381" s="96"/>
      <c r="I381" s="96"/>
      <c r="J381" s="5"/>
      <c r="K381" s="5"/>
      <c r="L381" s="5"/>
      <c r="M381" s="5"/>
      <c r="N381" s="5"/>
    </row>
    <row r="382">
      <c r="A382" s="5"/>
      <c r="B382" s="150"/>
      <c r="C382" s="151"/>
      <c r="E382" s="96"/>
      <c r="F382" s="96"/>
      <c r="G382" s="96"/>
      <c r="H382" s="96"/>
      <c r="I382" s="96"/>
      <c r="J382" s="5"/>
      <c r="K382" s="5"/>
      <c r="L382" s="5"/>
      <c r="M382" s="5"/>
      <c r="N382" s="5"/>
    </row>
    <row r="383">
      <c r="A383" s="5"/>
      <c r="B383" s="150"/>
      <c r="C383" s="151"/>
      <c r="E383" s="96"/>
      <c r="F383" s="96"/>
      <c r="G383" s="96"/>
      <c r="H383" s="96"/>
      <c r="I383" s="96"/>
      <c r="J383" s="5"/>
      <c r="K383" s="5"/>
      <c r="L383" s="5"/>
      <c r="M383" s="5"/>
      <c r="N383" s="5"/>
    </row>
    <row r="384">
      <c r="A384" s="5"/>
      <c r="B384" s="150"/>
      <c r="C384" s="151"/>
      <c r="E384" s="96"/>
      <c r="F384" s="96"/>
      <c r="G384" s="96"/>
      <c r="H384" s="96"/>
      <c r="I384" s="96"/>
      <c r="J384" s="5"/>
      <c r="K384" s="5"/>
      <c r="L384" s="5"/>
      <c r="M384" s="5"/>
      <c r="N384" s="5"/>
    </row>
    <row r="385">
      <c r="A385" s="5"/>
      <c r="B385" s="150"/>
      <c r="C385" s="151"/>
      <c r="E385" s="96"/>
      <c r="F385" s="96"/>
      <c r="G385" s="96"/>
      <c r="H385" s="96"/>
      <c r="I385" s="96"/>
      <c r="J385" s="5"/>
      <c r="K385" s="5"/>
      <c r="L385" s="5"/>
      <c r="M385" s="5"/>
      <c r="N385" s="5"/>
    </row>
    <row r="386">
      <c r="A386" s="5"/>
      <c r="B386" s="150"/>
      <c r="C386" s="151"/>
      <c r="E386" s="96"/>
      <c r="F386" s="96"/>
      <c r="G386" s="96"/>
      <c r="H386" s="96"/>
      <c r="I386" s="96"/>
      <c r="J386" s="5"/>
      <c r="K386" s="5"/>
      <c r="L386" s="5"/>
      <c r="M386" s="5"/>
      <c r="N386" s="5"/>
    </row>
    <row r="387">
      <c r="A387" s="5"/>
      <c r="B387" s="150"/>
      <c r="C387" s="151"/>
      <c r="E387" s="96"/>
      <c r="F387" s="96"/>
      <c r="G387" s="96"/>
      <c r="H387" s="96"/>
      <c r="I387" s="96"/>
      <c r="J387" s="5"/>
      <c r="K387" s="5"/>
      <c r="L387" s="5"/>
      <c r="M387" s="5"/>
      <c r="N387" s="5"/>
    </row>
    <row r="388">
      <c r="A388" s="5"/>
      <c r="B388" s="150"/>
      <c r="C388" s="151"/>
      <c r="E388" s="96"/>
      <c r="F388" s="96"/>
      <c r="G388" s="96"/>
      <c r="H388" s="96"/>
      <c r="I388" s="96"/>
      <c r="J388" s="5"/>
      <c r="K388" s="5"/>
      <c r="L388" s="5"/>
      <c r="M388" s="5"/>
      <c r="N388" s="5"/>
    </row>
    <row r="389">
      <c r="A389" s="5"/>
      <c r="B389" s="150"/>
      <c r="C389" s="151"/>
      <c r="E389" s="96"/>
      <c r="F389" s="96"/>
      <c r="G389" s="96"/>
      <c r="H389" s="96"/>
      <c r="I389" s="96"/>
      <c r="J389" s="5"/>
      <c r="K389" s="5"/>
      <c r="L389" s="5"/>
      <c r="M389" s="5"/>
      <c r="N389" s="5"/>
    </row>
    <row r="390">
      <c r="A390" s="5"/>
      <c r="B390" s="150"/>
      <c r="C390" s="151"/>
      <c r="E390" s="96"/>
      <c r="F390" s="96"/>
      <c r="G390" s="96"/>
      <c r="H390" s="96"/>
      <c r="I390" s="96"/>
      <c r="J390" s="5"/>
      <c r="K390" s="5"/>
      <c r="L390" s="5"/>
      <c r="M390" s="5"/>
      <c r="N390" s="5"/>
    </row>
    <row r="391">
      <c r="A391" s="5"/>
      <c r="B391" s="150"/>
      <c r="C391" s="151"/>
      <c r="E391" s="96"/>
      <c r="F391" s="96"/>
      <c r="G391" s="96"/>
      <c r="H391" s="96"/>
      <c r="I391" s="96"/>
      <c r="J391" s="5"/>
      <c r="K391" s="5"/>
      <c r="L391" s="5"/>
      <c r="M391" s="5"/>
      <c r="N391" s="5"/>
    </row>
    <row r="392">
      <c r="A392" s="5"/>
      <c r="B392" s="150"/>
      <c r="C392" s="151"/>
      <c r="E392" s="96"/>
      <c r="F392" s="96"/>
      <c r="G392" s="96"/>
      <c r="H392" s="96"/>
      <c r="I392" s="96"/>
      <c r="J392" s="5"/>
      <c r="K392" s="5"/>
      <c r="L392" s="5"/>
      <c r="M392" s="5"/>
      <c r="N392" s="5"/>
    </row>
    <row r="393">
      <c r="A393" s="5"/>
      <c r="B393" s="150"/>
      <c r="C393" s="151"/>
      <c r="E393" s="96"/>
      <c r="F393" s="96"/>
      <c r="G393" s="96"/>
      <c r="H393" s="96"/>
      <c r="I393" s="96"/>
      <c r="J393" s="5"/>
      <c r="K393" s="5"/>
      <c r="L393" s="5"/>
      <c r="M393" s="5"/>
      <c r="N393" s="5"/>
    </row>
    <row r="394">
      <c r="A394" s="5"/>
      <c r="B394" s="150"/>
      <c r="C394" s="151"/>
      <c r="E394" s="96"/>
      <c r="F394" s="96"/>
      <c r="G394" s="96"/>
      <c r="H394" s="96"/>
      <c r="I394" s="96"/>
      <c r="J394" s="5"/>
      <c r="K394" s="5"/>
      <c r="L394" s="5"/>
      <c r="M394" s="5"/>
      <c r="N394" s="5"/>
    </row>
    <row r="395">
      <c r="A395" s="5"/>
      <c r="B395" s="150"/>
      <c r="C395" s="151"/>
      <c r="E395" s="96"/>
      <c r="F395" s="96"/>
      <c r="G395" s="96"/>
      <c r="H395" s="96"/>
      <c r="I395" s="96"/>
      <c r="J395" s="5"/>
      <c r="K395" s="5"/>
      <c r="L395" s="5"/>
      <c r="M395" s="5"/>
      <c r="N395" s="5"/>
    </row>
    <row r="396">
      <c r="A396" s="5"/>
      <c r="B396" s="150"/>
      <c r="C396" s="151"/>
      <c r="E396" s="96"/>
      <c r="F396" s="96"/>
      <c r="G396" s="96"/>
      <c r="H396" s="96"/>
      <c r="I396" s="96"/>
      <c r="J396" s="5"/>
      <c r="K396" s="5"/>
      <c r="L396" s="5"/>
      <c r="M396" s="5"/>
      <c r="N396" s="5"/>
    </row>
    <row r="397">
      <c r="A397" s="5"/>
      <c r="B397" s="150"/>
      <c r="C397" s="151"/>
      <c r="E397" s="96"/>
      <c r="F397" s="96"/>
      <c r="G397" s="96"/>
      <c r="H397" s="96"/>
      <c r="I397" s="96"/>
      <c r="J397" s="5"/>
      <c r="K397" s="5"/>
      <c r="L397" s="5"/>
      <c r="M397" s="5"/>
      <c r="N397" s="5"/>
    </row>
    <row r="398">
      <c r="A398" s="5"/>
      <c r="B398" s="150"/>
      <c r="C398" s="151"/>
      <c r="E398" s="96"/>
      <c r="F398" s="96"/>
      <c r="G398" s="96"/>
      <c r="H398" s="96"/>
      <c r="I398" s="96"/>
      <c r="J398" s="5"/>
      <c r="K398" s="5"/>
      <c r="L398" s="5"/>
      <c r="M398" s="5"/>
      <c r="N398" s="5"/>
    </row>
    <row r="399">
      <c r="A399" s="5"/>
      <c r="B399" s="150"/>
      <c r="C399" s="151"/>
      <c r="E399" s="96"/>
      <c r="F399" s="96"/>
      <c r="G399" s="96"/>
      <c r="H399" s="96"/>
      <c r="I399" s="96"/>
      <c r="J399" s="5"/>
      <c r="K399" s="5"/>
      <c r="L399" s="5"/>
      <c r="M399" s="5"/>
      <c r="N399" s="5"/>
    </row>
    <row r="400">
      <c r="A400" s="5"/>
      <c r="B400" s="150"/>
      <c r="C400" s="151"/>
      <c r="E400" s="96"/>
      <c r="F400" s="96"/>
      <c r="G400" s="96"/>
      <c r="H400" s="96"/>
      <c r="I400" s="96"/>
      <c r="J400" s="5"/>
      <c r="K400" s="5"/>
      <c r="L400" s="5"/>
      <c r="M400" s="5"/>
      <c r="N400" s="5"/>
    </row>
    <row r="401">
      <c r="A401" s="5"/>
      <c r="B401" s="150"/>
      <c r="C401" s="151"/>
      <c r="E401" s="96"/>
      <c r="F401" s="96"/>
      <c r="G401" s="96"/>
      <c r="H401" s="96"/>
      <c r="I401" s="96"/>
      <c r="J401" s="5"/>
      <c r="K401" s="5"/>
      <c r="L401" s="5"/>
      <c r="M401" s="5"/>
      <c r="N401" s="5"/>
    </row>
    <row r="402">
      <c r="A402" s="5"/>
      <c r="B402" s="150"/>
      <c r="C402" s="151"/>
      <c r="E402" s="96"/>
      <c r="F402" s="96"/>
      <c r="G402" s="96"/>
      <c r="H402" s="96"/>
      <c r="I402" s="96"/>
      <c r="J402" s="5"/>
      <c r="K402" s="5"/>
      <c r="L402" s="5"/>
      <c r="M402" s="5"/>
      <c r="N402" s="5"/>
    </row>
    <row r="403">
      <c r="A403" s="5"/>
      <c r="B403" s="150"/>
      <c r="C403" s="151"/>
      <c r="E403" s="96"/>
      <c r="F403" s="96"/>
      <c r="G403" s="96"/>
      <c r="H403" s="96"/>
      <c r="I403" s="96"/>
      <c r="J403" s="5"/>
      <c r="K403" s="5"/>
      <c r="L403" s="5"/>
      <c r="M403" s="5"/>
      <c r="N403" s="5"/>
    </row>
    <row r="404">
      <c r="A404" s="5"/>
      <c r="B404" s="150"/>
      <c r="C404" s="151"/>
      <c r="E404" s="96"/>
      <c r="F404" s="96"/>
      <c r="G404" s="96"/>
      <c r="H404" s="96"/>
      <c r="I404" s="96"/>
      <c r="J404" s="5"/>
      <c r="K404" s="5"/>
      <c r="L404" s="5"/>
      <c r="M404" s="5"/>
      <c r="N404" s="5"/>
    </row>
    <row r="405">
      <c r="A405" s="5"/>
      <c r="B405" s="150"/>
      <c r="C405" s="151"/>
      <c r="E405" s="96"/>
      <c r="F405" s="96"/>
      <c r="G405" s="96"/>
      <c r="H405" s="96"/>
      <c r="I405" s="96"/>
      <c r="J405" s="5"/>
      <c r="K405" s="5"/>
      <c r="L405" s="5"/>
      <c r="M405" s="5"/>
      <c r="N405" s="5"/>
    </row>
    <row r="406">
      <c r="A406" s="5"/>
      <c r="B406" s="150"/>
      <c r="C406" s="151"/>
      <c r="E406" s="96"/>
      <c r="F406" s="96"/>
      <c r="G406" s="96"/>
      <c r="H406" s="96"/>
      <c r="I406" s="96"/>
      <c r="J406" s="5"/>
      <c r="K406" s="5"/>
      <c r="L406" s="5"/>
      <c r="M406" s="5"/>
      <c r="N406" s="5"/>
    </row>
    <row r="407">
      <c r="A407" s="5"/>
      <c r="B407" s="150"/>
      <c r="C407" s="151"/>
      <c r="E407" s="96"/>
      <c r="F407" s="96"/>
      <c r="G407" s="96"/>
      <c r="H407" s="96"/>
      <c r="I407" s="96"/>
      <c r="J407" s="5"/>
      <c r="K407" s="5"/>
      <c r="L407" s="5"/>
      <c r="M407" s="5"/>
      <c r="N407" s="5"/>
    </row>
    <row r="408">
      <c r="A408" s="5"/>
      <c r="B408" s="150"/>
      <c r="C408" s="151"/>
      <c r="E408" s="96"/>
      <c r="F408" s="96"/>
      <c r="G408" s="96"/>
      <c r="H408" s="96"/>
      <c r="I408" s="96"/>
      <c r="J408" s="5"/>
      <c r="K408" s="5"/>
      <c r="L408" s="5"/>
      <c r="M408" s="5"/>
      <c r="N408" s="5"/>
    </row>
    <row r="409">
      <c r="A409" s="5"/>
      <c r="B409" s="150"/>
      <c r="C409" s="151"/>
      <c r="E409" s="96"/>
      <c r="F409" s="96"/>
      <c r="G409" s="96"/>
      <c r="H409" s="96"/>
      <c r="I409" s="96"/>
      <c r="J409" s="5"/>
      <c r="K409" s="5"/>
      <c r="L409" s="5"/>
      <c r="M409" s="5"/>
      <c r="N409" s="5"/>
    </row>
    <row r="410">
      <c r="A410" s="5"/>
      <c r="B410" s="150"/>
      <c r="C410" s="151"/>
      <c r="E410" s="96"/>
      <c r="F410" s="96"/>
      <c r="G410" s="96"/>
      <c r="H410" s="96"/>
      <c r="I410" s="96"/>
      <c r="J410" s="5"/>
      <c r="K410" s="5"/>
      <c r="L410" s="5"/>
      <c r="M410" s="5"/>
      <c r="N410" s="5"/>
    </row>
    <row r="411">
      <c r="A411" s="5"/>
      <c r="B411" s="150"/>
      <c r="C411" s="151"/>
      <c r="E411" s="96"/>
      <c r="F411" s="96"/>
      <c r="G411" s="96"/>
      <c r="H411" s="96"/>
      <c r="I411" s="96"/>
      <c r="J411" s="5"/>
      <c r="K411" s="5"/>
      <c r="L411" s="5"/>
      <c r="M411" s="5"/>
      <c r="N411" s="5"/>
    </row>
    <row r="412">
      <c r="A412" s="5"/>
      <c r="B412" s="150"/>
      <c r="C412" s="151"/>
      <c r="E412" s="96"/>
      <c r="F412" s="96"/>
      <c r="G412" s="96"/>
      <c r="H412" s="96"/>
      <c r="I412" s="96"/>
      <c r="J412" s="5"/>
      <c r="K412" s="5"/>
      <c r="L412" s="5"/>
      <c r="M412" s="5"/>
      <c r="N412" s="5"/>
    </row>
    <row r="413">
      <c r="A413" s="5"/>
      <c r="B413" s="150"/>
      <c r="C413" s="151"/>
      <c r="E413" s="96"/>
      <c r="F413" s="96"/>
      <c r="G413" s="96"/>
      <c r="H413" s="96"/>
      <c r="I413" s="96"/>
      <c r="J413" s="5"/>
      <c r="K413" s="5"/>
      <c r="L413" s="5"/>
      <c r="M413" s="5"/>
      <c r="N413" s="5"/>
    </row>
    <row r="414">
      <c r="A414" s="5"/>
      <c r="B414" s="150"/>
      <c r="C414" s="151"/>
      <c r="E414" s="96"/>
      <c r="F414" s="96"/>
      <c r="G414" s="96"/>
      <c r="H414" s="96"/>
      <c r="I414" s="96"/>
      <c r="J414" s="5"/>
      <c r="K414" s="5"/>
      <c r="L414" s="5"/>
      <c r="M414" s="5"/>
      <c r="N414" s="5"/>
    </row>
    <row r="415">
      <c r="A415" s="5"/>
      <c r="B415" s="150"/>
      <c r="C415" s="151"/>
      <c r="E415" s="96"/>
      <c r="F415" s="96"/>
      <c r="G415" s="96"/>
      <c r="H415" s="96"/>
      <c r="I415" s="96"/>
      <c r="J415" s="5"/>
      <c r="K415" s="5"/>
      <c r="L415" s="5"/>
      <c r="M415" s="5"/>
      <c r="N415" s="5"/>
    </row>
    <row r="416">
      <c r="A416" s="5"/>
      <c r="B416" s="150"/>
      <c r="C416" s="151"/>
      <c r="E416" s="96"/>
      <c r="F416" s="96"/>
      <c r="G416" s="96"/>
      <c r="H416" s="96"/>
      <c r="I416" s="96"/>
      <c r="J416" s="5"/>
      <c r="K416" s="5"/>
      <c r="L416" s="5"/>
      <c r="M416" s="5"/>
      <c r="N416" s="5"/>
    </row>
    <row r="417">
      <c r="A417" s="5"/>
      <c r="B417" s="150"/>
      <c r="C417" s="151"/>
      <c r="E417" s="96"/>
      <c r="F417" s="96"/>
      <c r="G417" s="96"/>
      <c r="H417" s="96"/>
      <c r="I417" s="96"/>
      <c r="J417" s="5"/>
      <c r="K417" s="5"/>
      <c r="L417" s="5"/>
      <c r="M417" s="5"/>
      <c r="N417" s="5"/>
    </row>
    <row r="418">
      <c r="A418" s="5"/>
      <c r="B418" s="150"/>
      <c r="C418" s="151"/>
      <c r="E418" s="96"/>
      <c r="F418" s="96"/>
      <c r="G418" s="96"/>
      <c r="H418" s="96"/>
      <c r="I418" s="96"/>
      <c r="J418" s="5"/>
      <c r="K418" s="5"/>
      <c r="L418" s="5"/>
      <c r="M418" s="5"/>
      <c r="N418" s="5"/>
    </row>
    <row r="419">
      <c r="A419" s="5"/>
      <c r="B419" s="150"/>
      <c r="C419" s="151"/>
      <c r="E419" s="96"/>
      <c r="F419" s="96"/>
      <c r="G419" s="96"/>
      <c r="H419" s="96"/>
      <c r="I419" s="96"/>
      <c r="J419" s="5"/>
      <c r="K419" s="5"/>
      <c r="L419" s="5"/>
      <c r="M419" s="5"/>
      <c r="N419" s="5"/>
    </row>
    <row r="420">
      <c r="A420" s="5"/>
      <c r="B420" s="150"/>
      <c r="C420" s="151"/>
      <c r="E420" s="96"/>
      <c r="F420" s="96"/>
      <c r="G420" s="96"/>
      <c r="H420" s="96"/>
      <c r="I420" s="96"/>
      <c r="J420" s="5"/>
      <c r="K420" s="5"/>
      <c r="L420" s="5"/>
      <c r="M420" s="5"/>
      <c r="N420" s="5"/>
    </row>
    <row r="421">
      <c r="A421" s="5"/>
      <c r="B421" s="150"/>
      <c r="C421" s="151"/>
      <c r="E421" s="96"/>
      <c r="F421" s="96"/>
      <c r="G421" s="96"/>
      <c r="H421" s="96"/>
      <c r="I421" s="96"/>
      <c r="J421" s="5"/>
      <c r="K421" s="5"/>
      <c r="L421" s="5"/>
      <c r="M421" s="5"/>
      <c r="N421" s="5"/>
    </row>
    <row r="422">
      <c r="A422" s="5"/>
      <c r="B422" s="150"/>
      <c r="C422" s="151"/>
      <c r="E422" s="96"/>
      <c r="F422" s="96"/>
      <c r="G422" s="96"/>
      <c r="H422" s="96"/>
      <c r="I422" s="96"/>
      <c r="J422" s="5"/>
      <c r="K422" s="5"/>
      <c r="L422" s="5"/>
      <c r="M422" s="5"/>
      <c r="N422" s="5"/>
    </row>
    <row r="423">
      <c r="A423" s="5"/>
      <c r="B423" s="150"/>
      <c r="C423" s="151"/>
      <c r="E423" s="96"/>
      <c r="F423" s="96"/>
      <c r="G423" s="96"/>
      <c r="H423" s="96"/>
      <c r="I423" s="96"/>
      <c r="J423" s="5"/>
      <c r="K423" s="5"/>
      <c r="L423" s="5"/>
      <c r="M423" s="5"/>
      <c r="N423" s="5"/>
    </row>
    <row r="424">
      <c r="A424" s="5"/>
      <c r="B424" s="150"/>
      <c r="C424" s="151"/>
      <c r="E424" s="96"/>
      <c r="F424" s="96"/>
      <c r="G424" s="96"/>
      <c r="H424" s="96"/>
      <c r="I424" s="96"/>
      <c r="J424" s="5"/>
      <c r="K424" s="5"/>
      <c r="L424" s="5"/>
      <c r="M424" s="5"/>
      <c r="N424" s="5"/>
    </row>
    <row r="425">
      <c r="A425" s="5"/>
      <c r="B425" s="150"/>
      <c r="C425" s="151"/>
      <c r="E425" s="96"/>
      <c r="F425" s="96"/>
      <c r="G425" s="96"/>
      <c r="H425" s="96"/>
      <c r="I425" s="96"/>
      <c r="J425" s="5"/>
      <c r="K425" s="5"/>
      <c r="L425" s="5"/>
      <c r="M425" s="5"/>
      <c r="N425" s="5"/>
    </row>
    <row r="426">
      <c r="A426" s="5"/>
      <c r="B426" s="150"/>
      <c r="C426" s="151"/>
      <c r="E426" s="96"/>
      <c r="F426" s="96"/>
      <c r="G426" s="96"/>
      <c r="H426" s="96"/>
      <c r="I426" s="96"/>
      <c r="J426" s="5"/>
      <c r="K426" s="5"/>
      <c r="L426" s="5"/>
      <c r="M426" s="5"/>
      <c r="N426" s="5"/>
    </row>
    <row r="427">
      <c r="A427" s="5"/>
      <c r="B427" s="150"/>
      <c r="C427" s="151"/>
      <c r="E427" s="96"/>
      <c r="F427" s="96"/>
      <c r="G427" s="96"/>
      <c r="H427" s="96"/>
      <c r="I427" s="96"/>
      <c r="J427" s="5"/>
      <c r="K427" s="5"/>
      <c r="L427" s="5"/>
      <c r="M427" s="5"/>
      <c r="N427" s="5"/>
    </row>
    <row r="428">
      <c r="A428" s="5"/>
      <c r="B428" s="150"/>
      <c r="C428" s="151"/>
      <c r="E428" s="96"/>
      <c r="F428" s="96"/>
      <c r="G428" s="96"/>
      <c r="H428" s="96"/>
      <c r="I428" s="96"/>
      <c r="J428" s="5"/>
      <c r="K428" s="5"/>
      <c r="L428" s="5"/>
      <c r="M428" s="5"/>
      <c r="N428" s="5"/>
    </row>
    <row r="429">
      <c r="A429" s="5"/>
      <c r="B429" s="150"/>
      <c r="C429" s="151"/>
      <c r="E429" s="96"/>
      <c r="F429" s="96"/>
      <c r="G429" s="96"/>
      <c r="H429" s="96"/>
      <c r="I429" s="96"/>
      <c r="J429" s="5"/>
      <c r="K429" s="5"/>
      <c r="L429" s="5"/>
      <c r="M429" s="5"/>
      <c r="N429" s="5"/>
    </row>
    <row r="430">
      <c r="A430" s="5"/>
      <c r="B430" s="150"/>
      <c r="C430" s="151"/>
      <c r="E430" s="96"/>
      <c r="F430" s="96"/>
      <c r="G430" s="96"/>
      <c r="H430" s="96"/>
      <c r="I430" s="96"/>
      <c r="J430" s="5"/>
      <c r="K430" s="5"/>
      <c r="L430" s="5"/>
      <c r="M430" s="5"/>
      <c r="N430" s="5"/>
    </row>
    <row r="431">
      <c r="A431" s="5"/>
      <c r="B431" s="150"/>
      <c r="C431" s="151"/>
      <c r="E431" s="96"/>
      <c r="F431" s="96"/>
      <c r="G431" s="96"/>
      <c r="H431" s="96"/>
      <c r="I431" s="96"/>
      <c r="J431" s="5"/>
      <c r="K431" s="5"/>
      <c r="L431" s="5"/>
      <c r="M431" s="5"/>
      <c r="N431" s="5"/>
    </row>
    <row r="432">
      <c r="A432" s="5"/>
      <c r="B432" s="150"/>
      <c r="C432" s="151"/>
      <c r="E432" s="96"/>
      <c r="F432" s="96"/>
      <c r="G432" s="96"/>
      <c r="H432" s="96"/>
      <c r="I432" s="96"/>
      <c r="J432" s="5"/>
      <c r="K432" s="5"/>
      <c r="L432" s="5"/>
      <c r="M432" s="5"/>
      <c r="N432" s="5"/>
    </row>
    <row r="433">
      <c r="A433" s="5"/>
      <c r="B433" s="150"/>
      <c r="C433" s="151"/>
      <c r="E433" s="96"/>
      <c r="F433" s="96"/>
      <c r="G433" s="96"/>
      <c r="H433" s="96"/>
      <c r="I433" s="96"/>
      <c r="J433" s="5"/>
      <c r="K433" s="5"/>
      <c r="L433" s="5"/>
      <c r="M433" s="5"/>
      <c r="N433" s="5"/>
    </row>
    <row r="434">
      <c r="A434" s="5"/>
      <c r="B434" s="150"/>
      <c r="C434" s="151"/>
      <c r="E434" s="96"/>
      <c r="F434" s="96"/>
      <c r="G434" s="96"/>
      <c r="H434" s="96"/>
      <c r="I434" s="96"/>
      <c r="J434" s="5"/>
      <c r="K434" s="5"/>
      <c r="L434" s="5"/>
      <c r="M434" s="5"/>
      <c r="N434" s="5"/>
    </row>
    <row r="435">
      <c r="A435" s="5"/>
      <c r="B435" s="150"/>
      <c r="C435" s="151"/>
      <c r="E435" s="96"/>
      <c r="F435" s="96"/>
      <c r="G435" s="96"/>
      <c r="H435" s="96"/>
      <c r="I435" s="96"/>
      <c r="J435" s="5"/>
      <c r="K435" s="5"/>
      <c r="L435" s="5"/>
      <c r="M435" s="5"/>
      <c r="N435" s="5"/>
    </row>
    <row r="436">
      <c r="A436" s="5"/>
      <c r="B436" s="150"/>
      <c r="C436" s="151"/>
      <c r="E436" s="96"/>
      <c r="F436" s="96"/>
      <c r="G436" s="96"/>
      <c r="H436" s="96"/>
      <c r="I436" s="96"/>
      <c r="J436" s="5"/>
      <c r="K436" s="5"/>
      <c r="L436" s="5"/>
      <c r="M436" s="5"/>
      <c r="N436" s="5"/>
    </row>
    <row r="437">
      <c r="A437" s="5"/>
      <c r="B437" s="150"/>
      <c r="C437" s="151"/>
      <c r="E437" s="96"/>
      <c r="F437" s="96"/>
      <c r="G437" s="96"/>
      <c r="H437" s="96"/>
      <c r="I437" s="96"/>
      <c r="J437" s="5"/>
      <c r="K437" s="5"/>
      <c r="L437" s="5"/>
      <c r="M437" s="5"/>
      <c r="N437" s="5"/>
    </row>
    <row r="438">
      <c r="A438" s="5"/>
      <c r="B438" s="150"/>
      <c r="C438" s="151"/>
      <c r="E438" s="96"/>
      <c r="F438" s="96"/>
      <c r="G438" s="96"/>
      <c r="H438" s="96"/>
      <c r="I438" s="96"/>
      <c r="J438" s="5"/>
      <c r="K438" s="5"/>
      <c r="L438" s="5"/>
      <c r="M438" s="5"/>
      <c r="N438" s="5"/>
    </row>
    <row r="439">
      <c r="A439" s="5"/>
      <c r="B439" s="150"/>
      <c r="C439" s="151"/>
      <c r="E439" s="96"/>
      <c r="F439" s="96"/>
      <c r="G439" s="96"/>
      <c r="H439" s="96"/>
      <c r="I439" s="96"/>
      <c r="J439" s="5"/>
      <c r="K439" s="5"/>
      <c r="L439" s="5"/>
      <c r="M439" s="5"/>
      <c r="N439" s="5"/>
    </row>
    <row r="440">
      <c r="A440" s="5"/>
      <c r="B440" s="150"/>
      <c r="C440" s="151"/>
      <c r="E440" s="96"/>
      <c r="F440" s="96"/>
      <c r="G440" s="96"/>
      <c r="H440" s="96"/>
      <c r="I440" s="96"/>
      <c r="J440" s="5"/>
      <c r="K440" s="5"/>
      <c r="L440" s="5"/>
      <c r="M440" s="5"/>
      <c r="N440" s="5"/>
    </row>
    <row r="441">
      <c r="A441" s="5"/>
      <c r="B441" s="150"/>
      <c r="C441" s="151"/>
      <c r="E441" s="96"/>
      <c r="F441" s="96"/>
      <c r="G441" s="96"/>
      <c r="H441" s="96"/>
      <c r="I441" s="96"/>
      <c r="J441" s="5"/>
      <c r="K441" s="5"/>
      <c r="L441" s="5"/>
      <c r="M441" s="5"/>
      <c r="N441" s="5"/>
    </row>
    <row r="442">
      <c r="A442" s="5"/>
      <c r="B442" s="150"/>
      <c r="C442" s="151"/>
      <c r="E442" s="96"/>
      <c r="F442" s="96"/>
      <c r="G442" s="96"/>
      <c r="H442" s="96"/>
      <c r="I442" s="96"/>
      <c r="J442" s="5"/>
      <c r="K442" s="5"/>
      <c r="L442" s="5"/>
      <c r="M442" s="5"/>
      <c r="N442" s="5"/>
    </row>
    <row r="443">
      <c r="A443" s="5"/>
      <c r="B443" s="150"/>
      <c r="C443" s="151"/>
      <c r="E443" s="96"/>
      <c r="F443" s="96"/>
      <c r="G443" s="96"/>
      <c r="H443" s="96"/>
      <c r="I443" s="96"/>
      <c r="J443" s="5"/>
      <c r="K443" s="5"/>
      <c r="L443" s="5"/>
      <c r="M443" s="5"/>
      <c r="N443" s="5"/>
    </row>
    <row r="444">
      <c r="A444" s="5"/>
      <c r="B444" s="150"/>
      <c r="C444" s="151"/>
      <c r="E444" s="96"/>
      <c r="F444" s="96"/>
      <c r="G444" s="96"/>
      <c r="H444" s="96"/>
      <c r="I444" s="96"/>
      <c r="J444" s="5"/>
      <c r="K444" s="5"/>
      <c r="L444" s="5"/>
      <c r="M444" s="5"/>
      <c r="N444" s="5"/>
    </row>
    <row r="445">
      <c r="A445" s="5"/>
      <c r="B445" s="150"/>
      <c r="C445" s="151"/>
      <c r="E445" s="96"/>
      <c r="F445" s="96"/>
      <c r="G445" s="96"/>
      <c r="H445" s="96"/>
      <c r="I445" s="96"/>
      <c r="J445" s="5"/>
      <c r="K445" s="5"/>
      <c r="L445" s="5"/>
      <c r="M445" s="5"/>
      <c r="N445" s="5"/>
    </row>
    <row r="446">
      <c r="A446" s="5"/>
      <c r="B446" s="150"/>
      <c r="C446" s="151"/>
      <c r="E446" s="96"/>
      <c r="F446" s="96"/>
      <c r="G446" s="96"/>
      <c r="H446" s="96"/>
      <c r="I446" s="96"/>
      <c r="J446" s="5"/>
      <c r="K446" s="5"/>
      <c r="L446" s="5"/>
      <c r="M446" s="5"/>
      <c r="N446" s="5"/>
    </row>
    <row r="447">
      <c r="A447" s="5"/>
      <c r="B447" s="150"/>
      <c r="C447" s="151"/>
      <c r="E447" s="96"/>
      <c r="F447" s="96"/>
      <c r="G447" s="96"/>
      <c r="H447" s="96"/>
      <c r="I447" s="96"/>
      <c r="J447" s="5"/>
      <c r="K447" s="5"/>
      <c r="L447" s="5"/>
      <c r="M447" s="5"/>
      <c r="N447" s="5"/>
    </row>
    <row r="448">
      <c r="A448" s="5"/>
      <c r="B448" s="150"/>
      <c r="C448" s="151"/>
      <c r="E448" s="96"/>
      <c r="F448" s="96"/>
      <c r="G448" s="96"/>
      <c r="H448" s="96"/>
      <c r="I448" s="96"/>
      <c r="J448" s="5"/>
      <c r="K448" s="5"/>
      <c r="L448" s="5"/>
      <c r="M448" s="5"/>
      <c r="N448" s="5"/>
    </row>
    <row r="449">
      <c r="A449" s="5"/>
      <c r="B449" s="150"/>
      <c r="C449" s="151"/>
      <c r="E449" s="96"/>
      <c r="F449" s="96"/>
      <c r="G449" s="96"/>
      <c r="H449" s="96"/>
      <c r="I449" s="96"/>
      <c r="J449" s="5"/>
      <c r="K449" s="5"/>
      <c r="L449" s="5"/>
      <c r="M449" s="5"/>
      <c r="N449" s="5"/>
    </row>
    <row r="450">
      <c r="A450" s="5"/>
      <c r="B450" s="150"/>
      <c r="C450" s="151"/>
      <c r="E450" s="96"/>
      <c r="F450" s="96"/>
      <c r="G450" s="96"/>
      <c r="H450" s="96"/>
      <c r="I450" s="96"/>
      <c r="J450" s="5"/>
      <c r="K450" s="5"/>
      <c r="L450" s="5"/>
      <c r="M450" s="5"/>
      <c r="N450" s="5"/>
    </row>
    <row r="451">
      <c r="A451" s="5"/>
      <c r="B451" s="150"/>
      <c r="C451" s="151"/>
      <c r="E451" s="96"/>
      <c r="F451" s="96"/>
      <c r="G451" s="96"/>
      <c r="H451" s="96"/>
      <c r="I451" s="96"/>
      <c r="J451" s="5"/>
      <c r="K451" s="5"/>
      <c r="L451" s="5"/>
      <c r="M451" s="5"/>
      <c r="N451" s="5"/>
    </row>
    <row r="452">
      <c r="A452" s="5"/>
      <c r="B452" s="150"/>
      <c r="C452" s="151"/>
      <c r="E452" s="96"/>
      <c r="F452" s="96"/>
      <c r="G452" s="96"/>
      <c r="H452" s="96"/>
      <c r="I452" s="96"/>
      <c r="J452" s="5"/>
      <c r="K452" s="5"/>
      <c r="L452" s="5"/>
      <c r="M452" s="5"/>
      <c r="N452" s="5"/>
    </row>
    <row r="453">
      <c r="A453" s="5"/>
      <c r="B453" s="150"/>
      <c r="C453" s="151"/>
      <c r="E453" s="96"/>
      <c r="F453" s="96"/>
      <c r="G453" s="96"/>
      <c r="H453" s="96"/>
      <c r="I453" s="96"/>
      <c r="J453" s="5"/>
      <c r="K453" s="5"/>
      <c r="L453" s="5"/>
      <c r="M453" s="5"/>
      <c r="N453" s="5"/>
    </row>
    <row r="454">
      <c r="A454" s="5"/>
      <c r="B454" s="150"/>
      <c r="C454" s="151"/>
      <c r="E454" s="96"/>
      <c r="F454" s="96"/>
      <c r="G454" s="96"/>
      <c r="H454" s="96"/>
      <c r="I454" s="96"/>
      <c r="J454" s="5"/>
      <c r="K454" s="5"/>
      <c r="L454" s="5"/>
      <c r="M454" s="5"/>
      <c r="N454" s="5"/>
    </row>
    <row r="455">
      <c r="A455" s="5"/>
      <c r="B455" s="150"/>
      <c r="C455" s="151"/>
      <c r="E455" s="96"/>
      <c r="F455" s="96"/>
      <c r="G455" s="96"/>
      <c r="H455" s="96"/>
      <c r="I455" s="96"/>
      <c r="J455" s="5"/>
      <c r="K455" s="5"/>
      <c r="L455" s="5"/>
      <c r="M455" s="5"/>
      <c r="N455" s="5"/>
    </row>
    <row r="456">
      <c r="A456" s="5"/>
      <c r="B456" s="150"/>
      <c r="C456" s="151"/>
      <c r="E456" s="96"/>
      <c r="F456" s="96"/>
      <c r="G456" s="96"/>
      <c r="H456" s="96"/>
      <c r="I456" s="96"/>
      <c r="J456" s="5"/>
      <c r="K456" s="5"/>
      <c r="L456" s="5"/>
      <c r="M456" s="5"/>
      <c r="N456" s="5"/>
    </row>
    <row r="457">
      <c r="A457" s="5"/>
      <c r="B457" s="150"/>
      <c r="C457" s="151"/>
      <c r="E457" s="96"/>
      <c r="F457" s="96"/>
      <c r="G457" s="96"/>
      <c r="H457" s="96"/>
      <c r="I457" s="96"/>
      <c r="J457" s="5"/>
      <c r="K457" s="5"/>
      <c r="L457" s="5"/>
      <c r="M457" s="5"/>
      <c r="N457" s="5"/>
    </row>
    <row r="458">
      <c r="A458" s="5"/>
      <c r="B458" s="150"/>
      <c r="C458" s="151"/>
      <c r="E458" s="96"/>
      <c r="F458" s="96"/>
      <c r="G458" s="96"/>
      <c r="H458" s="96"/>
      <c r="I458" s="96"/>
      <c r="J458" s="5"/>
      <c r="K458" s="5"/>
      <c r="L458" s="5"/>
      <c r="M458" s="5"/>
      <c r="N458" s="5"/>
    </row>
    <row r="459">
      <c r="A459" s="5"/>
      <c r="B459" s="150"/>
      <c r="C459" s="151"/>
      <c r="E459" s="96"/>
      <c r="F459" s="96"/>
      <c r="G459" s="96"/>
      <c r="H459" s="96"/>
      <c r="I459" s="96"/>
      <c r="J459" s="5"/>
      <c r="K459" s="5"/>
      <c r="L459" s="5"/>
      <c r="M459" s="5"/>
      <c r="N459" s="5"/>
    </row>
    <row r="460">
      <c r="A460" s="5"/>
      <c r="B460" s="150"/>
      <c r="C460" s="151"/>
      <c r="E460" s="96"/>
      <c r="F460" s="96"/>
      <c r="G460" s="96"/>
      <c r="H460" s="96"/>
      <c r="I460" s="96"/>
      <c r="J460" s="5"/>
      <c r="K460" s="5"/>
      <c r="L460" s="5"/>
      <c r="M460" s="5"/>
      <c r="N460" s="5"/>
    </row>
    <row r="461">
      <c r="A461" s="5"/>
      <c r="B461" s="150"/>
      <c r="C461" s="151"/>
      <c r="E461" s="96"/>
      <c r="F461" s="96"/>
      <c r="G461" s="96"/>
      <c r="H461" s="96"/>
      <c r="I461" s="96"/>
      <c r="J461" s="5"/>
      <c r="K461" s="5"/>
      <c r="L461" s="5"/>
      <c r="M461" s="5"/>
      <c r="N461" s="5"/>
    </row>
    <row r="462">
      <c r="A462" s="5"/>
      <c r="B462" s="150"/>
      <c r="C462" s="151"/>
      <c r="E462" s="96"/>
      <c r="F462" s="96"/>
      <c r="G462" s="96"/>
      <c r="H462" s="96"/>
      <c r="I462" s="96"/>
      <c r="J462" s="5"/>
      <c r="K462" s="5"/>
      <c r="L462" s="5"/>
      <c r="M462" s="5"/>
      <c r="N462" s="5"/>
    </row>
    <row r="463">
      <c r="A463" s="5"/>
      <c r="B463" s="150"/>
      <c r="C463" s="151"/>
      <c r="E463" s="96"/>
      <c r="F463" s="96"/>
      <c r="G463" s="96"/>
      <c r="H463" s="96"/>
      <c r="I463" s="96"/>
      <c r="J463" s="5"/>
      <c r="K463" s="5"/>
      <c r="L463" s="5"/>
      <c r="M463" s="5"/>
      <c r="N463" s="5"/>
    </row>
    <row r="464">
      <c r="A464" s="5"/>
      <c r="B464" s="150"/>
      <c r="C464" s="151"/>
      <c r="E464" s="96"/>
      <c r="F464" s="96"/>
      <c r="G464" s="96"/>
      <c r="H464" s="96"/>
      <c r="I464" s="96"/>
      <c r="J464" s="5"/>
      <c r="K464" s="5"/>
      <c r="L464" s="5"/>
      <c r="M464" s="5"/>
      <c r="N464" s="5"/>
    </row>
    <row r="465">
      <c r="A465" s="5"/>
      <c r="B465" s="150"/>
      <c r="C465" s="151"/>
      <c r="E465" s="96"/>
      <c r="F465" s="96"/>
      <c r="G465" s="96"/>
      <c r="H465" s="96"/>
      <c r="I465" s="96"/>
      <c r="J465" s="5"/>
      <c r="K465" s="5"/>
      <c r="L465" s="5"/>
      <c r="M465" s="5"/>
      <c r="N465" s="5"/>
    </row>
    <row r="466">
      <c r="A466" s="5"/>
      <c r="B466" s="150"/>
      <c r="C466" s="151"/>
      <c r="E466" s="96"/>
      <c r="F466" s="96"/>
      <c r="G466" s="96"/>
      <c r="H466" s="96"/>
      <c r="I466" s="96"/>
      <c r="J466" s="5"/>
      <c r="K466" s="5"/>
      <c r="L466" s="5"/>
      <c r="M466" s="5"/>
      <c r="N466" s="5"/>
    </row>
    <row r="467">
      <c r="A467" s="5"/>
      <c r="B467" s="150"/>
      <c r="C467" s="151"/>
      <c r="E467" s="96"/>
      <c r="F467" s="96"/>
      <c r="G467" s="96"/>
      <c r="H467" s="96"/>
      <c r="I467" s="96"/>
      <c r="J467" s="5"/>
      <c r="K467" s="5"/>
      <c r="L467" s="5"/>
      <c r="M467" s="5"/>
      <c r="N467" s="5"/>
    </row>
    <row r="468">
      <c r="A468" s="5"/>
      <c r="B468" s="150"/>
      <c r="C468" s="151"/>
      <c r="E468" s="96"/>
      <c r="F468" s="96"/>
      <c r="G468" s="96"/>
      <c r="H468" s="96"/>
      <c r="I468" s="96"/>
      <c r="J468" s="5"/>
      <c r="K468" s="5"/>
      <c r="L468" s="5"/>
      <c r="M468" s="5"/>
      <c r="N468" s="5"/>
    </row>
    <row r="469">
      <c r="A469" s="5"/>
      <c r="B469" s="150"/>
      <c r="C469" s="151"/>
      <c r="E469" s="96"/>
      <c r="F469" s="96"/>
      <c r="G469" s="96"/>
      <c r="H469" s="96"/>
      <c r="I469" s="96"/>
      <c r="J469" s="5"/>
      <c r="K469" s="5"/>
      <c r="L469" s="5"/>
      <c r="M469" s="5"/>
      <c r="N469" s="5"/>
    </row>
    <row r="470">
      <c r="A470" s="5"/>
      <c r="B470" s="150"/>
      <c r="C470" s="151"/>
      <c r="E470" s="96"/>
      <c r="F470" s="96"/>
      <c r="G470" s="96"/>
      <c r="H470" s="96"/>
      <c r="I470" s="96"/>
      <c r="J470" s="5"/>
      <c r="K470" s="5"/>
      <c r="L470" s="5"/>
      <c r="M470" s="5"/>
      <c r="N470" s="5"/>
    </row>
    <row r="471">
      <c r="A471" s="5"/>
      <c r="B471" s="150"/>
      <c r="C471" s="151"/>
      <c r="E471" s="96"/>
      <c r="F471" s="96"/>
      <c r="G471" s="96"/>
      <c r="H471" s="96"/>
      <c r="I471" s="96"/>
      <c r="J471" s="5"/>
      <c r="K471" s="5"/>
      <c r="L471" s="5"/>
      <c r="M471" s="5"/>
      <c r="N471" s="5"/>
    </row>
    <row r="472">
      <c r="A472" s="5"/>
      <c r="B472" s="150"/>
      <c r="C472" s="151"/>
      <c r="E472" s="96"/>
      <c r="F472" s="96"/>
      <c r="G472" s="96"/>
      <c r="H472" s="96"/>
      <c r="I472" s="96"/>
      <c r="J472" s="5"/>
      <c r="K472" s="5"/>
      <c r="L472" s="5"/>
      <c r="M472" s="5"/>
      <c r="N472" s="5"/>
    </row>
    <row r="473">
      <c r="A473" s="5"/>
      <c r="B473" s="150"/>
      <c r="C473" s="151"/>
      <c r="E473" s="96"/>
      <c r="F473" s="96"/>
      <c r="G473" s="96"/>
      <c r="H473" s="96"/>
      <c r="I473" s="96"/>
      <c r="J473" s="5"/>
      <c r="K473" s="5"/>
      <c r="L473" s="5"/>
      <c r="M473" s="5"/>
      <c r="N473" s="5"/>
    </row>
    <row r="474">
      <c r="A474" s="5"/>
      <c r="B474" s="150"/>
      <c r="C474" s="151"/>
      <c r="E474" s="96"/>
      <c r="F474" s="96"/>
      <c r="G474" s="96"/>
      <c r="H474" s="96"/>
      <c r="I474" s="96"/>
      <c r="J474" s="5"/>
      <c r="K474" s="5"/>
      <c r="L474" s="5"/>
      <c r="M474" s="5"/>
      <c r="N474" s="5"/>
    </row>
    <row r="475">
      <c r="A475" s="5"/>
      <c r="B475" s="150"/>
      <c r="C475" s="151"/>
      <c r="E475" s="96"/>
      <c r="F475" s="96"/>
      <c r="G475" s="96"/>
      <c r="H475" s="96"/>
      <c r="I475" s="96"/>
      <c r="J475" s="5"/>
      <c r="K475" s="5"/>
      <c r="L475" s="5"/>
      <c r="M475" s="5"/>
      <c r="N475" s="5"/>
    </row>
    <row r="476">
      <c r="A476" s="5"/>
      <c r="B476" s="150"/>
      <c r="C476" s="151"/>
      <c r="E476" s="96"/>
      <c r="F476" s="96"/>
      <c r="G476" s="96"/>
      <c r="H476" s="96"/>
      <c r="I476" s="96"/>
      <c r="J476" s="5"/>
      <c r="K476" s="5"/>
      <c r="L476" s="5"/>
      <c r="M476" s="5"/>
      <c r="N476" s="5"/>
    </row>
    <row r="477">
      <c r="A477" s="5"/>
      <c r="B477" s="150"/>
      <c r="C477" s="151"/>
      <c r="E477" s="96"/>
      <c r="F477" s="96"/>
      <c r="G477" s="96"/>
      <c r="H477" s="96"/>
      <c r="I477" s="96"/>
      <c r="J477" s="5"/>
      <c r="K477" s="5"/>
      <c r="L477" s="5"/>
      <c r="M477" s="5"/>
      <c r="N477" s="5"/>
    </row>
    <row r="478">
      <c r="A478" s="5"/>
      <c r="B478" s="150"/>
      <c r="C478" s="151"/>
      <c r="E478" s="96"/>
      <c r="F478" s="96"/>
      <c r="G478" s="96"/>
      <c r="H478" s="96"/>
      <c r="I478" s="96"/>
      <c r="J478" s="5"/>
      <c r="K478" s="5"/>
      <c r="L478" s="5"/>
      <c r="M478" s="5"/>
      <c r="N478" s="5"/>
    </row>
    <row r="479">
      <c r="A479" s="5"/>
      <c r="B479" s="150"/>
      <c r="C479" s="151"/>
      <c r="E479" s="96"/>
      <c r="F479" s="96"/>
      <c r="G479" s="96"/>
      <c r="H479" s="96"/>
      <c r="I479" s="96"/>
      <c r="J479" s="5"/>
      <c r="K479" s="5"/>
      <c r="L479" s="5"/>
      <c r="M479" s="5"/>
      <c r="N479" s="5"/>
    </row>
    <row r="480">
      <c r="A480" s="5"/>
      <c r="B480" s="150"/>
      <c r="C480" s="151"/>
      <c r="E480" s="96"/>
      <c r="F480" s="96"/>
      <c r="G480" s="96"/>
      <c r="H480" s="96"/>
      <c r="I480" s="96"/>
      <c r="J480" s="5"/>
      <c r="K480" s="5"/>
      <c r="L480" s="5"/>
      <c r="M480" s="5"/>
      <c r="N480" s="5"/>
    </row>
    <row r="481">
      <c r="A481" s="5"/>
      <c r="B481" s="150"/>
      <c r="C481" s="151"/>
      <c r="E481" s="96"/>
      <c r="F481" s="96"/>
      <c r="G481" s="96"/>
      <c r="H481" s="96"/>
      <c r="I481" s="96"/>
      <c r="J481" s="5"/>
      <c r="K481" s="5"/>
      <c r="L481" s="5"/>
      <c r="M481" s="5"/>
      <c r="N481" s="5"/>
    </row>
    <row r="482">
      <c r="A482" s="5"/>
      <c r="B482" s="150"/>
      <c r="C482" s="151"/>
      <c r="E482" s="96"/>
      <c r="F482" s="96"/>
      <c r="G482" s="96"/>
      <c r="H482" s="96"/>
      <c r="I482" s="96"/>
      <c r="J482" s="5"/>
      <c r="K482" s="5"/>
      <c r="L482" s="5"/>
      <c r="M482" s="5"/>
      <c r="N482" s="5"/>
    </row>
    <row r="483">
      <c r="A483" s="5"/>
      <c r="B483" s="150"/>
      <c r="C483" s="151"/>
      <c r="E483" s="96"/>
      <c r="F483" s="96"/>
      <c r="G483" s="96"/>
      <c r="H483" s="96"/>
      <c r="I483" s="96"/>
      <c r="J483" s="5"/>
      <c r="K483" s="5"/>
      <c r="L483" s="5"/>
      <c r="M483" s="5"/>
      <c r="N483" s="5"/>
    </row>
    <row r="484">
      <c r="A484" s="5"/>
      <c r="B484" s="150"/>
      <c r="C484" s="151"/>
      <c r="E484" s="96"/>
      <c r="F484" s="96"/>
      <c r="G484" s="96"/>
      <c r="H484" s="96"/>
      <c r="I484" s="96"/>
      <c r="J484" s="5"/>
      <c r="K484" s="5"/>
      <c r="L484" s="5"/>
      <c r="M484" s="5"/>
      <c r="N484" s="5"/>
    </row>
    <row r="485">
      <c r="A485" s="5"/>
      <c r="B485" s="150"/>
      <c r="C485" s="151"/>
      <c r="E485" s="96"/>
      <c r="F485" s="96"/>
      <c r="G485" s="96"/>
      <c r="H485" s="96"/>
      <c r="I485" s="96"/>
      <c r="J485" s="5"/>
      <c r="K485" s="5"/>
      <c r="L485" s="5"/>
      <c r="M485" s="5"/>
      <c r="N485" s="5"/>
    </row>
    <row r="486">
      <c r="A486" s="5"/>
      <c r="B486" s="150"/>
      <c r="C486" s="151"/>
      <c r="E486" s="96"/>
      <c r="F486" s="96"/>
      <c r="G486" s="96"/>
      <c r="H486" s="96"/>
      <c r="I486" s="96"/>
      <c r="J486" s="5"/>
      <c r="K486" s="5"/>
      <c r="L486" s="5"/>
      <c r="M486" s="5"/>
      <c r="N486" s="5"/>
    </row>
    <row r="487">
      <c r="A487" s="5"/>
      <c r="B487" s="150"/>
      <c r="C487" s="151"/>
      <c r="E487" s="96"/>
      <c r="F487" s="96"/>
      <c r="G487" s="96"/>
      <c r="H487" s="96"/>
      <c r="I487" s="96"/>
      <c r="J487" s="5"/>
      <c r="K487" s="5"/>
      <c r="L487" s="5"/>
      <c r="M487" s="5"/>
      <c r="N487" s="5"/>
    </row>
    <row r="488">
      <c r="A488" s="5"/>
      <c r="B488" s="150"/>
      <c r="C488" s="151"/>
      <c r="E488" s="96"/>
      <c r="F488" s="96"/>
      <c r="G488" s="96"/>
      <c r="H488" s="96"/>
      <c r="I488" s="96"/>
      <c r="J488" s="5"/>
      <c r="K488" s="5"/>
      <c r="L488" s="5"/>
      <c r="M488" s="5"/>
      <c r="N488" s="5"/>
    </row>
    <row r="489">
      <c r="A489" s="5"/>
      <c r="B489" s="150"/>
      <c r="C489" s="151"/>
      <c r="E489" s="96"/>
      <c r="F489" s="96"/>
      <c r="G489" s="96"/>
      <c r="H489" s="96"/>
      <c r="I489" s="96"/>
      <c r="J489" s="5"/>
      <c r="K489" s="5"/>
      <c r="L489" s="5"/>
      <c r="M489" s="5"/>
      <c r="N489" s="5"/>
    </row>
    <row r="490">
      <c r="A490" s="5"/>
      <c r="B490" s="150"/>
      <c r="C490" s="151"/>
      <c r="E490" s="96"/>
      <c r="F490" s="96"/>
      <c r="G490" s="96"/>
      <c r="H490" s="96"/>
      <c r="I490" s="96"/>
      <c r="J490" s="5"/>
      <c r="K490" s="5"/>
      <c r="L490" s="5"/>
      <c r="M490" s="5"/>
      <c r="N490" s="5"/>
    </row>
    <row r="491">
      <c r="A491" s="5"/>
      <c r="B491" s="150"/>
      <c r="C491" s="151"/>
      <c r="E491" s="96"/>
      <c r="F491" s="96"/>
      <c r="G491" s="96"/>
      <c r="H491" s="96"/>
      <c r="I491" s="96"/>
      <c r="J491" s="5"/>
      <c r="K491" s="5"/>
      <c r="L491" s="5"/>
      <c r="M491" s="5"/>
      <c r="N491" s="5"/>
    </row>
    <row r="492">
      <c r="A492" s="5"/>
      <c r="B492" s="150"/>
      <c r="C492" s="151"/>
      <c r="E492" s="96"/>
      <c r="F492" s="96"/>
      <c r="G492" s="96"/>
      <c r="H492" s="96"/>
      <c r="I492" s="96"/>
      <c r="J492" s="5"/>
      <c r="K492" s="5"/>
      <c r="L492" s="5"/>
      <c r="M492" s="5"/>
      <c r="N492" s="5"/>
    </row>
    <row r="493">
      <c r="A493" s="5"/>
      <c r="B493" s="150"/>
      <c r="C493" s="151"/>
      <c r="E493" s="96"/>
      <c r="F493" s="96"/>
      <c r="G493" s="96"/>
      <c r="H493" s="96"/>
      <c r="I493" s="96"/>
      <c r="J493" s="5"/>
      <c r="K493" s="5"/>
      <c r="L493" s="5"/>
      <c r="M493" s="5"/>
      <c r="N493" s="5"/>
    </row>
    <row r="494">
      <c r="A494" s="5"/>
      <c r="B494" s="150"/>
      <c r="C494" s="151"/>
      <c r="E494" s="96"/>
      <c r="F494" s="96"/>
      <c r="G494" s="96"/>
      <c r="H494" s="96"/>
      <c r="I494" s="96"/>
      <c r="J494" s="5"/>
      <c r="K494" s="5"/>
      <c r="L494" s="5"/>
      <c r="M494" s="5"/>
      <c r="N494" s="5"/>
    </row>
    <row r="495">
      <c r="A495" s="5"/>
      <c r="B495" s="150"/>
      <c r="C495" s="151"/>
      <c r="E495" s="96"/>
      <c r="F495" s="96"/>
      <c r="G495" s="96"/>
      <c r="H495" s="96"/>
      <c r="I495" s="96"/>
      <c r="J495" s="5"/>
      <c r="K495" s="5"/>
      <c r="L495" s="5"/>
      <c r="M495" s="5"/>
      <c r="N495" s="5"/>
    </row>
    <row r="496">
      <c r="A496" s="5"/>
      <c r="B496" s="150"/>
      <c r="C496" s="151"/>
      <c r="E496" s="96"/>
      <c r="F496" s="96"/>
      <c r="G496" s="96"/>
      <c r="H496" s="96"/>
      <c r="I496" s="96"/>
      <c r="J496" s="5"/>
      <c r="K496" s="5"/>
      <c r="L496" s="5"/>
      <c r="M496" s="5"/>
      <c r="N496" s="5"/>
    </row>
    <row r="497">
      <c r="A497" s="5"/>
      <c r="B497" s="150"/>
      <c r="C497" s="151"/>
      <c r="E497" s="96"/>
      <c r="F497" s="96"/>
      <c r="G497" s="96"/>
      <c r="H497" s="96"/>
      <c r="I497" s="96"/>
      <c r="J497" s="5"/>
      <c r="K497" s="5"/>
      <c r="L497" s="5"/>
      <c r="M497" s="5"/>
      <c r="N497" s="5"/>
    </row>
    <row r="498">
      <c r="A498" s="5"/>
      <c r="B498" s="150"/>
      <c r="C498" s="151"/>
      <c r="E498" s="96"/>
      <c r="F498" s="96"/>
      <c r="G498" s="96"/>
      <c r="H498" s="96"/>
      <c r="I498" s="96"/>
      <c r="J498" s="5"/>
      <c r="K498" s="5"/>
      <c r="L498" s="5"/>
      <c r="M498" s="5"/>
      <c r="N498" s="5"/>
    </row>
    <row r="499">
      <c r="A499" s="5"/>
      <c r="B499" s="150"/>
      <c r="C499" s="151"/>
      <c r="E499" s="96"/>
      <c r="F499" s="96"/>
      <c r="G499" s="96"/>
      <c r="H499" s="96"/>
      <c r="I499" s="96"/>
      <c r="J499" s="5"/>
      <c r="K499" s="5"/>
      <c r="L499" s="5"/>
      <c r="M499" s="5"/>
      <c r="N499" s="5"/>
    </row>
    <row r="500">
      <c r="A500" s="5"/>
      <c r="B500" s="150"/>
      <c r="C500" s="151"/>
      <c r="E500" s="96"/>
      <c r="F500" s="96"/>
      <c r="G500" s="96"/>
      <c r="H500" s="96"/>
      <c r="I500" s="96"/>
      <c r="J500" s="5"/>
      <c r="K500" s="5"/>
      <c r="L500" s="5"/>
      <c r="M500" s="5"/>
      <c r="N500" s="5"/>
    </row>
    <row r="501">
      <c r="A501" s="5"/>
      <c r="B501" s="150"/>
      <c r="C501" s="151"/>
      <c r="E501" s="96"/>
      <c r="F501" s="96"/>
      <c r="G501" s="96"/>
      <c r="H501" s="96"/>
      <c r="I501" s="96"/>
      <c r="J501" s="5"/>
      <c r="K501" s="5"/>
      <c r="L501" s="5"/>
      <c r="M501" s="5"/>
      <c r="N501" s="5"/>
    </row>
    <row r="502">
      <c r="A502" s="5"/>
      <c r="B502" s="150"/>
      <c r="C502" s="151"/>
      <c r="E502" s="96"/>
      <c r="F502" s="96"/>
      <c r="G502" s="96"/>
      <c r="H502" s="96"/>
      <c r="I502" s="96"/>
      <c r="J502" s="5"/>
      <c r="K502" s="5"/>
      <c r="L502" s="5"/>
      <c r="M502" s="5"/>
      <c r="N502" s="5"/>
    </row>
    <row r="503">
      <c r="A503" s="5"/>
      <c r="B503" s="150"/>
      <c r="C503" s="151"/>
      <c r="E503" s="96"/>
      <c r="F503" s="96"/>
      <c r="G503" s="96"/>
      <c r="H503" s="96"/>
      <c r="I503" s="96"/>
      <c r="J503" s="5"/>
      <c r="K503" s="5"/>
      <c r="L503" s="5"/>
      <c r="M503" s="5"/>
      <c r="N503" s="5"/>
    </row>
    <row r="504">
      <c r="A504" s="5"/>
      <c r="B504" s="150"/>
      <c r="C504" s="151"/>
      <c r="E504" s="96"/>
      <c r="F504" s="96"/>
      <c r="G504" s="96"/>
      <c r="H504" s="96"/>
      <c r="I504" s="96"/>
      <c r="J504" s="5"/>
      <c r="K504" s="5"/>
      <c r="L504" s="5"/>
      <c r="M504" s="5"/>
      <c r="N504" s="5"/>
    </row>
    <row r="505">
      <c r="A505" s="5"/>
      <c r="B505" s="150"/>
      <c r="C505" s="151"/>
      <c r="E505" s="96"/>
      <c r="F505" s="96"/>
      <c r="G505" s="96"/>
      <c r="H505" s="96"/>
      <c r="I505" s="96"/>
      <c r="J505" s="5"/>
      <c r="K505" s="5"/>
      <c r="L505" s="5"/>
      <c r="M505" s="5"/>
      <c r="N505" s="5"/>
    </row>
    <row r="506">
      <c r="A506" s="5"/>
      <c r="B506" s="150"/>
      <c r="C506" s="151"/>
      <c r="E506" s="96"/>
      <c r="F506" s="96"/>
      <c r="G506" s="96"/>
      <c r="H506" s="96"/>
      <c r="I506" s="96"/>
      <c r="J506" s="5"/>
      <c r="K506" s="5"/>
      <c r="L506" s="5"/>
      <c r="M506" s="5"/>
      <c r="N506" s="5"/>
    </row>
    <row r="507">
      <c r="A507" s="5"/>
      <c r="B507" s="150"/>
      <c r="C507" s="151"/>
      <c r="E507" s="96"/>
      <c r="F507" s="96"/>
      <c r="G507" s="96"/>
      <c r="H507" s="96"/>
      <c r="I507" s="96"/>
      <c r="J507" s="5"/>
      <c r="K507" s="5"/>
      <c r="L507" s="5"/>
      <c r="M507" s="5"/>
      <c r="N507" s="5"/>
    </row>
    <row r="508">
      <c r="A508" s="5"/>
      <c r="B508" s="150"/>
      <c r="C508" s="151"/>
      <c r="E508" s="96"/>
      <c r="F508" s="96"/>
      <c r="G508" s="96"/>
      <c r="H508" s="96"/>
      <c r="I508" s="96"/>
      <c r="J508" s="5"/>
      <c r="K508" s="5"/>
      <c r="L508" s="5"/>
      <c r="M508" s="5"/>
      <c r="N508" s="5"/>
    </row>
    <row r="509">
      <c r="A509" s="5"/>
      <c r="B509" s="150"/>
      <c r="C509" s="151"/>
      <c r="E509" s="96"/>
      <c r="F509" s="96"/>
      <c r="G509" s="96"/>
      <c r="H509" s="96"/>
      <c r="I509" s="96"/>
      <c r="J509" s="5"/>
      <c r="K509" s="5"/>
      <c r="L509" s="5"/>
      <c r="M509" s="5"/>
      <c r="N509" s="5"/>
    </row>
    <row r="510">
      <c r="A510" s="5"/>
      <c r="B510" s="150"/>
      <c r="C510" s="151"/>
      <c r="E510" s="96"/>
      <c r="F510" s="96"/>
      <c r="G510" s="96"/>
      <c r="H510" s="96"/>
      <c r="I510" s="96"/>
      <c r="J510" s="5"/>
      <c r="K510" s="5"/>
      <c r="L510" s="5"/>
      <c r="M510" s="5"/>
      <c r="N510" s="5"/>
    </row>
    <row r="511">
      <c r="A511" s="5"/>
      <c r="B511" s="150"/>
      <c r="C511" s="151"/>
      <c r="E511" s="96"/>
      <c r="F511" s="96"/>
      <c r="G511" s="96"/>
      <c r="H511" s="96"/>
      <c r="I511" s="96"/>
      <c r="J511" s="5"/>
      <c r="K511" s="5"/>
      <c r="L511" s="5"/>
      <c r="M511" s="5"/>
      <c r="N511" s="5"/>
    </row>
    <row r="512">
      <c r="A512" s="5"/>
      <c r="B512" s="150"/>
      <c r="C512" s="151"/>
      <c r="E512" s="96"/>
      <c r="F512" s="96"/>
      <c r="G512" s="96"/>
      <c r="H512" s="96"/>
      <c r="I512" s="96"/>
      <c r="J512" s="5"/>
      <c r="K512" s="5"/>
      <c r="L512" s="5"/>
      <c r="M512" s="5"/>
      <c r="N512" s="5"/>
    </row>
    <row r="513">
      <c r="A513" s="5"/>
      <c r="B513" s="150"/>
      <c r="C513" s="151"/>
      <c r="E513" s="96"/>
      <c r="F513" s="96"/>
      <c r="G513" s="96"/>
      <c r="H513" s="96"/>
      <c r="I513" s="96"/>
      <c r="J513" s="5"/>
      <c r="K513" s="5"/>
      <c r="L513" s="5"/>
      <c r="M513" s="5"/>
      <c r="N513" s="5"/>
    </row>
    <row r="514">
      <c r="A514" s="5"/>
      <c r="B514" s="150"/>
      <c r="C514" s="151"/>
      <c r="E514" s="96"/>
      <c r="F514" s="96"/>
      <c r="G514" s="96"/>
      <c r="H514" s="96"/>
      <c r="I514" s="96"/>
      <c r="J514" s="5"/>
      <c r="K514" s="5"/>
      <c r="L514" s="5"/>
      <c r="M514" s="5"/>
      <c r="N514" s="5"/>
    </row>
    <row r="515">
      <c r="A515" s="5"/>
      <c r="B515" s="150"/>
      <c r="C515" s="151"/>
      <c r="E515" s="96"/>
      <c r="F515" s="96"/>
      <c r="G515" s="96"/>
      <c r="H515" s="96"/>
      <c r="I515" s="96"/>
      <c r="J515" s="5"/>
      <c r="K515" s="5"/>
      <c r="L515" s="5"/>
      <c r="M515" s="5"/>
      <c r="N515" s="5"/>
    </row>
    <row r="516">
      <c r="A516" s="5"/>
      <c r="B516" s="150"/>
      <c r="C516" s="151"/>
      <c r="E516" s="96"/>
      <c r="F516" s="96"/>
      <c r="G516" s="96"/>
      <c r="H516" s="96"/>
      <c r="I516" s="96"/>
      <c r="J516" s="5"/>
      <c r="K516" s="5"/>
      <c r="L516" s="5"/>
      <c r="M516" s="5"/>
      <c r="N516" s="5"/>
    </row>
    <row r="517">
      <c r="A517" s="5"/>
      <c r="B517" s="150"/>
      <c r="C517" s="151"/>
      <c r="E517" s="96"/>
      <c r="F517" s="96"/>
      <c r="G517" s="96"/>
      <c r="H517" s="96"/>
      <c r="I517" s="96"/>
      <c r="J517" s="5"/>
      <c r="K517" s="5"/>
      <c r="L517" s="5"/>
      <c r="M517" s="5"/>
      <c r="N517" s="5"/>
    </row>
    <row r="518">
      <c r="A518" s="5"/>
      <c r="B518" s="150"/>
      <c r="C518" s="151"/>
      <c r="E518" s="96"/>
      <c r="F518" s="96"/>
      <c r="G518" s="96"/>
      <c r="H518" s="96"/>
      <c r="I518" s="96"/>
      <c r="J518" s="5"/>
      <c r="K518" s="5"/>
      <c r="L518" s="5"/>
      <c r="M518" s="5"/>
      <c r="N518" s="5"/>
    </row>
    <row r="519">
      <c r="A519" s="5"/>
      <c r="B519" s="150"/>
      <c r="C519" s="151"/>
      <c r="E519" s="96"/>
      <c r="F519" s="96"/>
      <c r="G519" s="96"/>
      <c r="H519" s="96"/>
      <c r="I519" s="96"/>
      <c r="J519" s="5"/>
      <c r="K519" s="5"/>
      <c r="L519" s="5"/>
      <c r="M519" s="5"/>
      <c r="N519" s="5"/>
    </row>
    <row r="520">
      <c r="A520" s="5"/>
      <c r="B520" s="150"/>
      <c r="C520" s="151"/>
      <c r="E520" s="96"/>
      <c r="F520" s="96"/>
      <c r="G520" s="96"/>
      <c r="H520" s="96"/>
      <c r="I520" s="96"/>
      <c r="J520" s="5"/>
      <c r="K520" s="5"/>
      <c r="L520" s="5"/>
      <c r="M520" s="5"/>
      <c r="N520" s="5"/>
    </row>
    <row r="521">
      <c r="A521" s="5"/>
      <c r="B521" s="150"/>
      <c r="C521" s="151"/>
      <c r="E521" s="96"/>
      <c r="F521" s="96"/>
      <c r="G521" s="96"/>
      <c r="H521" s="96"/>
      <c r="I521" s="96"/>
      <c r="J521" s="5"/>
      <c r="K521" s="5"/>
      <c r="L521" s="5"/>
      <c r="M521" s="5"/>
      <c r="N521" s="5"/>
    </row>
    <row r="522">
      <c r="A522" s="5"/>
      <c r="B522" s="150"/>
      <c r="C522" s="151"/>
      <c r="E522" s="96"/>
      <c r="F522" s="96"/>
      <c r="G522" s="96"/>
      <c r="H522" s="96"/>
      <c r="I522" s="96"/>
      <c r="J522" s="5"/>
      <c r="K522" s="5"/>
      <c r="L522" s="5"/>
      <c r="M522" s="5"/>
      <c r="N522" s="5"/>
    </row>
    <row r="523">
      <c r="A523" s="5"/>
      <c r="B523" s="150"/>
      <c r="C523" s="151"/>
      <c r="E523" s="96"/>
      <c r="F523" s="96"/>
      <c r="G523" s="96"/>
      <c r="H523" s="96"/>
      <c r="I523" s="96"/>
      <c r="J523" s="5"/>
      <c r="K523" s="5"/>
      <c r="L523" s="5"/>
      <c r="M523" s="5"/>
      <c r="N523" s="5"/>
    </row>
    <row r="524">
      <c r="A524" s="5"/>
      <c r="B524" s="150"/>
      <c r="C524" s="151"/>
      <c r="E524" s="96"/>
      <c r="F524" s="96"/>
      <c r="G524" s="96"/>
      <c r="H524" s="96"/>
      <c r="I524" s="96"/>
      <c r="J524" s="5"/>
      <c r="K524" s="5"/>
      <c r="L524" s="5"/>
      <c r="M524" s="5"/>
      <c r="N524" s="5"/>
    </row>
    <row r="525">
      <c r="A525" s="5"/>
      <c r="B525" s="150"/>
      <c r="C525" s="151"/>
      <c r="E525" s="96"/>
      <c r="F525" s="96"/>
      <c r="G525" s="96"/>
      <c r="H525" s="96"/>
      <c r="I525" s="96"/>
      <c r="J525" s="5"/>
      <c r="K525" s="5"/>
      <c r="L525" s="5"/>
      <c r="M525" s="5"/>
      <c r="N525" s="5"/>
    </row>
    <row r="526">
      <c r="A526" s="5"/>
      <c r="B526" s="150"/>
      <c r="C526" s="151"/>
      <c r="E526" s="96"/>
      <c r="F526" s="96"/>
      <c r="G526" s="96"/>
      <c r="H526" s="96"/>
      <c r="I526" s="96"/>
      <c r="J526" s="5"/>
      <c r="K526" s="5"/>
      <c r="L526" s="5"/>
      <c r="M526" s="5"/>
      <c r="N526" s="5"/>
    </row>
    <row r="527">
      <c r="A527" s="5"/>
      <c r="B527" s="150"/>
      <c r="C527" s="151"/>
      <c r="E527" s="96"/>
      <c r="F527" s="96"/>
      <c r="G527" s="96"/>
      <c r="H527" s="96"/>
      <c r="I527" s="96"/>
      <c r="J527" s="5"/>
      <c r="K527" s="5"/>
      <c r="L527" s="5"/>
      <c r="M527" s="5"/>
      <c r="N527" s="5"/>
    </row>
    <row r="528">
      <c r="A528" s="5"/>
      <c r="B528" s="150"/>
      <c r="C528" s="151"/>
      <c r="E528" s="96"/>
      <c r="F528" s="96"/>
      <c r="G528" s="96"/>
      <c r="H528" s="96"/>
      <c r="I528" s="96"/>
      <c r="J528" s="5"/>
      <c r="K528" s="5"/>
      <c r="L528" s="5"/>
      <c r="M528" s="5"/>
      <c r="N528" s="5"/>
    </row>
    <row r="529">
      <c r="A529" s="5"/>
      <c r="B529" s="150"/>
      <c r="C529" s="151"/>
      <c r="E529" s="96"/>
      <c r="F529" s="96"/>
      <c r="G529" s="96"/>
      <c r="H529" s="96"/>
      <c r="I529" s="96"/>
      <c r="J529" s="5"/>
      <c r="K529" s="5"/>
      <c r="L529" s="5"/>
      <c r="M529" s="5"/>
      <c r="N529" s="5"/>
    </row>
    <row r="530">
      <c r="A530" s="5"/>
      <c r="B530" s="150"/>
      <c r="C530" s="151"/>
      <c r="E530" s="96"/>
      <c r="F530" s="96"/>
      <c r="G530" s="96"/>
      <c r="H530" s="96"/>
      <c r="I530" s="96"/>
      <c r="J530" s="5"/>
      <c r="K530" s="5"/>
      <c r="L530" s="5"/>
      <c r="M530" s="5"/>
      <c r="N530" s="5"/>
    </row>
    <row r="531">
      <c r="A531" s="5"/>
      <c r="B531" s="150"/>
      <c r="C531" s="151"/>
      <c r="E531" s="96"/>
      <c r="F531" s="96"/>
      <c r="G531" s="96"/>
      <c r="H531" s="96"/>
      <c r="I531" s="96"/>
      <c r="J531" s="5"/>
      <c r="K531" s="5"/>
      <c r="L531" s="5"/>
      <c r="M531" s="5"/>
      <c r="N531" s="5"/>
    </row>
    <row r="532">
      <c r="A532" s="5"/>
      <c r="B532" s="150"/>
      <c r="C532" s="151"/>
      <c r="E532" s="96"/>
      <c r="F532" s="96"/>
      <c r="G532" s="96"/>
      <c r="H532" s="96"/>
      <c r="I532" s="96"/>
      <c r="J532" s="5"/>
      <c r="K532" s="5"/>
      <c r="L532" s="5"/>
      <c r="M532" s="5"/>
      <c r="N532" s="5"/>
    </row>
    <row r="533">
      <c r="A533" s="5"/>
      <c r="B533" s="150"/>
      <c r="C533" s="151"/>
      <c r="E533" s="96"/>
      <c r="F533" s="96"/>
      <c r="G533" s="96"/>
      <c r="H533" s="96"/>
      <c r="I533" s="96"/>
      <c r="J533" s="5"/>
      <c r="K533" s="5"/>
      <c r="L533" s="5"/>
      <c r="M533" s="5"/>
      <c r="N533" s="5"/>
    </row>
    <row r="534">
      <c r="A534" s="5"/>
      <c r="B534" s="150"/>
      <c r="C534" s="151"/>
      <c r="E534" s="96"/>
      <c r="F534" s="96"/>
      <c r="G534" s="96"/>
      <c r="H534" s="96"/>
      <c r="I534" s="96"/>
      <c r="J534" s="5"/>
      <c r="K534" s="5"/>
      <c r="L534" s="5"/>
      <c r="M534" s="5"/>
      <c r="N534" s="5"/>
    </row>
    <row r="535">
      <c r="A535" s="5"/>
      <c r="B535" s="150"/>
      <c r="C535" s="151"/>
      <c r="E535" s="96"/>
      <c r="F535" s="96"/>
      <c r="G535" s="96"/>
      <c r="H535" s="96"/>
      <c r="I535" s="96"/>
      <c r="J535" s="5"/>
      <c r="K535" s="5"/>
      <c r="L535" s="5"/>
      <c r="M535" s="5"/>
      <c r="N535" s="5"/>
    </row>
    <row r="536">
      <c r="A536" s="5"/>
      <c r="B536" s="150"/>
      <c r="C536" s="151"/>
      <c r="E536" s="96"/>
      <c r="F536" s="96"/>
      <c r="G536" s="96"/>
      <c r="H536" s="96"/>
      <c r="I536" s="96"/>
      <c r="J536" s="5"/>
      <c r="K536" s="5"/>
      <c r="L536" s="5"/>
      <c r="M536" s="5"/>
      <c r="N536" s="5"/>
    </row>
    <row r="537">
      <c r="A537" s="5"/>
      <c r="B537" s="150"/>
      <c r="C537" s="151"/>
      <c r="E537" s="96"/>
      <c r="F537" s="96"/>
      <c r="G537" s="96"/>
      <c r="H537" s="96"/>
      <c r="I537" s="96"/>
      <c r="J537" s="5"/>
      <c r="K537" s="5"/>
      <c r="L537" s="5"/>
      <c r="M537" s="5"/>
      <c r="N537" s="5"/>
    </row>
    <row r="538">
      <c r="A538" s="5"/>
      <c r="B538" s="150"/>
      <c r="C538" s="151"/>
      <c r="E538" s="96"/>
      <c r="F538" s="96"/>
      <c r="G538" s="96"/>
      <c r="H538" s="96"/>
      <c r="I538" s="96"/>
      <c r="J538" s="5"/>
      <c r="K538" s="5"/>
      <c r="L538" s="5"/>
      <c r="M538" s="5"/>
      <c r="N538" s="5"/>
    </row>
    <row r="539">
      <c r="A539" s="5"/>
      <c r="B539" s="150"/>
      <c r="C539" s="151"/>
      <c r="E539" s="96"/>
      <c r="F539" s="96"/>
      <c r="G539" s="96"/>
      <c r="H539" s="96"/>
      <c r="I539" s="96"/>
      <c r="J539" s="5"/>
      <c r="K539" s="5"/>
      <c r="L539" s="5"/>
      <c r="M539" s="5"/>
      <c r="N539" s="5"/>
    </row>
    <row r="540">
      <c r="A540" s="5"/>
      <c r="B540" s="150"/>
      <c r="C540" s="151"/>
      <c r="E540" s="96"/>
      <c r="F540" s="96"/>
      <c r="G540" s="96"/>
      <c r="H540" s="96"/>
      <c r="I540" s="96"/>
      <c r="J540" s="5"/>
      <c r="K540" s="5"/>
      <c r="L540" s="5"/>
      <c r="M540" s="5"/>
      <c r="N540" s="5"/>
    </row>
    <row r="541">
      <c r="A541" s="5"/>
      <c r="B541" s="150"/>
      <c r="C541" s="151"/>
      <c r="E541" s="96"/>
      <c r="F541" s="96"/>
      <c r="G541" s="96"/>
      <c r="H541" s="96"/>
      <c r="I541" s="96"/>
      <c r="J541" s="5"/>
      <c r="K541" s="5"/>
      <c r="L541" s="5"/>
      <c r="M541" s="5"/>
      <c r="N541" s="5"/>
    </row>
    <row r="542">
      <c r="A542" s="5"/>
      <c r="B542" s="150"/>
      <c r="C542" s="151"/>
      <c r="E542" s="96"/>
      <c r="F542" s="96"/>
      <c r="G542" s="96"/>
      <c r="H542" s="96"/>
      <c r="I542" s="96"/>
      <c r="J542" s="5"/>
      <c r="K542" s="5"/>
      <c r="L542" s="5"/>
      <c r="M542" s="5"/>
      <c r="N542" s="5"/>
    </row>
    <row r="543">
      <c r="A543" s="5"/>
      <c r="B543" s="150"/>
      <c r="C543" s="151"/>
      <c r="E543" s="96"/>
      <c r="F543" s="96"/>
      <c r="G543" s="96"/>
      <c r="H543" s="96"/>
      <c r="I543" s="96"/>
      <c r="J543" s="5"/>
      <c r="K543" s="5"/>
      <c r="L543" s="5"/>
      <c r="M543" s="5"/>
      <c r="N543" s="5"/>
    </row>
    <row r="544">
      <c r="A544" s="5"/>
      <c r="B544" s="150"/>
      <c r="C544" s="151"/>
      <c r="E544" s="96"/>
      <c r="F544" s="96"/>
      <c r="G544" s="96"/>
      <c r="H544" s="96"/>
      <c r="I544" s="96"/>
      <c r="J544" s="5"/>
      <c r="K544" s="5"/>
      <c r="L544" s="5"/>
      <c r="M544" s="5"/>
      <c r="N544" s="5"/>
    </row>
    <row r="545">
      <c r="A545" s="5"/>
      <c r="B545" s="150"/>
      <c r="C545" s="151"/>
      <c r="E545" s="96"/>
      <c r="F545" s="96"/>
      <c r="G545" s="96"/>
      <c r="H545" s="96"/>
      <c r="I545" s="96"/>
      <c r="J545" s="5"/>
      <c r="K545" s="5"/>
      <c r="L545" s="5"/>
      <c r="M545" s="5"/>
      <c r="N545" s="5"/>
    </row>
    <row r="546">
      <c r="A546" s="5"/>
      <c r="B546" s="150"/>
      <c r="C546" s="151"/>
      <c r="E546" s="96"/>
      <c r="F546" s="96"/>
      <c r="G546" s="96"/>
      <c r="H546" s="96"/>
      <c r="I546" s="96"/>
      <c r="J546" s="5"/>
      <c r="K546" s="5"/>
      <c r="L546" s="5"/>
      <c r="M546" s="5"/>
      <c r="N546" s="5"/>
    </row>
    <row r="547">
      <c r="A547" s="5"/>
      <c r="B547" s="150"/>
      <c r="C547" s="151"/>
      <c r="E547" s="96"/>
      <c r="F547" s="96"/>
      <c r="G547" s="96"/>
      <c r="H547" s="96"/>
      <c r="I547" s="96"/>
      <c r="J547" s="5"/>
      <c r="K547" s="5"/>
      <c r="L547" s="5"/>
      <c r="M547" s="5"/>
      <c r="N547" s="5"/>
    </row>
    <row r="548">
      <c r="A548" s="5"/>
      <c r="B548" s="150"/>
      <c r="C548" s="151"/>
      <c r="E548" s="96"/>
      <c r="F548" s="96"/>
      <c r="G548" s="96"/>
      <c r="H548" s="96"/>
      <c r="I548" s="96"/>
      <c r="J548" s="5"/>
      <c r="K548" s="5"/>
      <c r="L548" s="5"/>
      <c r="M548" s="5"/>
      <c r="N548" s="5"/>
    </row>
    <row r="549">
      <c r="A549" s="5"/>
      <c r="B549" s="150"/>
      <c r="C549" s="151"/>
      <c r="E549" s="96"/>
      <c r="F549" s="96"/>
      <c r="G549" s="96"/>
      <c r="H549" s="96"/>
      <c r="I549" s="96"/>
      <c r="J549" s="5"/>
      <c r="K549" s="5"/>
      <c r="L549" s="5"/>
      <c r="M549" s="5"/>
      <c r="N549" s="5"/>
    </row>
    <row r="550">
      <c r="A550" s="5"/>
      <c r="B550" s="150"/>
      <c r="C550" s="151"/>
      <c r="E550" s="96"/>
      <c r="F550" s="96"/>
      <c r="G550" s="96"/>
      <c r="H550" s="96"/>
      <c r="I550" s="96"/>
      <c r="J550" s="5"/>
      <c r="K550" s="5"/>
      <c r="L550" s="5"/>
      <c r="M550" s="5"/>
      <c r="N550" s="5"/>
    </row>
    <row r="551">
      <c r="A551" s="5"/>
      <c r="B551" s="150"/>
      <c r="C551" s="151"/>
      <c r="E551" s="96"/>
      <c r="F551" s="96"/>
      <c r="G551" s="96"/>
      <c r="H551" s="96"/>
      <c r="I551" s="96"/>
      <c r="J551" s="5"/>
      <c r="K551" s="5"/>
      <c r="L551" s="5"/>
      <c r="M551" s="5"/>
      <c r="N551" s="5"/>
    </row>
    <row r="552">
      <c r="A552" s="5"/>
      <c r="B552" s="150"/>
      <c r="C552" s="151"/>
      <c r="E552" s="96"/>
      <c r="F552" s="96"/>
      <c r="G552" s="96"/>
      <c r="H552" s="96"/>
      <c r="I552" s="96"/>
      <c r="J552" s="5"/>
      <c r="K552" s="5"/>
      <c r="L552" s="5"/>
      <c r="M552" s="5"/>
      <c r="N552" s="5"/>
    </row>
    <row r="553">
      <c r="A553" s="5"/>
      <c r="B553" s="150"/>
      <c r="C553" s="151"/>
      <c r="E553" s="96"/>
      <c r="F553" s="96"/>
      <c r="G553" s="96"/>
      <c r="H553" s="96"/>
      <c r="I553" s="96"/>
      <c r="J553" s="5"/>
      <c r="K553" s="5"/>
      <c r="L553" s="5"/>
      <c r="M553" s="5"/>
      <c r="N553" s="5"/>
    </row>
    <row r="554">
      <c r="A554" s="5"/>
      <c r="B554" s="150"/>
      <c r="C554" s="151"/>
      <c r="E554" s="96"/>
      <c r="F554" s="96"/>
      <c r="G554" s="96"/>
      <c r="H554" s="96"/>
      <c r="I554" s="96"/>
      <c r="J554" s="5"/>
      <c r="K554" s="5"/>
      <c r="L554" s="5"/>
      <c r="M554" s="5"/>
      <c r="N554" s="5"/>
    </row>
    <row r="555">
      <c r="A555" s="5"/>
      <c r="B555" s="150"/>
      <c r="C555" s="151"/>
      <c r="E555" s="96"/>
      <c r="F555" s="96"/>
      <c r="G555" s="96"/>
      <c r="H555" s="96"/>
      <c r="I555" s="96"/>
      <c r="J555" s="5"/>
      <c r="K555" s="5"/>
      <c r="L555" s="5"/>
      <c r="M555" s="5"/>
      <c r="N555" s="5"/>
    </row>
    <row r="556">
      <c r="A556" s="5"/>
      <c r="B556" s="150"/>
      <c r="C556" s="151"/>
      <c r="E556" s="96"/>
      <c r="F556" s="96"/>
      <c r="G556" s="96"/>
      <c r="H556" s="96"/>
      <c r="I556" s="96"/>
      <c r="J556" s="5"/>
      <c r="K556" s="5"/>
      <c r="L556" s="5"/>
      <c r="M556" s="5"/>
      <c r="N556" s="5"/>
    </row>
    <row r="557">
      <c r="A557" s="5"/>
      <c r="B557" s="150"/>
      <c r="C557" s="151"/>
      <c r="E557" s="96"/>
      <c r="F557" s="96"/>
      <c r="G557" s="96"/>
      <c r="H557" s="96"/>
      <c r="I557" s="96"/>
      <c r="J557" s="5"/>
      <c r="K557" s="5"/>
      <c r="L557" s="5"/>
      <c r="M557" s="5"/>
      <c r="N557" s="5"/>
    </row>
    <row r="558">
      <c r="A558" s="5"/>
      <c r="B558" s="150"/>
      <c r="C558" s="151"/>
      <c r="E558" s="96"/>
      <c r="F558" s="96"/>
      <c r="G558" s="96"/>
      <c r="H558" s="96"/>
      <c r="I558" s="96"/>
      <c r="J558" s="5"/>
      <c r="K558" s="5"/>
      <c r="L558" s="5"/>
      <c r="M558" s="5"/>
      <c r="N558" s="5"/>
    </row>
    <row r="559">
      <c r="A559" s="5"/>
      <c r="B559" s="150"/>
      <c r="C559" s="151"/>
      <c r="E559" s="96"/>
      <c r="F559" s="96"/>
      <c r="G559" s="96"/>
      <c r="H559" s="96"/>
      <c r="I559" s="96"/>
      <c r="J559" s="5"/>
      <c r="K559" s="5"/>
      <c r="L559" s="5"/>
      <c r="M559" s="5"/>
      <c r="N559" s="5"/>
    </row>
    <row r="560">
      <c r="A560" s="5"/>
      <c r="B560" s="150"/>
      <c r="C560" s="151"/>
      <c r="E560" s="96"/>
      <c r="F560" s="96"/>
      <c r="G560" s="96"/>
      <c r="H560" s="96"/>
      <c r="I560" s="96"/>
      <c r="J560" s="5"/>
      <c r="K560" s="5"/>
      <c r="L560" s="5"/>
      <c r="M560" s="5"/>
      <c r="N560" s="5"/>
    </row>
    <row r="561">
      <c r="A561" s="5"/>
      <c r="B561" s="150"/>
      <c r="C561" s="151"/>
      <c r="E561" s="96"/>
      <c r="F561" s="96"/>
      <c r="G561" s="96"/>
      <c r="H561" s="96"/>
      <c r="I561" s="96"/>
      <c r="J561" s="5"/>
      <c r="K561" s="5"/>
      <c r="L561" s="5"/>
      <c r="M561" s="5"/>
      <c r="N561" s="5"/>
    </row>
    <row r="562">
      <c r="A562" s="5"/>
      <c r="B562" s="150"/>
      <c r="C562" s="151"/>
      <c r="E562" s="96"/>
      <c r="F562" s="96"/>
      <c r="G562" s="96"/>
      <c r="H562" s="96"/>
      <c r="I562" s="96"/>
      <c r="J562" s="5"/>
      <c r="K562" s="5"/>
      <c r="L562" s="5"/>
      <c r="M562" s="5"/>
      <c r="N562" s="5"/>
    </row>
    <row r="563">
      <c r="A563" s="5"/>
      <c r="B563" s="150"/>
      <c r="C563" s="151"/>
      <c r="E563" s="96"/>
      <c r="F563" s="96"/>
      <c r="G563" s="96"/>
      <c r="H563" s="96"/>
      <c r="I563" s="96"/>
      <c r="J563" s="5"/>
      <c r="K563" s="5"/>
      <c r="L563" s="5"/>
      <c r="M563" s="5"/>
      <c r="N563" s="5"/>
    </row>
    <row r="564">
      <c r="A564" s="5"/>
      <c r="B564" s="150"/>
      <c r="C564" s="151"/>
      <c r="E564" s="96"/>
      <c r="F564" s="96"/>
      <c r="G564" s="96"/>
      <c r="H564" s="96"/>
      <c r="I564" s="96"/>
      <c r="J564" s="5"/>
      <c r="K564" s="5"/>
      <c r="L564" s="5"/>
      <c r="M564" s="5"/>
      <c r="N564" s="5"/>
    </row>
    <row r="565">
      <c r="A565" s="5"/>
      <c r="B565" s="150"/>
      <c r="C565" s="151"/>
      <c r="E565" s="96"/>
      <c r="F565" s="96"/>
      <c r="G565" s="96"/>
      <c r="H565" s="96"/>
      <c r="I565" s="96"/>
      <c r="J565" s="5"/>
      <c r="K565" s="5"/>
      <c r="L565" s="5"/>
      <c r="M565" s="5"/>
      <c r="N565" s="5"/>
    </row>
    <row r="566">
      <c r="A566" s="5"/>
      <c r="B566" s="150"/>
      <c r="C566" s="151"/>
      <c r="E566" s="96"/>
      <c r="F566" s="96"/>
      <c r="G566" s="96"/>
      <c r="H566" s="96"/>
      <c r="I566" s="96"/>
      <c r="J566" s="5"/>
      <c r="K566" s="5"/>
      <c r="L566" s="5"/>
      <c r="M566" s="5"/>
      <c r="N566" s="5"/>
    </row>
    <row r="567">
      <c r="A567" s="5"/>
      <c r="B567" s="150"/>
      <c r="C567" s="151"/>
      <c r="E567" s="96"/>
      <c r="F567" s="96"/>
      <c r="G567" s="96"/>
      <c r="H567" s="96"/>
      <c r="I567" s="96"/>
      <c r="J567" s="5"/>
      <c r="K567" s="5"/>
      <c r="L567" s="5"/>
      <c r="M567" s="5"/>
      <c r="N567" s="5"/>
    </row>
    <row r="568">
      <c r="A568" s="5"/>
      <c r="B568" s="150"/>
      <c r="C568" s="151"/>
      <c r="E568" s="96"/>
      <c r="F568" s="96"/>
      <c r="G568" s="96"/>
      <c r="H568" s="96"/>
      <c r="I568" s="96"/>
      <c r="J568" s="5"/>
      <c r="K568" s="5"/>
      <c r="L568" s="5"/>
      <c r="M568" s="5"/>
      <c r="N568" s="5"/>
    </row>
    <row r="569">
      <c r="A569" s="5"/>
      <c r="B569" s="150"/>
      <c r="C569" s="151"/>
      <c r="E569" s="96"/>
      <c r="F569" s="96"/>
      <c r="G569" s="96"/>
      <c r="H569" s="96"/>
      <c r="I569" s="96"/>
      <c r="J569" s="5"/>
      <c r="K569" s="5"/>
      <c r="L569" s="5"/>
      <c r="M569" s="5"/>
      <c r="N569" s="5"/>
    </row>
    <row r="570">
      <c r="A570" s="5"/>
      <c r="B570" s="150"/>
      <c r="C570" s="151"/>
      <c r="E570" s="96"/>
      <c r="F570" s="96"/>
      <c r="G570" s="96"/>
      <c r="H570" s="96"/>
      <c r="I570" s="96"/>
      <c r="J570" s="5"/>
      <c r="K570" s="5"/>
      <c r="L570" s="5"/>
      <c r="M570" s="5"/>
      <c r="N570" s="5"/>
    </row>
    <row r="571">
      <c r="A571" s="5"/>
      <c r="B571" s="150"/>
      <c r="C571" s="151"/>
      <c r="E571" s="96"/>
      <c r="F571" s="96"/>
      <c r="G571" s="96"/>
      <c r="H571" s="96"/>
      <c r="I571" s="96"/>
      <c r="J571" s="5"/>
      <c r="K571" s="5"/>
      <c r="L571" s="5"/>
      <c r="M571" s="5"/>
      <c r="N571" s="5"/>
    </row>
    <row r="572">
      <c r="A572" s="5"/>
      <c r="B572" s="150"/>
      <c r="C572" s="151"/>
      <c r="E572" s="96"/>
      <c r="F572" s="96"/>
      <c r="G572" s="96"/>
      <c r="H572" s="96"/>
      <c r="I572" s="96"/>
      <c r="J572" s="5"/>
      <c r="K572" s="5"/>
      <c r="L572" s="5"/>
      <c r="M572" s="5"/>
      <c r="N572" s="5"/>
    </row>
    <row r="573">
      <c r="A573" s="5"/>
      <c r="B573" s="150"/>
      <c r="C573" s="151"/>
      <c r="E573" s="96"/>
      <c r="F573" s="96"/>
      <c r="G573" s="96"/>
      <c r="H573" s="96"/>
      <c r="I573" s="96"/>
      <c r="J573" s="5"/>
      <c r="K573" s="5"/>
      <c r="L573" s="5"/>
      <c r="M573" s="5"/>
      <c r="N573" s="5"/>
    </row>
    <row r="574">
      <c r="A574" s="5"/>
      <c r="B574" s="150"/>
      <c r="C574" s="151"/>
      <c r="E574" s="96"/>
      <c r="F574" s="96"/>
      <c r="G574" s="96"/>
      <c r="H574" s="96"/>
      <c r="I574" s="96"/>
      <c r="J574" s="5"/>
      <c r="K574" s="5"/>
      <c r="L574" s="5"/>
      <c r="M574" s="5"/>
      <c r="N574" s="5"/>
    </row>
    <row r="575">
      <c r="A575" s="5"/>
      <c r="B575" s="150"/>
      <c r="C575" s="151"/>
      <c r="E575" s="96"/>
      <c r="F575" s="96"/>
      <c r="G575" s="96"/>
      <c r="H575" s="96"/>
      <c r="I575" s="96"/>
      <c r="J575" s="5"/>
      <c r="K575" s="5"/>
      <c r="L575" s="5"/>
      <c r="M575" s="5"/>
      <c r="N575" s="5"/>
    </row>
    <row r="576">
      <c r="A576" s="5"/>
      <c r="B576" s="150"/>
      <c r="C576" s="151"/>
      <c r="E576" s="96"/>
      <c r="F576" s="96"/>
      <c r="G576" s="96"/>
      <c r="H576" s="96"/>
      <c r="I576" s="96"/>
      <c r="J576" s="5"/>
      <c r="K576" s="5"/>
      <c r="L576" s="5"/>
      <c r="M576" s="5"/>
      <c r="N576" s="5"/>
    </row>
    <row r="577">
      <c r="A577" s="5"/>
      <c r="B577" s="150"/>
      <c r="C577" s="151"/>
      <c r="E577" s="96"/>
      <c r="F577" s="96"/>
      <c r="G577" s="96"/>
      <c r="H577" s="96"/>
      <c r="I577" s="96"/>
      <c r="J577" s="5"/>
      <c r="K577" s="5"/>
      <c r="L577" s="5"/>
      <c r="M577" s="5"/>
      <c r="N577" s="5"/>
    </row>
    <row r="578">
      <c r="A578" s="5"/>
      <c r="B578" s="150"/>
      <c r="C578" s="151"/>
      <c r="E578" s="96"/>
      <c r="F578" s="96"/>
      <c r="G578" s="96"/>
      <c r="H578" s="96"/>
      <c r="I578" s="96"/>
      <c r="J578" s="5"/>
      <c r="K578" s="5"/>
      <c r="L578" s="5"/>
      <c r="M578" s="5"/>
      <c r="N578" s="5"/>
    </row>
    <row r="579">
      <c r="A579" s="5"/>
      <c r="B579" s="150"/>
      <c r="C579" s="151"/>
      <c r="E579" s="96"/>
      <c r="F579" s="96"/>
      <c r="G579" s="96"/>
      <c r="H579" s="96"/>
      <c r="I579" s="96"/>
      <c r="J579" s="5"/>
      <c r="K579" s="5"/>
      <c r="L579" s="5"/>
      <c r="M579" s="5"/>
      <c r="N579" s="5"/>
    </row>
    <row r="580">
      <c r="A580" s="5"/>
      <c r="B580" s="150"/>
      <c r="C580" s="151"/>
      <c r="E580" s="96"/>
      <c r="F580" s="96"/>
      <c r="G580" s="96"/>
      <c r="H580" s="96"/>
      <c r="I580" s="96"/>
      <c r="J580" s="5"/>
      <c r="K580" s="5"/>
      <c r="L580" s="5"/>
      <c r="M580" s="5"/>
      <c r="N580" s="5"/>
    </row>
    <row r="581">
      <c r="A581" s="5"/>
      <c r="B581" s="150"/>
      <c r="C581" s="151"/>
      <c r="E581" s="96"/>
      <c r="F581" s="96"/>
      <c r="G581" s="96"/>
      <c r="H581" s="96"/>
      <c r="I581" s="96"/>
      <c r="J581" s="5"/>
      <c r="K581" s="5"/>
      <c r="L581" s="5"/>
      <c r="M581" s="5"/>
      <c r="N581" s="5"/>
    </row>
    <row r="582">
      <c r="A582" s="5"/>
      <c r="B582" s="150"/>
      <c r="C582" s="151"/>
      <c r="E582" s="96"/>
      <c r="F582" s="96"/>
      <c r="G582" s="96"/>
      <c r="H582" s="96"/>
      <c r="I582" s="96"/>
      <c r="J582" s="5"/>
      <c r="K582" s="5"/>
      <c r="L582" s="5"/>
      <c r="M582" s="5"/>
      <c r="N582" s="5"/>
    </row>
    <row r="583">
      <c r="A583" s="5"/>
      <c r="B583" s="150"/>
      <c r="C583" s="151"/>
      <c r="E583" s="96"/>
      <c r="F583" s="96"/>
      <c r="G583" s="96"/>
      <c r="H583" s="96"/>
      <c r="I583" s="96"/>
      <c r="J583" s="5"/>
      <c r="K583" s="5"/>
      <c r="L583" s="5"/>
      <c r="M583" s="5"/>
      <c r="N583" s="5"/>
    </row>
    <row r="584">
      <c r="A584" s="5"/>
      <c r="B584" s="150"/>
      <c r="C584" s="151"/>
      <c r="E584" s="96"/>
      <c r="F584" s="96"/>
      <c r="G584" s="96"/>
      <c r="H584" s="96"/>
      <c r="I584" s="96"/>
      <c r="J584" s="5"/>
      <c r="K584" s="5"/>
      <c r="L584" s="5"/>
      <c r="M584" s="5"/>
      <c r="N584" s="5"/>
    </row>
    <row r="585">
      <c r="A585" s="5"/>
      <c r="B585" s="150"/>
      <c r="C585" s="151"/>
      <c r="E585" s="96"/>
      <c r="F585" s="96"/>
      <c r="G585" s="96"/>
      <c r="H585" s="96"/>
      <c r="I585" s="96"/>
      <c r="J585" s="5"/>
      <c r="K585" s="5"/>
      <c r="L585" s="5"/>
      <c r="M585" s="5"/>
      <c r="N585" s="5"/>
    </row>
    <row r="586">
      <c r="A586" s="5"/>
      <c r="B586" s="150"/>
      <c r="C586" s="151"/>
      <c r="E586" s="96"/>
      <c r="F586" s="96"/>
      <c r="G586" s="96"/>
      <c r="H586" s="96"/>
      <c r="I586" s="96"/>
      <c r="J586" s="5"/>
      <c r="K586" s="5"/>
      <c r="L586" s="5"/>
      <c r="M586" s="5"/>
      <c r="N586" s="5"/>
    </row>
    <row r="587">
      <c r="A587" s="5"/>
      <c r="B587" s="150"/>
      <c r="C587" s="151"/>
      <c r="E587" s="96"/>
      <c r="F587" s="96"/>
      <c r="G587" s="96"/>
      <c r="H587" s="96"/>
      <c r="I587" s="96"/>
      <c r="J587" s="5"/>
      <c r="K587" s="5"/>
      <c r="L587" s="5"/>
      <c r="M587" s="5"/>
      <c r="N587" s="5"/>
    </row>
    <row r="588">
      <c r="A588" s="5"/>
      <c r="B588" s="150"/>
      <c r="C588" s="151"/>
      <c r="E588" s="96"/>
      <c r="F588" s="96"/>
      <c r="G588" s="96"/>
      <c r="H588" s="96"/>
      <c r="I588" s="96"/>
      <c r="J588" s="5"/>
      <c r="K588" s="5"/>
      <c r="L588" s="5"/>
      <c r="M588" s="5"/>
      <c r="N588" s="5"/>
    </row>
    <row r="589">
      <c r="A589" s="5"/>
      <c r="B589" s="150"/>
      <c r="C589" s="151"/>
      <c r="E589" s="96"/>
      <c r="F589" s="96"/>
      <c r="G589" s="96"/>
      <c r="H589" s="96"/>
      <c r="I589" s="96"/>
      <c r="J589" s="5"/>
      <c r="K589" s="5"/>
      <c r="L589" s="5"/>
      <c r="M589" s="5"/>
      <c r="N589" s="5"/>
    </row>
    <row r="590">
      <c r="A590" s="5"/>
      <c r="B590" s="150"/>
      <c r="C590" s="151"/>
      <c r="E590" s="96"/>
      <c r="F590" s="96"/>
      <c r="G590" s="96"/>
      <c r="H590" s="96"/>
      <c r="I590" s="96"/>
      <c r="J590" s="5"/>
      <c r="K590" s="5"/>
      <c r="L590" s="5"/>
      <c r="M590" s="5"/>
      <c r="N590" s="5"/>
    </row>
    <row r="591">
      <c r="A591" s="5"/>
      <c r="B591" s="150"/>
      <c r="C591" s="151"/>
      <c r="E591" s="96"/>
      <c r="F591" s="96"/>
      <c r="G591" s="96"/>
      <c r="H591" s="96"/>
      <c r="I591" s="96"/>
      <c r="J591" s="5"/>
      <c r="K591" s="5"/>
      <c r="L591" s="5"/>
      <c r="M591" s="5"/>
      <c r="N591" s="5"/>
    </row>
    <row r="592">
      <c r="A592" s="5"/>
      <c r="B592" s="150"/>
      <c r="C592" s="151"/>
      <c r="E592" s="96"/>
      <c r="F592" s="96"/>
      <c r="G592" s="96"/>
      <c r="H592" s="96"/>
      <c r="I592" s="96"/>
      <c r="J592" s="5"/>
      <c r="K592" s="5"/>
      <c r="L592" s="5"/>
      <c r="M592" s="5"/>
      <c r="N592" s="5"/>
    </row>
    <row r="593">
      <c r="A593" s="5"/>
      <c r="B593" s="150"/>
      <c r="C593" s="151"/>
      <c r="E593" s="96"/>
      <c r="F593" s="96"/>
      <c r="G593" s="96"/>
      <c r="H593" s="96"/>
      <c r="I593" s="96"/>
      <c r="J593" s="5"/>
      <c r="K593" s="5"/>
      <c r="L593" s="5"/>
      <c r="M593" s="5"/>
      <c r="N593" s="5"/>
    </row>
    <row r="594">
      <c r="A594" s="5"/>
      <c r="B594" s="150"/>
      <c r="C594" s="151"/>
      <c r="E594" s="96"/>
      <c r="F594" s="96"/>
      <c r="G594" s="96"/>
      <c r="H594" s="96"/>
      <c r="I594" s="96"/>
      <c r="J594" s="5"/>
      <c r="K594" s="5"/>
      <c r="L594" s="5"/>
      <c r="M594" s="5"/>
      <c r="N594" s="5"/>
    </row>
    <row r="595">
      <c r="A595" s="5"/>
      <c r="B595" s="150"/>
      <c r="C595" s="151"/>
      <c r="E595" s="96"/>
      <c r="F595" s="96"/>
      <c r="G595" s="96"/>
      <c r="H595" s="96"/>
      <c r="I595" s="96"/>
      <c r="J595" s="5"/>
      <c r="K595" s="5"/>
      <c r="L595" s="5"/>
      <c r="M595" s="5"/>
      <c r="N595" s="5"/>
    </row>
    <row r="596">
      <c r="A596" s="5"/>
      <c r="B596" s="150"/>
      <c r="C596" s="151"/>
      <c r="E596" s="96"/>
      <c r="F596" s="96"/>
      <c r="G596" s="96"/>
      <c r="H596" s="96"/>
      <c r="I596" s="96"/>
      <c r="J596" s="5"/>
      <c r="K596" s="5"/>
      <c r="L596" s="5"/>
      <c r="M596" s="5"/>
      <c r="N596" s="5"/>
    </row>
    <row r="597">
      <c r="A597" s="5"/>
      <c r="B597" s="150"/>
      <c r="C597" s="151"/>
      <c r="E597" s="96"/>
      <c r="F597" s="96"/>
      <c r="G597" s="96"/>
      <c r="H597" s="96"/>
      <c r="I597" s="96"/>
      <c r="J597" s="5"/>
      <c r="K597" s="5"/>
      <c r="L597" s="5"/>
      <c r="M597" s="5"/>
      <c r="N597" s="5"/>
    </row>
    <row r="598">
      <c r="A598" s="5"/>
      <c r="B598" s="150"/>
      <c r="C598" s="151"/>
      <c r="E598" s="96"/>
      <c r="F598" s="96"/>
      <c r="G598" s="96"/>
      <c r="H598" s="96"/>
      <c r="I598" s="96"/>
      <c r="J598" s="5"/>
      <c r="K598" s="5"/>
      <c r="L598" s="5"/>
      <c r="M598" s="5"/>
      <c r="N598" s="5"/>
    </row>
    <row r="599">
      <c r="A599" s="5"/>
      <c r="B599" s="150"/>
      <c r="C599" s="151"/>
      <c r="E599" s="96"/>
      <c r="F599" s="96"/>
      <c r="G599" s="96"/>
      <c r="H599" s="96"/>
      <c r="I599" s="96"/>
      <c r="J599" s="5"/>
      <c r="K599" s="5"/>
      <c r="L599" s="5"/>
      <c r="M599" s="5"/>
      <c r="N599" s="5"/>
    </row>
    <row r="600">
      <c r="A600" s="5"/>
      <c r="B600" s="150"/>
      <c r="C600" s="151"/>
      <c r="E600" s="96"/>
      <c r="F600" s="96"/>
      <c r="G600" s="96"/>
      <c r="H600" s="96"/>
      <c r="I600" s="96"/>
      <c r="J600" s="5"/>
      <c r="K600" s="5"/>
      <c r="L600" s="5"/>
      <c r="M600" s="5"/>
      <c r="N600" s="5"/>
    </row>
    <row r="601">
      <c r="A601" s="5"/>
      <c r="B601" s="150"/>
      <c r="C601" s="151"/>
      <c r="E601" s="96"/>
      <c r="F601" s="96"/>
      <c r="G601" s="96"/>
      <c r="H601" s="96"/>
      <c r="I601" s="96"/>
      <c r="J601" s="5"/>
      <c r="K601" s="5"/>
      <c r="L601" s="5"/>
      <c r="M601" s="5"/>
      <c r="N601" s="5"/>
    </row>
    <row r="602">
      <c r="A602" s="5"/>
      <c r="B602" s="150"/>
      <c r="C602" s="151"/>
      <c r="E602" s="96"/>
      <c r="F602" s="96"/>
      <c r="G602" s="96"/>
      <c r="H602" s="96"/>
      <c r="I602" s="96"/>
      <c r="J602" s="5"/>
      <c r="K602" s="5"/>
      <c r="L602" s="5"/>
      <c r="M602" s="5"/>
      <c r="N602" s="5"/>
    </row>
    <row r="603">
      <c r="A603" s="5"/>
      <c r="B603" s="150"/>
      <c r="C603" s="151"/>
      <c r="E603" s="96"/>
      <c r="F603" s="96"/>
      <c r="G603" s="96"/>
      <c r="H603" s="96"/>
      <c r="I603" s="96"/>
      <c r="J603" s="5"/>
      <c r="K603" s="5"/>
      <c r="L603" s="5"/>
      <c r="M603" s="5"/>
      <c r="N603" s="5"/>
    </row>
    <row r="604">
      <c r="A604" s="5"/>
      <c r="B604" s="150"/>
      <c r="C604" s="151"/>
      <c r="E604" s="96"/>
      <c r="F604" s="96"/>
      <c r="G604" s="96"/>
      <c r="H604" s="96"/>
      <c r="I604" s="96"/>
      <c r="J604" s="5"/>
      <c r="K604" s="5"/>
      <c r="L604" s="5"/>
      <c r="M604" s="5"/>
      <c r="N604" s="5"/>
    </row>
    <row r="605">
      <c r="A605" s="5"/>
      <c r="B605" s="150"/>
      <c r="C605" s="151"/>
      <c r="E605" s="96"/>
      <c r="F605" s="96"/>
      <c r="G605" s="96"/>
      <c r="H605" s="96"/>
      <c r="I605" s="96"/>
      <c r="J605" s="5"/>
      <c r="K605" s="5"/>
      <c r="L605" s="5"/>
      <c r="M605" s="5"/>
      <c r="N605" s="5"/>
    </row>
    <row r="606">
      <c r="A606" s="5"/>
      <c r="B606" s="150"/>
      <c r="C606" s="151"/>
      <c r="E606" s="96"/>
      <c r="F606" s="96"/>
      <c r="G606" s="96"/>
      <c r="H606" s="96"/>
      <c r="I606" s="96"/>
      <c r="J606" s="5"/>
      <c r="K606" s="5"/>
      <c r="L606" s="5"/>
      <c r="M606" s="5"/>
      <c r="N606" s="5"/>
    </row>
    <row r="607">
      <c r="A607" s="5"/>
      <c r="B607" s="150"/>
      <c r="C607" s="151"/>
      <c r="E607" s="96"/>
      <c r="F607" s="96"/>
      <c r="G607" s="96"/>
      <c r="H607" s="96"/>
      <c r="I607" s="96"/>
      <c r="J607" s="5"/>
      <c r="K607" s="5"/>
      <c r="L607" s="5"/>
      <c r="M607" s="5"/>
      <c r="N607" s="5"/>
    </row>
    <row r="608">
      <c r="A608" s="5"/>
      <c r="B608" s="150"/>
      <c r="C608" s="151"/>
      <c r="E608" s="96"/>
      <c r="F608" s="96"/>
      <c r="G608" s="96"/>
      <c r="H608" s="96"/>
      <c r="I608" s="96"/>
      <c r="J608" s="5"/>
      <c r="K608" s="5"/>
      <c r="L608" s="5"/>
      <c r="M608" s="5"/>
      <c r="N608" s="5"/>
    </row>
    <row r="609">
      <c r="A609" s="5"/>
      <c r="B609" s="150"/>
      <c r="C609" s="151"/>
      <c r="E609" s="96"/>
      <c r="F609" s="96"/>
      <c r="G609" s="96"/>
      <c r="H609" s="96"/>
      <c r="I609" s="96"/>
      <c r="J609" s="5"/>
      <c r="K609" s="5"/>
      <c r="L609" s="5"/>
      <c r="M609" s="5"/>
      <c r="N609" s="5"/>
    </row>
    <row r="610">
      <c r="A610" s="5"/>
      <c r="B610" s="150"/>
      <c r="C610" s="151"/>
      <c r="E610" s="96"/>
      <c r="F610" s="96"/>
      <c r="G610" s="96"/>
      <c r="H610" s="96"/>
      <c r="I610" s="96"/>
      <c r="J610" s="5"/>
      <c r="K610" s="5"/>
      <c r="L610" s="5"/>
      <c r="M610" s="5"/>
      <c r="N610" s="5"/>
    </row>
    <row r="611">
      <c r="A611" s="5"/>
      <c r="B611" s="150"/>
      <c r="C611" s="151"/>
      <c r="E611" s="96"/>
      <c r="F611" s="96"/>
      <c r="G611" s="96"/>
      <c r="H611" s="96"/>
      <c r="I611" s="96"/>
      <c r="J611" s="5"/>
      <c r="K611" s="5"/>
      <c r="L611" s="5"/>
      <c r="M611" s="5"/>
      <c r="N611" s="5"/>
    </row>
    <row r="612">
      <c r="A612" s="5"/>
      <c r="B612" s="150"/>
      <c r="C612" s="151"/>
      <c r="E612" s="96"/>
      <c r="F612" s="96"/>
      <c r="G612" s="96"/>
      <c r="H612" s="96"/>
      <c r="I612" s="96"/>
      <c r="J612" s="5"/>
      <c r="K612" s="5"/>
      <c r="L612" s="5"/>
      <c r="M612" s="5"/>
      <c r="N612" s="5"/>
    </row>
    <row r="613">
      <c r="A613" s="5"/>
      <c r="B613" s="150"/>
      <c r="C613" s="151"/>
      <c r="E613" s="96"/>
      <c r="F613" s="96"/>
      <c r="G613" s="96"/>
      <c r="H613" s="96"/>
      <c r="I613" s="96"/>
      <c r="J613" s="5"/>
      <c r="K613" s="5"/>
      <c r="L613" s="5"/>
      <c r="M613" s="5"/>
      <c r="N613" s="5"/>
    </row>
    <row r="614">
      <c r="A614" s="5"/>
      <c r="B614" s="150"/>
      <c r="C614" s="151"/>
      <c r="E614" s="96"/>
      <c r="F614" s="96"/>
      <c r="G614" s="96"/>
      <c r="H614" s="96"/>
      <c r="I614" s="96"/>
      <c r="J614" s="5"/>
      <c r="K614" s="5"/>
      <c r="L614" s="5"/>
      <c r="M614" s="5"/>
      <c r="N614" s="5"/>
    </row>
    <row r="615">
      <c r="A615" s="5"/>
      <c r="B615" s="150"/>
      <c r="C615" s="151"/>
      <c r="E615" s="96"/>
      <c r="F615" s="96"/>
      <c r="G615" s="96"/>
      <c r="H615" s="96"/>
      <c r="I615" s="96"/>
      <c r="J615" s="5"/>
      <c r="K615" s="5"/>
      <c r="L615" s="5"/>
      <c r="M615" s="5"/>
      <c r="N615" s="5"/>
    </row>
    <row r="616">
      <c r="A616" s="5"/>
      <c r="B616" s="150"/>
      <c r="C616" s="151"/>
      <c r="E616" s="96"/>
      <c r="F616" s="96"/>
      <c r="G616" s="96"/>
      <c r="H616" s="96"/>
      <c r="I616" s="96"/>
      <c r="J616" s="5"/>
      <c r="K616" s="5"/>
      <c r="L616" s="5"/>
      <c r="M616" s="5"/>
      <c r="N616" s="5"/>
    </row>
    <row r="617">
      <c r="A617" s="5"/>
      <c r="B617" s="150"/>
      <c r="C617" s="151"/>
      <c r="E617" s="96"/>
      <c r="F617" s="96"/>
      <c r="G617" s="96"/>
      <c r="H617" s="96"/>
      <c r="I617" s="96"/>
      <c r="J617" s="5"/>
      <c r="K617" s="5"/>
      <c r="L617" s="5"/>
      <c r="M617" s="5"/>
      <c r="N617" s="5"/>
    </row>
    <row r="618">
      <c r="A618" s="5"/>
      <c r="B618" s="150"/>
      <c r="C618" s="151"/>
      <c r="E618" s="96"/>
      <c r="F618" s="96"/>
      <c r="G618" s="96"/>
      <c r="H618" s="96"/>
      <c r="I618" s="96"/>
      <c r="J618" s="5"/>
      <c r="K618" s="5"/>
      <c r="L618" s="5"/>
      <c r="M618" s="5"/>
      <c r="N618" s="5"/>
    </row>
    <row r="619">
      <c r="A619" s="5"/>
      <c r="B619" s="150"/>
      <c r="C619" s="151"/>
      <c r="E619" s="96"/>
      <c r="F619" s="96"/>
      <c r="G619" s="96"/>
      <c r="H619" s="96"/>
      <c r="I619" s="96"/>
      <c r="J619" s="5"/>
      <c r="K619" s="5"/>
      <c r="L619" s="5"/>
      <c r="M619" s="5"/>
      <c r="N619" s="5"/>
    </row>
    <row r="620">
      <c r="A620" s="5"/>
      <c r="B620" s="150"/>
      <c r="C620" s="151"/>
      <c r="E620" s="96"/>
      <c r="F620" s="96"/>
      <c r="G620" s="96"/>
      <c r="H620" s="96"/>
      <c r="I620" s="96"/>
      <c r="J620" s="5"/>
      <c r="K620" s="5"/>
      <c r="L620" s="5"/>
      <c r="M620" s="5"/>
      <c r="N620" s="5"/>
    </row>
    <row r="621">
      <c r="A621" s="5"/>
      <c r="B621" s="150"/>
      <c r="C621" s="151"/>
      <c r="E621" s="96"/>
      <c r="F621" s="96"/>
      <c r="G621" s="96"/>
      <c r="H621" s="96"/>
      <c r="I621" s="96"/>
      <c r="J621" s="5"/>
      <c r="K621" s="5"/>
      <c r="L621" s="5"/>
      <c r="M621" s="5"/>
      <c r="N621" s="5"/>
    </row>
    <row r="622">
      <c r="A622" s="5"/>
      <c r="B622" s="150"/>
      <c r="C622" s="151"/>
      <c r="E622" s="96"/>
      <c r="F622" s="96"/>
      <c r="G622" s="96"/>
      <c r="H622" s="96"/>
      <c r="I622" s="96"/>
      <c r="J622" s="5"/>
      <c r="K622" s="5"/>
      <c r="L622" s="5"/>
      <c r="M622" s="5"/>
      <c r="N622" s="5"/>
    </row>
    <row r="623">
      <c r="A623" s="5"/>
      <c r="B623" s="150"/>
      <c r="C623" s="151"/>
      <c r="E623" s="96"/>
      <c r="F623" s="96"/>
      <c r="G623" s="96"/>
      <c r="H623" s="96"/>
      <c r="I623" s="96"/>
      <c r="J623" s="5"/>
      <c r="K623" s="5"/>
      <c r="L623" s="5"/>
      <c r="M623" s="5"/>
      <c r="N623" s="5"/>
    </row>
    <row r="624">
      <c r="A624" s="5"/>
      <c r="B624" s="150"/>
      <c r="C624" s="151"/>
      <c r="E624" s="96"/>
      <c r="F624" s="96"/>
      <c r="G624" s="96"/>
      <c r="H624" s="96"/>
      <c r="I624" s="96"/>
      <c r="J624" s="5"/>
      <c r="K624" s="5"/>
      <c r="L624" s="5"/>
      <c r="M624" s="5"/>
      <c r="N624" s="5"/>
    </row>
    <row r="625">
      <c r="A625" s="5"/>
      <c r="B625" s="150"/>
      <c r="C625" s="151"/>
      <c r="E625" s="96"/>
      <c r="F625" s="96"/>
      <c r="G625" s="96"/>
      <c r="H625" s="96"/>
      <c r="I625" s="96"/>
      <c r="J625" s="5"/>
      <c r="K625" s="5"/>
      <c r="L625" s="5"/>
      <c r="M625" s="5"/>
      <c r="N625" s="5"/>
    </row>
    <row r="626">
      <c r="A626" s="5"/>
      <c r="B626" s="150"/>
      <c r="C626" s="151"/>
      <c r="E626" s="96"/>
      <c r="F626" s="96"/>
      <c r="G626" s="96"/>
      <c r="H626" s="96"/>
      <c r="I626" s="96"/>
      <c r="J626" s="5"/>
      <c r="K626" s="5"/>
      <c r="L626" s="5"/>
      <c r="M626" s="5"/>
      <c r="N626" s="5"/>
    </row>
    <row r="627">
      <c r="A627" s="5"/>
      <c r="B627" s="150"/>
      <c r="C627" s="151"/>
      <c r="E627" s="96"/>
      <c r="F627" s="96"/>
      <c r="G627" s="96"/>
      <c r="H627" s="96"/>
      <c r="I627" s="96"/>
      <c r="J627" s="5"/>
      <c r="K627" s="5"/>
      <c r="L627" s="5"/>
      <c r="M627" s="5"/>
      <c r="N627" s="5"/>
    </row>
    <row r="628">
      <c r="A628" s="5"/>
      <c r="B628" s="150"/>
      <c r="C628" s="151"/>
      <c r="E628" s="96"/>
      <c r="F628" s="96"/>
      <c r="G628" s="96"/>
      <c r="H628" s="96"/>
      <c r="I628" s="96"/>
      <c r="J628" s="5"/>
      <c r="K628" s="5"/>
      <c r="L628" s="5"/>
      <c r="M628" s="5"/>
      <c r="N628" s="5"/>
    </row>
    <row r="629">
      <c r="A629" s="5"/>
      <c r="B629" s="150"/>
      <c r="C629" s="151"/>
      <c r="E629" s="96"/>
      <c r="F629" s="96"/>
      <c r="G629" s="96"/>
      <c r="H629" s="96"/>
      <c r="I629" s="96"/>
      <c r="J629" s="5"/>
      <c r="K629" s="5"/>
      <c r="L629" s="5"/>
      <c r="M629" s="5"/>
      <c r="N629" s="5"/>
    </row>
    <row r="630">
      <c r="A630" s="5"/>
      <c r="B630" s="150"/>
      <c r="C630" s="151"/>
      <c r="E630" s="96"/>
      <c r="F630" s="96"/>
      <c r="G630" s="96"/>
      <c r="H630" s="96"/>
      <c r="I630" s="96"/>
      <c r="J630" s="5"/>
      <c r="K630" s="5"/>
      <c r="L630" s="5"/>
      <c r="M630" s="5"/>
      <c r="N630" s="5"/>
    </row>
    <row r="631">
      <c r="A631" s="5"/>
      <c r="B631" s="150"/>
      <c r="C631" s="151"/>
      <c r="E631" s="96"/>
      <c r="F631" s="96"/>
      <c r="G631" s="96"/>
      <c r="H631" s="96"/>
      <c r="I631" s="96"/>
      <c r="J631" s="5"/>
      <c r="K631" s="5"/>
      <c r="L631" s="5"/>
      <c r="M631" s="5"/>
      <c r="N631" s="5"/>
    </row>
    <row r="632">
      <c r="A632" s="5"/>
      <c r="B632" s="150"/>
      <c r="C632" s="151"/>
      <c r="E632" s="96"/>
      <c r="F632" s="96"/>
      <c r="G632" s="96"/>
      <c r="H632" s="96"/>
      <c r="I632" s="96"/>
      <c r="J632" s="5"/>
      <c r="K632" s="5"/>
      <c r="L632" s="5"/>
      <c r="M632" s="5"/>
      <c r="N632" s="5"/>
    </row>
    <row r="633">
      <c r="A633" s="5"/>
      <c r="B633" s="150"/>
      <c r="C633" s="151"/>
      <c r="E633" s="96"/>
      <c r="F633" s="96"/>
      <c r="G633" s="96"/>
      <c r="H633" s="96"/>
      <c r="I633" s="96"/>
      <c r="J633" s="5"/>
      <c r="K633" s="5"/>
      <c r="L633" s="5"/>
      <c r="M633" s="5"/>
      <c r="N633" s="5"/>
    </row>
    <row r="634">
      <c r="A634" s="5"/>
      <c r="B634" s="150"/>
      <c r="C634" s="151"/>
      <c r="E634" s="96"/>
      <c r="F634" s="96"/>
      <c r="G634" s="96"/>
      <c r="H634" s="96"/>
      <c r="I634" s="96"/>
      <c r="J634" s="5"/>
      <c r="K634" s="5"/>
      <c r="L634" s="5"/>
      <c r="M634" s="5"/>
      <c r="N634" s="5"/>
    </row>
    <row r="635">
      <c r="A635" s="5"/>
      <c r="B635" s="150"/>
      <c r="C635" s="151"/>
      <c r="E635" s="96"/>
      <c r="F635" s="96"/>
      <c r="G635" s="96"/>
      <c r="H635" s="96"/>
      <c r="I635" s="96"/>
      <c r="J635" s="5"/>
      <c r="K635" s="5"/>
      <c r="L635" s="5"/>
      <c r="M635" s="5"/>
      <c r="N635" s="5"/>
    </row>
    <row r="636">
      <c r="A636" s="5"/>
      <c r="B636" s="150"/>
      <c r="C636" s="151"/>
      <c r="E636" s="96"/>
      <c r="F636" s="96"/>
      <c r="G636" s="96"/>
      <c r="H636" s="96"/>
      <c r="I636" s="96"/>
      <c r="J636" s="5"/>
      <c r="K636" s="5"/>
      <c r="L636" s="5"/>
      <c r="M636" s="5"/>
      <c r="N636" s="5"/>
    </row>
    <row r="637">
      <c r="A637" s="5"/>
      <c r="B637" s="150"/>
      <c r="C637" s="151"/>
      <c r="E637" s="96"/>
      <c r="F637" s="96"/>
      <c r="G637" s="96"/>
      <c r="H637" s="96"/>
      <c r="I637" s="96"/>
      <c r="J637" s="5"/>
      <c r="K637" s="5"/>
      <c r="L637" s="5"/>
      <c r="M637" s="5"/>
      <c r="N637" s="5"/>
    </row>
    <row r="638">
      <c r="A638" s="5"/>
      <c r="B638" s="150"/>
      <c r="C638" s="151"/>
      <c r="E638" s="96"/>
      <c r="F638" s="96"/>
      <c r="G638" s="96"/>
      <c r="H638" s="96"/>
      <c r="I638" s="96"/>
      <c r="J638" s="5"/>
      <c r="K638" s="5"/>
      <c r="L638" s="5"/>
      <c r="M638" s="5"/>
      <c r="N638" s="5"/>
    </row>
    <row r="639">
      <c r="A639" s="5"/>
      <c r="B639" s="150"/>
      <c r="C639" s="151"/>
      <c r="E639" s="96"/>
      <c r="F639" s="96"/>
      <c r="G639" s="96"/>
      <c r="H639" s="96"/>
      <c r="I639" s="96"/>
      <c r="J639" s="5"/>
      <c r="K639" s="5"/>
      <c r="L639" s="5"/>
      <c r="M639" s="5"/>
      <c r="N639" s="5"/>
    </row>
    <row r="640">
      <c r="A640" s="5"/>
      <c r="B640" s="150"/>
      <c r="C640" s="151"/>
      <c r="E640" s="96"/>
      <c r="F640" s="96"/>
      <c r="G640" s="96"/>
      <c r="H640" s="96"/>
      <c r="I640" s="96"/>
      <c r="J640" s="5"/>
      <c r="K640" s="5"/>
      <c r="L640" s="5"/>
      <c r="M640" s="5"/>
      <c r="N640" s="5"/>
    </row>
    <row r="641">
      <c r="A641" s="5"/>
      <c r="B641" s="150"/>
      <c r="C641" s="151"/>
      <c r="E641" s="96"/>
      <c r="F641" s="96"/>
      <c r="G641" s="96"/>
      <c r="H641" s="96"/>
      <c r="I641" s="96"/>
      <c r="J641" s="5"/>
      <c r="K641" s="5"/>
      <c r="L641" s="5"/>
      <c r="M641" s="5"/>
      <c r="N641" s="5"/>
    </row>
    <row r="642">
      <c r="A642" s="5"/>
      <c r="B642" s="150"/>
      <c r="C642" s="151"/>
      <c r="E642" s="96"/>
      <c r="F642" s="96"/>
      <c r="G642" s="96"/>
      <c r="H642" s="96"/>
      <c r="I642" s="96"/>
      <c r="J642" s="5"/>
      <c r="K642" s="5"/>
      <c r="L642" s="5"/>
      <c r="M642" s="5"/>
      <c r="N642" s="5"/>
    </row>
    <row r="643">
      <c r="A643" s="5"/>
      <c r="B643" s="150"/>
      <c r="C643" s="151"/>
      <c r="E643" s="96"/>
      <c r="F643" s="96"/>
      <c r="G643" s="96"/>
      <c r="H643" s="96"/>
      <c r="I643" s="96"/>
      <c r="J643" s="5"/>
      <c r="K643" s="5"/>
      <c r="L643" s="5"/>
      <c r="M643" s="5"/>
      <c r="N643" s="5"/>
    </row>
    <row r="644">
      <c r="A644" s="5"/>
      <c r="B644" s="150"/>
      <c r="C644" s="151"/>
      <c r="E644" s="96"/>
      <c r="F644" s="96"/>
      <c r="G644" s="96"/>
      <c r="H644" s="96"/>
      <c r="I644" s="96"/>
      <c r="J644" s="5"/>
      <c r="K644" s="5"/>
      <c r="L644" s="5"/>
      <c r="M644" s="5"/>
      <c r="N644" s="5"/>
    </row>
    <row r="645">
      <c r="A645" s="5"/>
      <c r="B645" s="150"/>
      <c r="C645" s="151"/>
      <c r="E645" s="96"/>
      <c r="F645" s="96"/>
      <c r="G645" s="96"/>
      <c r="H645" s="96"/>
      <c r="I645" s="96"/>
      <c r="J645" s="5"/>
      <c r="K645" s="5"/>
      <c r="L645" s="5"/>
      <c r="M645" s="5"/>
      <c r="N645" s="5"/>
    </row>
    <row r="646">
      <c r="A646" s="5"/>
      <c r="B646" s="150"/>
      <c r="C646" s="151"/>
      <c r="E646" s="96"/>
      <c r="F646" s="96"/>
      <c r="G646" s="96"/>
      <c r="H646" s="96"/>
      <c r="I646" s="96"/>
      <c r="J646" s="5"/>
      <c r="K646" s="5"/>
      <c r="L646" s="5"/>
      <c r="M646" s="5"/>
      <c r="N646" s="5"/>
    </row>
    <row r="647">
      <c r="A647" s="5"/>
      <c r="B647" s="150"/>
      <c r="C647" s="151"/>
      <c r="E647" s="96"/>
      <c r="F647" s="96"/>
      <c r="G647" s="96"/>
      <c r="H647" s="96"/>
      <c r="I647" s="96"/>
      <c r="J647" s="5"/>
      <c r="K647" s="5"/>
      <c r="L647" s="5"/>
      <c r="M647" s="5"/>
      <c r="N647" s="5"/>
    </row>
    <row r="648">
      <c r="A648" s="5"/>
      <c r="B648" s="150"/>
      <c r="C648" s="151"/>
      <c r="E648" s="96"/>
      <c r="F648" s="96"/>
      <c r="G648" s="96"/>
      <c r="H648" s="96"/>
      <c r="I648" s="96"/>
      <c r="J648" s="5"/>
      <c r="K648" s="5"/>
      <c r="L648" s="5"/>
      <c r="M648" s="5"/>
      <c r="N648" s="5"/>
    </row>
    <row r="649">
      <c r="A649" s="5"/>
      <c r="B649" s="150"/>
      <c r="C649" s="151"/>
      <c r="E649" s="96"/>
      <c r="F649" s="96"/>
      <c r="G649" s="96"/>
      <c r="H649" s="96"/>
      <c r="I649" s="96"/>
      <c r="J649" s="5"/>
      <c r="K649" s="5"/>
      <c r="L649" s="5"/>
      <c r="M649" s="5"/>
      <c r="N649" s="5"/>
    </row>
    <row r="650">
      <c r="A650" s="5"/>
      <c r="B650" s="150"/>
      <c r="C650" s="151"/>
      <c r="E650" s="96"/>
      <c r="F650" s="96"/>
      <c r="G650" s="96"/>
      <c r="H650" s="96"/>
      <c r="I650" s="96"/>
      <c r="J650" s="5"/>
      <c r="K650" s="5"/>
      <c r="L650" s="5"/>
      <c r="M650" s="5"/>
      <c r="N650" s="5"/>
    </row>
    <row r="651">
      <c r="A651" s="5"/>
      <c r="B651" s="150"/>
      <c r="C651" s="151"/>
      <c r="E651" s="96"/>
      <c r="F651" s="96"/>
      <c r="G651" s="96"/>
      <c r="H651" s="96"/>
      <c r="I651" s="96"/>
      <c r="J651" s="5"/>
      <c r="K651" s="5"/>
      <c r="L651" s="5"/>
      <c r="M651" s="5"/>
      <c r="N651" s="5"/>
    </row>
    <row r="652">
      <c r="A652" s="5"/>
      <c r="B652" s="150"/>
      <c r="C652" s="151"/>
      <c r="E652" s="96"/>
      <c r="F652" s="96"/>
      <c r="G652" s="96"/>
      <c r="H652" s="96"/>
      <c r="I652" s="96"/>
      <c r="J652" s="5"/>
      <c r="K652" s="5"/>
      <c r="L652" s="5"/>
      <c r="M652" s="5"/>
      <c r="N652" s="5"/>
    </row>
    <row r="653">
      <c r="A653" s="5"/>
      <c r="B653" s="150"/>
      <c r="C653" s="151"/>
      <c r="E653" s="96"/>
      <c r="F653" s="96"/>
      <c r="G653" s="96"/>
      <c r="H653" s="96"/>
      <c r="I653" s="96"/>
      <c r="J653" s="5"/>
      <c r="K653" s="5"/>
      <c r="L653" s="5"/>
      <c r="M653" s="5"/>
      <c r="N653" s="5"/>
    </row>
    <row r="654">
      <c r="A654" s="5"/>
      <c r="B654" s="150"/>
      <c r="C654" s="151"/>
      <c r="E654" s="96"/>
      <c r="F654" s="96"/>
      <c r="G654" s="96"/>
      <c r="H654" s="96"/>
      <c r="I654" s="96"/>
      <c r="J654" s="5"/>
      <c r="K654" s="5"/>
      <c r="L654" s="5"/>
      <c r="M654" s="5"/>
      <c r="N654" s="5"/>
    </row>
    <row r="655">
      <c r="A655" s="5"/>
      <c r="B655" s="150"/>
      <c r="C655" s="151"/>
      <c r="E655" s="96"/>
      <c r="F655" s="96"/>
      <c r="G655" s="96"/>
      <c r="H655" s="96"/>
      <c r="I655" s="96"/>
      <c r="J655" s="5"/>
      <c r="K655" s="5"/>
      <c r="L655" s="5"/>
      <c r="M655" s="5"/>
      <c r="N655" s="5"/>
    </row>
    <row r="656">
      <c r="A656" s="5"/>
      <c r="B656" s="150"/>
      <c r="C656" s="151"/>
      <c r="E656" s="96"/>
      <c r="F656" s="96"/>
      <c r="G656" s="96"/>
      <c r="H656" s="96"/>
      <c r="I656" s="96"/>
      <c r="J656" s="5"/>
      <c r="K656" s="5"/>
      <c r="L656" s="5"/>
      <c r="M656" s="5"/>
      <c r="N656" s="5"/>
    </row>
    <row r="657">
      <c r="A657" s="5"/>
      <c r="B657" s="150"/>
      <c r="C657" s="151"/>
      <c r="E657" s="96"/>
      <c r="F657" s="96"/>
      <c r="G657" s="96"/>
      <c r="H657" s="96"/>
      <c r="I657" s="96"/>
      <c r="J657" s="5"/>
      <c r="K657" s="5"/>
      <c r="L657" s="5"/>
      <c r="M657" s="5"/>
      <c r="N657" s="5"/>
    </row>
    <row r="658">
      <c r="A658" s="5"/>
      <c r="B658" s="150"/>
      <c r="C658" s="151"/>
      <c r="E658" s="96"/>
      <c r="F658" s="96"/>
      <c r="G658" s="96"/>
      <c r="H658" s="96"/>
      <c r="I658" s="96"/>
      <c r="J658" s="5"/>
      <c r="K658" s="5"/>
      <c r="L658" s="5"/>
      <c r="M658" s="5"/>
      <c r="N658" s="5"/>
    </row>
    <row r="659">
      <c r="A659" s="5"/>
      <c r="B659" s="150"/>
      <c r="C659" s="151"/>
      <c r="E659" s="96"/>
      <c r="F659" s="96"/>
      <c r="G659" s="96"/>
      <c r="H659" s="96"/>
      <c r="I659" s="96"/>
      <c r="J659" s="5"/>
      <c r="K659" s="5"/>
      <c r="L659" s="5"/>
      <c r="M659" s="5"/>
      <c r="N659" s="5"/>
    </row>
    <row r="660">
      <c r="A660" s="5"/>
      <c r="B660" s="150"/>
      <c r="C660" s="151"/>
      <c r="E660" s="96"/>
      <c r="F660" s="96"/>
      <c r="G660" s="96"/>
      <c r="H660" s="96"/>
      <c r="I660" s="96"/>
      <c r="J660" s="5"/>
      <c r="K660" s="5"/>
      <c r="L660" s="5"/>
      <c r="M660" s="5"/>
      <c r="N660" s="5"/>
    </row>
    <row r="661">
      <c r="A661" s="5"/>
      <c r="B661" s="150"/>
      <c r="C661" s="151"/>
      <c r="E661" s="96"/>
      <c r="F661" s="96"/>
      <c r="G661" s="96"/>
      <c r="H661" s="96"/>
      <c r="I661" s="96"/>
      <c r="J661" s="5"/>
      <c r="K661" s="5"/>
      <c r="L661" s="5"/>
      <c r="M661" s="5"/>
      <c r="N661" s="5"/>
    </row>
    <row r="662">
      <c r="A662" s="5"/>
      <c r="B662" s="150"/>
      <c r="C662" s="151"/>
      <c r="E662" s="96"/>
      <c r="F662" s="96"/>
      <c r="G662" s="96"/>
      <c r="H662" s="96"/>
      <c r="I662" s="96"/>
      <c r="J662" s="5"/>
      <c r="K662" s="5"/>
      <c r="L662" s="5"/>
      <c r="M662" s="5"/>
      <c r="N662" s="5"/>
    </row>
    <row r="663">
      <c r="A663" s="5"/>
      <c r="B663" s="150"/>
      <c r="C663" s="151"/>
      <c r="E663" s="96"/>
      <c r="F663" s="96"/>
      <c r="G663" s="96"/>
      <c r="H663" s="96"/>
      <c r="I663" s="96"/>
      <c r="J663" s="5"/>
      <c r="K663" s="5"/>
      <c r="L663" s="5"/>
      <c r="M663" s="5"/>
      <c r="N663" s="5"/>
    </row>
    <row r="664">
      <c r="A664" s="5"/>
      <c r="B664" s="150"/>
      <c r="C664" s="151"/>
      <c r="E664" s="96"/>
      <c r="F664" s="96"/>
      <c r="G664" s="96"/>
      <c r="H664" s="96"/>
      <c r="I664" s="96"/>
      <c r="J664" s="5"/>
      <c r="K664" s="5"/>
      <c r="L664" s="5"/>
      <c r="M664" s="5"/>
      <c r="N664" s="5"/>
    </row>
    <row r="665">
      <c r="A665" s="5"/>
      <c r="B665" s="150"/>
      <c r="C665" s="151"/>
      <c r="E665" s="96"/>
      <c r="F665" s="96"/>
      <c r="G665" s="96"/>
      <c r="H665" s="96"/>
      <c r="I665" s="96"/>
      <c r="J665" s="5"/>
      <c r="K665" s="5"/>
      <c r="L665" s="5"/>
      <c r="M665" s="5"/>
      <c r="N665" s="5"/>
    </row>
    <row r="666">
      <c r="A666" s="5"/>
      <c r="B666" s="150"/>
      <c r="C666" s="151"/>
      <c r="E666" s="96"/>
      <c r="F666" s="96"/>
      <c r="G666" s="96"/>
      <c r="H666" s="96"/>
      <c r="I666" s="96"/>
      <c r="J666" s="5"/>
      <c r="K666" s="5"/>
      <c r="L666" s="5"/>
      <c r="M666" s="5"/>
      <c r="N666" s="5"/>
    </row>
    <row r="667">
      <c r="A667" s="5"/>
      <c r="B667" s="150"/>
      <c r="C667" s="151"/>
      <c r="E667" s="96"/>
      <c r="F667" s="96"/>
      <c r="G667" s="96"/>
      <c r="H667" s="96"/>
      <c r="I667" s="96"/>
      <c r="J667" s="5"/>
      <c r="K667" s="5"/>
      <c r="L667" s="5"/>
      <c r="M667" s="5"/>
      <c r="N667" s="5"/>
    </row>
    <row r="668">
      <c r="A668" s="5"/>
      <c r="B668" s="150"/>
      <c r="C668" s="151"/>
      <c r="E668" s="96"/>
      <c r="F668" s="96"/>
      <c r="G668" s="96"/>
      <c r="H668" s="96"/>
      <c r="I668" s="96"/>
      <c r="J668" s="5"/>
      <c r="K668" s="5"/>
      <c r="L668" s="5"/>
      <c r="M668" s="5"/>
      <c r="N668" s="5"/>
    </row>
    <row r="669">
      <c r="A669" s="5"/>
      <c r="B669" s="150"/>
      <c r="C669" s="151"/>
      <c r="E669" s="96"/>
      <c r="F669" s="96"/>
      <c r="G669" s="96"/>
      <c r="H669" s="96"/>
      <c r="I669" s="96"/>
      <c r="J669" s="5"/>
      <c r="K669" s="5"/>
      <c r="L669" s="5"/>
      <c r="M669" s="5"/>
      <c r="N669" s="5"/>
    </row>
    <row r="670">
      <c r="A670" s="5"/>
      <c r="B670" s="150"/>
      <c r="C670" s="151"/>
      <c r="E670" s="96"/>
      <c r="F670" s="96"/>
      <c r="G670" s="96"/>
      <c r="H670" s="96"/>
      <c r="I670" s="96"/>
      <c r="J670" s="5"/>
      <c r="K670" s="5"/>
      <c r="L670" s="5"/>
      <c r="M670" s="5"/>
      <c r="N670" s="5"/>
    </row>
    <row r="671">
      <c r="A671" s="5"/>
      <c r="B671" s="150"/>
      <c r="C671" s="151"/>
      <c r="E671" s="96"/>
      <c r="F671" s="96"/>
      <c r="G671" s="96"/>
      <c r="H671" s="96"/>
      <c r="I671" s="96"/>
      <c r="J671" s="5"/>
      <c r="K671" s="5"/>
      <c r="L671" s="5"/>
      <c r="M671" s="5"/>
      <c r="N671" s="5"/>
    </row>
    <row r="672">
      <c r="A672" s="5"/>
      <c r="B672" s="150"/>
      <c r="C672" s="151"/>
      <c r="E672" s="96"/>
      <c r="F672" s="96"/>
      <c r="G672" s="96"/>
      <c r="H672" s="96"/>
      <c r="I672" s="96"/>
      <c r="J672" s="5"/>
      <c r="K672" s="5"/>
      <c r="L672" s="5"/>
      <c r="M672" s="5"/>
      <c r="N672" s="5"/>
    </row>
    <row r="673">
      <c r="A673" s="5"/>
      <c r="B673" s="150"/>
      <c r="C673" s="151"/>
      <c r="E673" s="96"/>
      <c r="F673" s="96"/>
      <c r="G673" s="96"/>
      <c r="H673" s="96"/>
      <c r="I673" s="96"/>
      <c r="J673" s="5"/>
      <c r="K673" s="5"/>
      <c r="L673" s="5"/>
      <c r="M673" s="5"/>
      <c r="N673" s="5"/>
    </row>
    <row r="674">
      <c r="A674" s="5"/>
      <c r="B674" s="150"/>
      <c r="C674" s="151"/>
      <c r="E674" s="96"/>
      <c r="F674" s="96"/>
      <c r="G674" s="96"/>
      <c r="H674" s="96"/>
      <c r="I674" s="96"/>
      <c r="J674" s="5"/>
      <c r="K674" s="5"/>
      <c r="L674" s="5"/>
      <c r="M674" s="5"/>
      <c r="N674" s="5"/>
    </row>
    <row r="675">
      <c r="A675" s="5"/>
      <c r="B675" s="150"/>
      <c r="C675" s="151"/>
      <c r="E675" s="96"/>
      <c r="F675" s="96"/>
      <c r="G675" s="96"/>
      <c r="H675" s="96"/>
      <c r="I675" s="96"/>
      <c r="J675" s="5"/>
      <c r="K675" s="5"/>
      <c r="L675" s="5"/>
      <c r="M675" s="5"/>
      <c r="N675" s="5"/>
    </row>
    <row r="676">
      <c r="A676" s="5"/>
      <c r="B676" s="150"/>
      <c r="C676" s="151"/>
      <c r="E676" s="96"/>
      <c r="F676" s="96"/>
      <c r="G676" s="96"/>
      <c r="H676" s="96"/>
      <c r="I676" s="96"/>
      <c r="J676" s="5"/>
      <c r="K676" s="5"/>
      <c r="L676" s="5"/>
      <c r="M676" s="5"/>
      <c r="N676" s="5"/>
    </row>
    <row r="677">
      <c r="A677" s="5"/>
      <c r="B677" s="150"/>
      <c r="C677" s="151"/>
      <c r="E677" s="96"/>
      <c r="F677" s="96"/>
      <c r="G677" s="96"/>
      <c r="H677" s="96"/>
      <c r="I677" s="96"/>
      <c r="J677" s="5"/>
      <c r="K677" s="5"/>
      <c r="L677" s="5"/>
      <c r="M677" s="5"/>
      <c r="N677" s="5"/>
    </row>
    <row r="678">
      <c r="A678" s="5"/>
      <c r="B678" s="150"/>
      <c r="C678" s="151"/>
      <c r="E678" s="96"/>
      <c r="F678" s="96"/>
      <c r="G678" s="96"/>
      <c r="H678" s="96"/>
      <c r="I678" s="96"/>
      <c r="J678" s="5"/>
      <c r="K678" s="5"/>
      <c r="L678" s="5"/>
      <c r="M678" s="5"/>
      <c r="N678" s="5"/>
    </row>
    <row r="679">
      <c r="A679" s="5"/>
      <c r="B679" s="150"/>
      <c r="C679" s="151"/>
      <c r="E679" s="96"/>
      <c r="F679" s="96"/>
      <c r="G679" s="96"/>
      <c r="H679" s="96"/>
      <c r="I679" s="96"/>
      <c r="J679" s="5"/>
      <c r="K679" s="5"/>
      <c r="L679" s="5"/>
      <c r="M679" s="5"/>
      <c r="N679" s="5"/>
    </row>
    <row r="680">
      <c r="A680" s="5"/>
      <c r="B680" s="150"/>
      <c r="C680" s="151"/>
      <c r="E680" s="96"/>
      <c r="F680" s="96"/>
      <c r="G680" s="96"/>
      <c r="H680" s="96"/>
      <c r="I680" s="96"/>
      <c r="J680" s="5"/>
      <c r="K680" s="5"/>
      <c r="L680" s="5"/>
      <c r="M680" s="5"/>
      <c r="N680" s="5"/>
    </row>
    <row r="681">
      <c r="A681" s="5"/>
      <c r="B681" s="150"/>
      <c r="C681" s="151"/>
      <c r="E681" s="96"/>
      <c r="F681" s="96"/>
      <c r="G681" s="96"/>
      <c r="H681" s="96"/>
      <c r="I681" s="96"/>
      <c r="J681" s="5"/>
      <c r="K681" s="5"/>
      <c r="L681" s="5"/>
      <c r="M681" s="5"/>
      <c r="N681" s="5"/>
    </row>
    <row r="682">
      <c r="A682" s="5"/>
      <c r="B682" s="150"/>
      <c r="C682" s="151"/>
      <c r="E682" s="96"/>
      <c r="F682" s="96"/>
      <c r="G682" s="96"/>
      <c r="H682" s="96"/>
      <c r="I682" s="96"/>
      <c r="J682" s="5"/>
      <c r="K682" s="5"/>
      <c r="L682" s="5"/>
      <c r="M682" s="5"/>
      <c r="N682" s="5"/>
    </row>
    <row r="683">
      <c r="A683" s="5"/>
      <c r="B683" s="150"/>
      <c r="C683" s="151"/>
      <c r="E683" s="96"/>
      <c r="F683" s="96"/>
      <c r="G683" s="96"/>
      <c r="H683" s="96"/>
      <c r="I683" s="96"/>
      <c r="J683" s="5"/>
      <c r="K683" s="5"/>
      <c r="L683" s="5"/>
      <c r="M683" s="5"/>
      <c r="N683" s="5"/>
    </row>
    <row r="684">
      <c r="A684" s="5"/>
      <c r="B684" s="150"/>
      <c r="C684" s="151"/>
      <c r="E684" s="96"/>
      <c r="F684" s="96"/>
      <c r="G684" s="96"/>
      <c r="H684" s="96"/>
      <c r="I684" s="96"/>
      <c r="J684" s="5"/>
      <c r="K684" s="5"/>
      <c r="L684" s="5"/>
      <c r="M684" s="5"/>
      <c r="N684" s="5"/>
    </row>
    <row r="685">
      <c r="A685" s="5"/>
      <c r="B685" s="150"/>
      <c r="C685" s="151"/>
      <c r="E685" s="96"/>
      <c r="F685" s="96"/>
      <c r="G685" s="96"/>
      <c r="H685" s="96"/>
      <c r="I685" s="96"/>
      <c r="J685" s="5"/>
      <c r="K685" s="5"/>
      <c r="L685" s="5"/>
      <c r="M685" s="5"/>
      <c r="N685" s="5"/>
    </row>
    <row r="686">
      <c r="A686" s="5"/>
      <c r="B686" s="150"/>
      <c r="C686" s="151"/>
      <c r="E686" s="96"/>
      <c r="F686" s="96"/>
      <c r="G686" s="96"/>
      <c r="H686" s="96"/>
      <c r="I686" s="96"/>
      <c r="J686" s="5"/>
      <c r="K686" s="5"/>
      <c r="L686" s="5"/>
      <c r="M686" s="5"/>
      <c r="N686" s="5"/>
    </row>
    <row r="687">
      <c r="A687" s="5"/>
      <c r="B687" s="150"/>
      <c r="C687" s="151"/>
      <c r="E687" s="96"/>
      <c r="F687" s="96"/>
      <c r="G687" s="96"/>
      <c r="H687" s="96"/>
      <c r="I687" s="96"/>
      <c r="J687" s="5"/>
      <c r="K687" s="5"/>
      <c r="L687" s="5"/>
      <c r="M687" s="5"/>
      <c r="N687" s="5"/>
    </row>
    <row r="688">
      <c r="A688" s="5"/>
      <c r="B688" s="150"/>
      <c r="C688" s="151"/>
      <c r="E688" s="96"/>
      <c r="F688" s="96"/>
      <c r="G688" s="96"/>
      <c r="H688" s="96"/>
      <c r="I688" s="96"/>
      <c r="J688" s="5"/>
      <c r="K688" s="5"/>
      <c r="L688" s="5"/>
      <c r="M688" s="5"/>
      <c r="N688" s="5"/>
    </row>
    <row r="689">
      <c r="A689" s="5"/>
      <c r="B689" s="150"/>
      <c r="C689" s="151"/>
      <c r="E689" s="96"/>
      <c r="F689" s="96"/>
      <c r="G689" s="96"/>
      <c r="H689" s="96"/>
      <c r="I689" s="96"/>
      <c r="J689" s="5"/>
      <c r="K689" s="5"/>
      <c r="L689" s="5"/>
      <c r="M689" s="5"/>
      <c r="N689" s="5"/>
    </row>
    <row r="690">
      <c r="A690" s="5"/>
      <c r="B690" s="150"/>
      <c r="C690" s="151"/>
      <c r="E690" s="96"/>
      <c r="F690" s="96"/>
      <c r="G690" s="96"/>
      <c r="H690" s="96"/>
      <c r="I690" s="96"/>
      <c r="J690" s="5"/>
      <c r="K690" s="5"/>
      <c r="L690" s="5"/>
      <c r="M690" s="5"/>
      <c r="N690" s="5"/>
    </row>
    <row r="691">
      <c r="A691" s="5"/>
      <c r="B691" s="150"/>
      <c r="C691" s="151"/>
      <c r="E691" s="96"/>
      <c r="F691" s="96"/>
      <c r="G691" s="96"/>
      <c r="H691" s="96"/>
      <c r="I691" s="96"/>
      <c r="J691" s="5"/>
      <c r="K691" s="5"/>
      <c r="L691" s="5"/>
      <c r="M691" s="5"/>
      <c r="N691" s="5"/>
    </row>
    <row r="692">
      <c r="A692" s="5"/>
      <c r="B692" s="150"/>
      <c r="C692" s="151"/>
      <c r="E692" s="96"/>
      <c r="F692" s="96"/>
      <c r="G692" s="96"/>
      <c r="H692" s="96"/>
      <c r="I692" s="96"/>
      <c r="J692" s="5"/>
      <c r="K692" s="5"/>
      <c r="L692" s="5"/>
      <c r="M692" s="5"/>
      <c r="N692" s="5"/>
    </row>
    <row r="693">
      <c r="A693" s="5"/>
      <c r="B693" s="150"/>
      <c r="C693" s="151"/>
      <c r="E693" s="96"/>
      <c r="F693" s="96"/>
      <c r="G693" s="96"/>
      <c r="H693" s="96"/>
      <c r="I693" s="96"/>
      <c r="J693" s="5"/>
      <c r="K693" s="5"/>
      <c r="L693" s="5"/>
      <c r="M693" s="5"/>
      <c r="N693" s="5"/>
    </row>
    <row r="694">
      <c r="A694" s="5"/>
      <c r="B694" s="150"/>
      <c r="C694" s="151"/>
      <c r="E694" s="96"/>
      <c r="F694" s="96"/>
      <c r="G694" s="96"/>
      <c r="H694" s="96"/>
      <c r="I694" s="96"/>
      <c r="J694" s="5"/>
      <c r="K694" s="5"/>
      <c r="L694" s="5"/>
      <c r="M694" s="5"/>
      <c r="N694" s="5"/>
    </row>
    <row r="695">
      <c r="A695" s="5"/>
      <c r="B695" s="150"/>
      <c r="C695" s="151"/>
      <c r="E695" s="96"/>
      <c r="F695" s="96"/>
      <c r="G695" s="96"/>
      <c r="H695" s="96"/>
      <c r="I695" s="96"/>
      <c r="J695" s="5"/>
      <c r="K695" s="5"/>
      <c r="L695" s="5"/>
      <c r="M695" s="5"/>
      <c r="N695" s="5"/>
    </row>
    <row r="696">
      <c r="A696" s="5"/>
      <c r="B696" s="150"/>
      <c r="C696" s="151"/>
      <c r="E696" s="96"/>
      <c r="F696" s="96"/>
      <c r="G696" s="96"/>
      <c r="H696" s="96"/>
      <c r="I696" s="96"/>
      <c r="J696" s="5"/>
      <c r="K696" s="5"/>
      <c r="L696" s="5"/>
      <c r="M696" s="5"/>
      <c r="N696" s="5"/>
    </row>
    <row r="697">
      <c r="A697" s="5"/>
      <c r="B697" s="150"/>
      <c r="C697" s="151"/>
      <c r="E697" s="96"/>
      <c r="F697" s="96"/>
      <c r="G697" s="96"/>
      <c r="H697" s="96"/>
      <c r="I697" s="96"/>
      <c r="J697" s="5"/>
      <c r="K697" s="5"/>
      <c r="L697" s="5"/>
      <c r="M697" s="5"/>
      <c r="N697" s="5"/>
    </row>
    <row r="698">
      <c r="A698" s="5"/>
      <c r="B698" s="150"/>
      <c r="C698" s="151"/>
      <c r="E698" s="96"/>
      <c r="F698" s="96"/>
      <c r="G698" s="96"/>
      <c r="H698" s="96"/>
      <c r="I698" s="96"/>
      <c r="J698" s="5"/>
      <c r="K698" s="5"/>
      <c r="L698" s="5"/>
      <c r="M698" s="5"/>
      <c r="N698" s="5"/>
    </row>
    <row r="699">
      <c r="A699" s="5"/>
      <c r="B699" s="150"/>
      <c r="C699" s="151"/>
      <c r="E699" s="96"/>
      <c r="F699" s="96"/>
      <c r="G699" s="96"/>
      <c r="H699" s="96"/>
      <c r="I699" s="96"/>
      <c r="J699" s="5"/>
      <c r="K699" s="5"/>
      <c r="L699" s="5"/>
      <c r="M699" s="5"/>
      <c r="N699" s="5"/>
    </row>
    <row r="700">
      <c r="A700" s="5"/>
      <c r="B700" s="150"/>
      <c r="C700" s="151"/>
      <c r="E700" s="96"/>
      <c r="F700" s="96"/>
      <c r="G700" s="96"/>
      <c r="H700" s="96"/>
      <c r="I700" s="96"/>
      <c r="J700" s="5"/>
      <c r="K700" s="5"/>
      <c r="L700" s="5"/>
      <c r="M700" s="5"/>
      <c r="N700" s="5"/>
    </row>
    <row r="701">
      <c r="A701" s="5"/>
      <c r="B701" s="150"/>
      <c r="C701" s="151"/>
      <c r="E701" s="96"/>
      <c r="F701" s="96"/>
      <c r="G701" s="96"/>
      <c r="H701" s="96"/>
      <c r="I701" s="96"/>
      <c r="J701" s="5"/>
      <c r="K701" s="5"/>
      <c r="L701" s="5"/>
      <c r="M701" s="5"/>
      <c r="N701" s="5"/>
    </row>
    <row r="702">
      <c r="A702" s="5"/>
      <c r="B702" s="150"/>
      <c r="C702" s="151"/>
      <c r="E702" s="96"/>
      <c r="F702" s="96"/>
      <c r="G702" s="96"/>
      <c r="H702" s="96"/>
      <c r="I702" s="96"/>
      <c r="J702" s="5"/>
      <c r="K702" s="5"/>
      <c r="L702" s="5"/>
      <c r="M702" s="5"/>
      <c r="N702" s="5"/>
    </row>
    <row r="703">
      <c r="A703" s="5"/>
      <c r="B703" s="150"/>
      <c r="C703" s="151"/>
      <c r="E703" s="96"/>
      <c r="F703" s="96"/>
      <c r="G703" s="96"/>
      <c r="H703" s="96"/>
      <c r="I703" s="96"/>
      <c r="J703" s="5"/>
      <c r="K703" s="5"/>
      <c r="L703" s="5"/>
      <c r="M703" s="5"/>
      <c r="N703" s="5"/>
    </row>
    <row r="704">
      <c r="A704" s="5"/>
      <c r="B704" s="150"/>
      <c r="C704" s="151"/>
      <c r="E704" s="96"/>
      <c r="F704" s="96"/>
      <c r="G704" s="96"/>
      <c r="H704" s="96"/>
      <c r="I704" s="96"/>
      <c r="J704" s="5"/>
      <c r="K704" s="5"/>
      <c r="L704" s="5"/>
      <c r="M704" s="5"/>
      <c r="N704" s="5"/>
    </row>
    <row r="705">
      <c r="A705" s="5"/>
      <c r="B705" s="150"/>
      <c r="C705" s="151"/>
      <c r="E705" s="96"/>
      <c r="F705" s="96"/>
      <c r="G705" s="96"/>
      <c r="H705" s="96"/>
      <c r="I705" s="96"/>
      <c r="J705" s="5"/>
      <c r="K705" s="5"/>
      <c r="L705" s="5"/>
      <c r="M705" s="5"/>
      <c r="N705" s="5"/>
    </row>
    <row r="706">
      <c r="A706" s="5"/>
      <c r="B706" s="150"/>
      <c r="C706" s="151"/>
      <c r="E706" s="96"/>
      <c r="F706" s="96"/>
      <c r="G706" s="96"/>
      <c r="H706" s="96"/>
      <c r="I706" s="96"/>
      <c r="J706" s="5"/>
      <c r="K706" s="5"/>
      <c r="L706" s="5"/>
      <c r="M706" s="5"/>
      <c r="N706" s="5"/>
    </row>
    <row r="707">
      <c r="A707" s="5"/>
      <c r="B707" s="150"/>
      <c r="C707" s="151"/>
      <c r="E707" s="96"/>
      <c r="F707" s="96"/>
      <c r="G707" s="96"/>
      <c r="H707" s="96"/>
      <c r="I707" s="96"/>
      <c r="J707" s="5"/>
      <c r="K707" s="5"/>
      <c r="L707" s="5"/>
      <c r="M707" s="5"/>
      <c r="N707" s="5"/>
    </row>
    <row r="708">
      <c r="A708" s="5"/>
      <c r="B708" s="150"/>
      <c r="C708" s="151"/>
      <c r="E708" s="96"/>
      <c r="F708" s="96"/>
      <c r="G708" s="96"/>
      <c r="H708" s="96"/>
      <c r="I708" s="96"/>
      <c r="J708" s="5"/>
      <c r="K708" s="5"/>
      <c r="L708" s="5"/>
      <c r="M708" s="5"/>
      <c r="N708" s="5"/>
    </row>
    <row r="709">
      <c r="A709" s="5"/>
      <c r="B709" s="150"/>
      <c r="C709" s="151"/>
      <c r="E709" s="96"/>
      <c r="F709" s="96"/>
      <c r="G709" s="96"/>
      <c r="H709" s="96"/>
      <c r="I709" s="96"/>
      <c r="J709" s="5"/>
      <c r="K709" s="5"/>
      <c r="L709" s="5"/>
      <c r="M709" s="5"/>
      <c r="N709" s="5"/>
    </row>
    <row r="710">
      <c r="A710" s="5"/>
      <c r="B710" s="150"/>
      <c r="C710" s="151"/>
      <c r="E710" s="96"/>
      <c r="F710" s="96"/>
      <c r="G710" s="96"/>
      <c r="H710" s="96"/>
      <c r="I710" s="96"/>
      <c r="J710" s="5"/>
      <c r="K710" s="5"/>
      <c r="L710" s="5"/>
      <c r="M710" s="5"/>
      <c r="N710" s="5"/>
    </row>
    <row r="711">
      <c r="A711" s="5"/>
      <c r="B711" s="150"/>
      <c r="C711" s="151"/>
      <c r="E711" s="96"/>
      <c r="F711" s="96"/>
      <c r="G711" s="96"/>
      <c r="H711" s="96"/>
      <c r="I711" s="96"/>
      <c r="J711" s="5"/>
      <c r="K711" s="5"/>
      <c r="L711" s="5"/>
      <c r="M711" s="5"/>
      <c r="N711" s="5"/>
    </row>
    <row r="712">
      <c r="A712" s="5"/>
      <c r="B712" s="150"/>
      <c r="C712" s="151"/>
      <c r="E712" s="96"/>
      <c r="F712" s="96"/>
      <c r="G712" s="96"/>
      <c r="H712" s="96"/>
      <c r="I712" s="96"/>
      <c r="J712" s="5"/>
      <c r="K712" s="5"/>
      <c r="L712" s="5"/>
      <c r="M712" s="5"/>
      <c r="N712" s="5"/>
    </row>
    <row r="713">
      <c r="A713" s="5"/>
      <c r="B713" s="150"/>
      <c r="C713" s="151"/>
      <c r="E713" s="96"/>
      <c r="F713" s="96"/>
      <c r="G713" s="96"/>
      <c r="H713" s="96"/>
      <c r="I713" s="96"/>
      <c r="J713" s="5"/>
      <c r="K713" s="5"/>
      <c r="L713" s="5"/>
      <c r="M713" s="5"/>
      <c r="N713" s="5"/>
    </row>
    <row r="714">
      <c r="A714" s="5"/>
      <c r="B714" s="150"/>
      <c r="C714" s="151"/>
      <c r="E714" s="96"/>
      <c r="F714" s="96"/>
      <c r="G714" s="96"/>
      <c r="H714" s="96"/>
      <c r="I714" s="96"/>
      <c r="J714" s="5"/>
      <c r="K714" s="5"/>
      <c r="L714" s="5"/>
      <c r="M714" s="5"/>
      <c r="N714" s="5"/>
    </row>
    <row r="715">
      <c r="A715" s="5"/>
      <c r="B715" s="150"/>
      <c r="C715" s="151"/>
      <c r="E715" s="96"/>
      <c r="F715" s="96"/>
      <c r="G715" s="96"/>
      <c r="H715" s="96"/>
      <c r="I715" s="96"/>
      <c r="J715" s="5"/>
      <c r="K715" s="5"/>
      <c r="L715" s="5"/>
      <c r="M715" s="5"/>
      <c r="N715" s="5"/>
    </row>
    <row r="716">
      <c r="A716" s="5"/>
      <c r="B716" s="150"/>
      <c r="C716" s="151"/>
      <c r="E716" s="96"/>
      <c r="F716" s="96"/>
      <c r="G716" s="96"/>
      <c r="H716" s="96"/>
      <c r="I716" s="96"/>
      <c r="J716" s="5"/>
      <c r="K716" s="5"/>
      <c r="L716" s="5"/>
      <c r="M716" s="5"/>
      <c r="N716" s="5"/>
    </row>
    <row r="717">
      <c r="A717" s="5"/>
      <c r="B717" s="150"/>
      <c r="C717" s="151"/>
      <c r="E717" s="96"/>
      <c r="F717" s="96"/>
      <c r="G717" s="96"/>
      <c r="H717" s="96"/>
      <c r="I717" s="96"/>
      <c r="J717" s="5"/>
      <c r="K717" s="5"/>
      <c r="L717" s="5"/>
      <c r="M717" s="5"/>
      <c r="N717" s="5"/>
    </row>
    <row r="718">
      <c r="A718" s="5"/>
      <c r="B718" s="150"/>
      <c r="C718" s="151"/>
      <c r="E718" s="96"/>
      <c r="F718" s="96"/>
      <c r="G718" s="96"/>
      <c r="H718" s="96"/>
      <c r="I718" s="96"/>
      <c r="J718" s="5"/>
      <c r="K718" s="5"/>
      <c r="L718" s="5"/>
      <c r="M718" s="5"/>
      <c r="N718" s="5"/>
    </row>
    <row r="719">
      <c r="A719" s="5"/>
      <c r="B719" s="150"/>
      <c r="C719" s="151"/>
      <c r="E719" s="96"/>
      <c r="F719" s="96"/>
      <c r="G719" s="96"/>
      <c r="H719" s="96"/>
      <c r="I719" s="96"/>
      <c r="J719" s="5"/>
      <c r="K719" s="5"/>
      <c r="L719" s="5"/>
      <c r="M719" s="5"/>
      <c r="N719" s="5"/>
    </row>
    <row r="720">
      <c r="A720" s="5"/>
      <c r="B720" s="150"/>
      <c r="C720" s="151"/>
      <c r="E720" s="96"/>
      <c r="F720" s="96"/>
      <c r="G720" s="96"/>
      <c r="H720" s="96"/>
      <c r="I720" s="96"/>
      <c r="J720" s="5"/>
      <c r="K720" s="5"/>
      <c r="L720" s="5"/>
      <c r="M720" s="5"/>
      <c r="N720" s="5"/>
    </row>
    <row r="721">
      <c r="A721" s="5"/>
      <c r="B721" s="150"/>
      <c r="C721" s="151"/>
      <c r="E721" s="96"/>
      <c r="F721" s="96"/>
      <c r="G721" s="96"/>
      <c r="H721" s="96"/>
      <c r="I721" s="96"/>
      <c r="J721" s="5"/>
      <c r="K721" s="5"/>
      <c r="L721" s="5"/>
      <c r="M721" s="5"/>
      <c r="N721" s="5"/>
    </row>
    <row r="722">
      <c r="A722" s="5"/>
      <c r="B722" s="150"/>
      <c r="C722" s="151"/>
      <c r="E722" s="96"/>
      <c r="F722" s="96"/>
      <c r="G722" s="96"/>
      <c r="H722" s="96"/>
      <c r="I722" s="96"/>
      <c r="J722" s="5"/>
      <c r="K722" s="5"/>
      <c r="L722" s="5"/>
      <c r="M722" s="5"/>
      <c r="N722" s="5"/>
    </row>
    <row r="723">
      <c r="A723" s="5"/>
      <c r="B723" s="150"/>
      <c r="C723" s="151"/>
      <c r="E723" s="96"/>
      <c r="F723" s="96"/>
      <c r="G723" s="96"/>
      <c r="H723" s="96"/>
      <c r="I723" s="96"/>
      <c r="J723" s="5"/>
      <c r="K723" s="5"/>
      <c r="L723" s="5"/>
      <c r="M723" s="5"/>
      <c r="N723" s="5"/>
    </row>
    <row r="724">
      <c r="A724" s="5"/>
      <c r="B724" s="150"/>
      <c r="C724" s="151"/>
      <c r="E724" s="96"/>
      <c r="F724" s="96"/>
      <c r="G724" s="96"/>
      <c r="H724" s="96"/>
      <c r="I724" s="96"/>
      <c r="J724" s="5"/>
      <c r="K724" s="5"/>
      <c r="L724" s="5"/>
      <c r="M724" s="5"/>
      <c r="N724" s="5"/>
    </row>
    <row r="725">
      <c r="A725" s="5"/>
      <c r="B725" s="150"/>
      <c r="C725" s="151"/>
      <c r="E725" s="96"/>
      <c r="F725" s="96"/>
      <c r="G725" s="96"/>
      <c r="H725" s="96"/>
      <c r="I725" s="96"/>
      <c r="J725" s="5"/>
      <c r="K725" s="5"/>
      <c r="L725" s="5"/>
      <c r="M725" s="5"/>
      <c r="N725" s="5"/>
    </row>
    <row r="726">
      <c r="A726" s="5"/>
      <c r="B726" s="150"/>
      <c r="C726" s="151"/>
      <c r="E726" s="96"/>
      <c r="F726" s="96"/>
      <c r="G726" s="96"/>
      <c r="H726" s="96"/>
      <c r="I726" s="96"/>
      <c r="J726" s="5"/>
      <c r="K726" s="5"/>
      <c r="L726" s="5"/>
      <c r="M726" s="5"/>
      <c r="N726" s="5"/>
    </row>
    <row r="727">
      <c r="A727" s="5"/>
      <c r="B727" s="150"/>
      <c r="C727" s="151"/>
      <c r="E727" s="96"/>
      <c r="F727" s="96"/>
      <c r="G727" s="96"/>
      <c r="H727" s="96"/>
      <c r="I727" s="96"/>
      <c r="J727" s="5"/>
      <c r="K727" s="5"/>
      <c r="L727" s="5"/>
      <c r="M727" s="5"/>
      <c r="N727" s="5"/>
    </row>
    <row r="728">
      <c r="A728" s="5"/>
      <c r="B728" s="150"/>
      <c r="C728" s="151"/>
      <c r="E728" s="96"/>
      <c r="F728" s="96"/>
      <c r="G728" s="96"/>
      <c r="H728" s="96"/>
      <c r="I728" s="96"/>
      <c r="J728" s="5"/>
      <c r="K728" s="5"/>
      <c r="L728" s="5"/>
      <c r="M728" s="5"/>
      <c r="N728" s="5"/>
    </row>
    <row r="729">
      <c r="A729" s="5"/>
      <c r="B729" s="150"/>
      <c r="C729" s="151"/>
      <c r="E729" s="96"/>
      <c r="F729" s="96"/>
      <c r="G729" s="96"/>
      <c r="H729" s="96"/>
      <c r="I729" s="96"/>
      <c r="J729" s="5"/>
      <c r="K729" s="5"/>
      <c r="L729" s="5"/>
      <c r="M729" s="5"/>
      <c r="N729" s="5"/>
    </row>
    <row r="730">
      <c r="A730" s="5"/>
      <c r="B730" s="150"/>
      <c r="C730" s="151"/>
      <c r="E730" s="96"/>
      <c r="F730" s="96"/>
      <c r="G730" s="96"/>
      <c r="H730" s="96"/>
      <c r="I730" s="96"/>
      <c r="J730" s="5"/>
      <c r="K730" s="5"/>
      <c r="L730" s="5"/>
      <c r="M730" s="5"/>
      <c r="N730" s="5"/>
    </row>
    <row r="731">
      <c r="A731" s="5"/>
      <c r="B731" s="150"/>
      <c r="C731" s="151"/>
      <c r="E731" s="96"/>
      <c r="F731" s="96"/>
      <c r="G731" s="96"/>
      <c r="H731" s="96"/>
      <c r="I731" s="96"/>
      <c r="J731" s="5"/>
      <c r="K731" s="5"/>
      <c r="L731" s="5"/>
      <c r="M731" s="5"/>
      <c r="N731" s="5"/>
    </row>
    <row r="732">
      <c r="A732" s="5"/>
      <c r="B732" s="150"/>
      <c r="C732" s="151"/>
      <c r="E732" s="96"/>
      <c r="F732" s="96"/>
      <c r="G732" s="96"/>
      <c r="H732" s="96"/>
      <c r="I732" s="96"/>
      <c r="J732" s="5"/>
      <c r="K732" s="5"/>
      <c r="L732" s="5"/>
      <c r="M732" s="5"/>
      <c r="N732" s="5"/>
    </row>
    <row r="733">
      <c r="A733" s="5"/>
      <c r="B733" s="150"/>
      <c r="C733" s="151"/>
      <c r="E733" s="96"/>
      <c r="F733" s="96"/>
      <c r="G733" s="96"/>
      <c r="H733" s="96"/>
      <c r="I733" s="96"/>
      <c r="J733" s="5"/>
      <c r="K733" s="5"/>
      <c r="L733" s="5"/>
      <c r="M733" s="5"/>
      <c r="N733" s="5"/>
    </row>
    <row r="734">
      <c r="A734" s="5"/>
      <c r="B734" s="150"/>
      <c r="C734" s="151"/>
      <c r="E734" s="96"/>
      <c r="F734" s="96"/>
      <c r="G734" s="96"/>
      <c r="H734" s="96"/>
      <c r="I734" s="96"/>
      <c r="J734" s="5"/>
      <c r="K734" s="5"/>
      <c r="L734" s="5"/>
      <c r="M734" s="5"/>
      <c r="N734" s="5"/>
    </row>
    <row r="735">
      <c r="A735" s="5"/>
      <c r="B735" s="150"/>
      <c r="C735" s="151"/>
      <c r="E735" s="96"/>
      <c r="F735" s="96"/>
      <c r="G735" s="96"/>
      <c r="H735" s="96"/>
      <c r="I735" s="96"/>
      <c r="J735" s="5"/>
      <c r="K735" s="5"/>
      <c r="L735" s="5"/>
      <c r="M735" s="5"/>
      <c r="N735" s="5"/>
    </row>
    <row r="736">
      <c r="A736" s="5"/>
      <c r="B736" s="150"/>
      <c r="C736" s="151"/>
      <c r="E736" s="96"/>
      <c r="F736" s="96"/>
      <c r="G736" s="96"/>
      <c r="H736" s="96"/>
      <c r="I736" s="96"/>
      <c r="J736" s="5"/>
      <c r="K736" s="5"/>
      <c r="L736" s="5"/>
      <c r="M736" s="5"/>
      <c r="N736" s="5"/>
    </row>
    <row r="737">
      <c r="A737" s="5"/>
      <c r="B737" s="150"/>
      <c r="C737" s="151"/>
      <c r="E737" s="96"/>
      <c r="F737" s="96"/>
      <c r="G737" s="96"/>
      <c r="H737" s="96"/>
      <c r="I737" s="96"/>
      <c r="J737" s="5"/>
      <c r="K737" s="5"/>
      <c r="L737" s="5"/>
      <c r="M737" s="5"/>
      <c r="N737" s="5"/>
    </row>
    <row r="738">
      <c r="A738" s="5"/>
      <c r="B738" s="150"/>
      <c r="C738" s="151"/>
      <c r="E738" s="96"/>
      <c r="F738" s="96"/>
      <c r="G738" s="96"/>
      <c r="H738" s="96"/>
      <c r="I738" s="96"/>
      <c r="J738" s="5"/>
      <c r="K738" s="5"/>
      <c r="L738" s="5"/>
      <c r="M738" s="5"/>
      <c r="N738" s="5"/>
    </row>
    <row r="739">
      <c r="A739" s="5"/>
      <c r="B739" s="150"/>
      <c r="C739" s="151"/>
      <c r="E739" s="96"/>
      <c r="F739" s="96"/>
      <c r="G739" s="96"/>
      <c r="H739" s="96"/>
      <c r="I739" s="96"/>
      <c r="J739" s="5"/>
      <c r="K739" s="5"/>
      <c r="L739" s="5"/>
      <c r="M739" s="5"/>
      <c r="N739" s="5"/>
    </row>
    <row r="740">
      <c r="A740" s="5"/>
      <c r="B740" s="150"/>
      <c r="C740" s="151"/>
      <c r="E740" s="96"/>
      <c r="F740" s="96"/>
      <c r="G740" s="96"/>
      <c r="H740" s="96"/>
      <c r="I740" s="96"/>
      <c r="J740" s="5"/>
      <c r="K740" s="5"/>
      <c r="L740" s="5"/>
      <c r="M740" s="5"/>
      <c r="N740" s="5"/>
    </row>
    <row r="741">
      <c r="A741" s="5"/>
      <c r="B741" s="150"/>
      <c r="C741" s="151"/>
      <c r="E741" s="96"/>
      <c r="F741" s="96"/>
      <c r="G741" s="96"/>
      <c r="H741" s="96"/>
      <c r="I741" s="96"/>
      <c r="J741" s="5"/>
      <c r="K741" s="5"/>
      <c r="L741" s="5"/>
      <c r="M741" s="5"/>
      <c r="N741" s="5"/>
    </row>
    <row r="742">
      <c r="A742" s="5"/>
      <c r="B742" s="150"/>
      <c r="C742" s="151"/>
      <c r="E742" s="96"/>
      <c r="F742" s="96"/>
      <c r="G742" s="96"/>
      <c r="H742" s="96"/>
      <c r="I742" s="96"/>
      <c r="J742" s="5"/>
      <c r="K742" s="5"/>
      <c r="L742" s="5"/>
      <c r="M742" s="5"/>
      <c r="N742" s="5"/>
    </row>
    <row r="743">
      <c r="A743" s="5"/>
      <c r="B743" s="150"/>
      <c r="C743" s="151"/>
      <c r="E743" s="96"/>
      <c r="F743" s="96"/>
      <c r="G743" s="96"/>
      <c r="H743" s="96"/>
      <c r="I743" s="96"/>
      <c r="J743" s="5"/>
      <c r="K743" s="5"/>
      <c r="L743" s="5"/>
      <c r="M743" s="5"/>
      <c r="N743" s="5"/>
    </row>
    <row r="744">
      <c r="A744" s="5"/>
      <c r="B744" s="150"/>
      <c r="C744" s="151"/>
      <c r="E744" s="96"/>
      <c r="F744" s="96"/>
      <c r="G744" s="96"/>
      <c r="H744" s="96"/>
      <c r="I744" s="96"/>
      <c r="J744" s="5"/>
      <c r="K744" s="5"/>
      <c r="L744" s="5"/>
      <c r="M744" s="5"/>
      <c r="N744" s="5"/>
    </row>
    <row r="745">
      <c r="A745" s="5"/>
      <c r="B745" s="150"/>
      <c r="C745" s="151"/>
      <c r="E745" s="96"/>
      <c r="F745" s="96"/>
      <c r="G745" s="96"/>
      <c r="H745" s="96"/>
      <c r="I745" s="96"/>
      <c r="J745" s="5"/>
      <c r="K745" s="5"/>
      <c r="L745" s="5"/>
      <c r="M745" s="5"/>
      <c r="N745" s="5"/>
    </row>
    <row r="746">
      <c r="A746" s="5"/>
      <c r="B746" s="150"/>
      <c r="C746" s="151"/>
      <c r="E746" s="96"/>
      <c r="F746" s="96"/>
      <c r="G746" s="96"/>
      <c r="H746" s="96"/>
      <c r="I746" s="96"/>
      <c r="J746" s="5"/>
      <c r="K746" s="5"/>
      <c r="L746" s="5"/>
      <c r="M746" s="5"/>
      <c r="N746" s="5"/>
    </row>
    <row r="747">
      <c r="A747" s="5"/>
      <c r="B747" s="150"/>
      <c r="C747" s="151"/>
      <c r="E747" s="96"/>
      <c r="F747" s="96"/>
      <c r="G747" s="96"/>
      <c r="H747" s="96"/>
      <c r="I747" s="96"/>
      <c r="J747" s="5"/>
      <c r="K747" s="5"/>
      <c r="L747" s="5"/>
      <c r="M747" s="5"/>
      <c r="N747" s="5"/>
    </row>
    <row r="748">
      <c r="A748" s="5"/>
      <c r="B748" s="150"/>
      <c r="C748" s="151"/>
      <c r="E748" s="96"/>
      <c r="F748" s="96"/>
      <c r="G748" s="96"/>
      <c r="H748" s="96"/>
      <c r="I748" s="96"/>
      <c r="J748" s="5"/>
      <c r="K748" s="5"/>
      <c r="L748" s="5"/>
      <c r="M748" s="5"/>
      <c r="N748" s="5"/>
    </row>
    <row r="749">
      <c r="A749" s="5"/>
      <c r="B749" s="150"/>
      <c r="C749" s="151"/>
      <c r="E749" s="96"/>
      <c r="F749" s="96"/>
      <c r="G749" s="96"/>
      <c r="H749" s="96"/>
      <c r="I749" s="96"/>
      <c r="J749" s="5"/>
      <c r="K749" s="5"/>
      <c r="L749" s="5"/>
      <c r="M749" s="5"/>
      <c r="N749" s="5"/>
    </row>
    <row r="750">
      <c r="A750" s="5"/>
      <c r="B750" s="150"/>
      <c r="C750" s="151"/>
      <c r="E750" s="96"/>
      <c r="F750" s="96"/>
      <c r="G750" s="96"/>
      <c r="H750" s="96"/>
      <c r="I750" s="96"/>
      <c r="J750" s="5"/>
      <c r="K750" s="5"/>
      <c r="L750" s="5"/>
      <c r="M750" s="5"/>
      <c r="N750" s="5"/>
    </row>
    <row r="751">
      <c r="A751" s="5"/>
      <c r="B751" s="150"/>
      <c r="C751" s="151"/>
      <c r="E751" s="96"/>
      <c r="F751" s="96"/>
      <c r="G751" s="96"/>
      <c r="H751" s="96"/>
      <c r="I751" s="96"/>
      <c r="J751" s="5"/>
      <c r="K751" s="5"/>
      <c r="L751" s="5"/>
      <c r="M751" s="5"/>
      <c r="N751" s="5"/>
    </row>
    <row r="752">
      <c r="A752" s="5"/>
      <c r="B752" s="150"/>
      <c r="C752" s="151"/>
      <c r="E752" s="96"/>
      <c r="F752" s="96"/>
      <c r="G752" s="96"/>
      <c r="H752" s="96"/>
      <c r="I752" s="96"/>
      <c r="J752" s="5"/>
      <c r="K752" s="5"/>
      <c r="L752" s="5"/>
      <c r="M752" s="5"/>
      <c r="N752" s="5"/>
    </row>
    <row r="753">
      <c r="A753" s="5"/>
      <c r="B753" s="150"/>
      <c r="C753" s="151"/>
      <c r="E753" s="96"/>
      <c r="F753" s="96"/>
      <c r="G753" s="96"/>
      <c r="H753" s="96"/>
      <c r="I753" s="96"/>
      <c r="J753" s="5"/>
      <c r="K753" s="5"/>
      <c r="L753" s="5"/>
      <c r="M753" s="5"/>
      <c r="N753" s="5"/>
    </row>
    <row r="754">
      <c r="A754" s="5"/>
      <c r="B754" s="150"/>
      <c r="C754" s="151"/>
      <c r="E754" s="96"/>
      <c r="F754" s="96"/>
      <c r="G754" s="96"/>
      <c r="H754" s="96"/>
      <c r="I754" s="96"/>
      <c r="J754" s="5"/>
      <c r="K754" s="5"/>
      <c r="L754" s="5"/>
      <c r="M754" s="5"/>
      <c r="N754" s="5"/>
    </row>
    <row r="755">
      <c r="A755" s="5"/>
      <c r="B755" s="150"/>
      <c r="C755" s="151"/>
      <c r="E755" s="96"/>
      <c r="F755" s="96"/>
      <c r="G755" s="96"/>
      <c r="H755" s="96"/>
      <c r="I755" s="96"/>
      <c r="J755" s="5"/>
      <c r="K755" s="5"/>
      <c r="L755" s="5"/>
      <c r="M755" s="5"/>
      <c r="N755" s="5"/>
    </row>
    <row r="756">
      <c r="A756" s="5"/>
      <c r="B756" s="150"/>
      <c r="C756" s="151"/>
      <c r="E756" s="96"/>
      <c r="F756" s="96"/>
      <c r="G756" s="96"/>
      <c r="H756" s="96"/>
      <c r="I756" s="96"/>
      <c r="J756" s="5"/>
      <c r="K756" s="5"/>
      <c r="L756" s="5"/>
      <c r="M756" s="5"/>
      <c r="N756" s="5"/>
    </row>
    <row r="757">
      <c r="A757" s="5"/>
      <c r="B757" s="150"/>
      <c r="C757" s="151"/>
      <c r="E757" s="96"/>
      <c r="F757" s="96"/>
      <c r="G757" s="96"/>
      <c r="H757" s="96"/>
      <c r="I757" s="96"/>
      <c r="J757" s="5"/>
      <c r="K757" s="5"/>
      <c r="L757" s="5"/>
      <c r="M757" s="5"/>
      <c r="N757" s="5"/>
    </row>
    <row r="758">
      <c r="A758" s="5"/>
      <c r="B758" s="150"/>
      <c r="C758" s="151"/>
      <c r="E758" s="96"/>
      <c r="F758" s="96"/>
      <c r="G758" s="96"/>
      <c r="H758" s="96"/>
      <c r="I758" s="96"/>
      <c r="J758" s="5"/>
      <c r="K758" s="5"/>
      <c r="L758" s="5"/>
      <c r="M758" s="5"/>
      <c r="N758" s="5"/>
    </row>
    <row r="759">
      <c r="A759" s="5"/>
      <c r="B759" s="150"/>
      <c r="C759" s="151"/>
      <c r="E759" s="96"/>
      <c r="F759" s="96"/>
      <c r="G759" s="96"/>
      <c r="H759" s="96"/>
      <c r="I759" s="96"/>
      <c r="J759" s="5"/>
      <c r="K759" s="5"/>
      <c r="L759" s="5"/>
      <c r="M759" s="5"/>
      <c r="N759" s="5"/>
    </row>
    <row r="760">
      <c r="A760" s="5"/>
      <c r="B760" s="150"/>
      <c r="C760" s="151"/>
      <c r="E760" s="96"/>
      <c r="F760" s="96"/>
      <c r="G760" s="96"/>
      <c r="H760" s="96"/>
      <c r="I760" s="96"/>
      <c r="J760" s="5"/>
      <c r="K760" s="5"/>
      <c r="L760" s="5"/>
      <c r="M760" s="5"/>
      <c r="N760" s="5"/>
    </row>
    <row r="761">
      <c r="A761" s="5"/>
      <c r="B761" s="150"/>
      <c r="C761" s="151"/>
      <c r="E761" s="96"/>
      <c r="F761" s="96"/>
      <c r="G761" s="96"/>
      <c r="H761" s="96"/>
      <c r="I761" s="96"/>
      <c r="J761" s="5"/>
      <c r="K761" s="5"/>
      <c r="L761" s="5"/>
      <c r="M761" s="5"/>
      <c r="N761" s="5"/>
    </row>
    <row r="762">
      <c r="A762" s="5"/>
      <c r="B762" s="150"/>
      <c r="C762" s="151"/>
      <c r="E762" s="96"/>
      <c r="F762" s="96"/>
      <c r="G762" s="96"/>
      <c r="H762" s="96"/>
      <c r="I762" s="96"/>
      <c r="J762" s="5"/>
      <c r="K762" s="5"/>
      <c r="L762" s="5"/>
      <c r="M762" s="5"/>
      <c r="N762" s="5"/>
    </row>
    <row r="763">
      <c r="A763" s="5"/>
      <c r="B763" s="150"/>
      <c r="C763" s="151"/>
      <c r="E763" s="96"/>
      <c r="F763" s="96"/>
      <c r="G763" s="96"/>
      <c r="H763" s="96"/>
      <c r="I763" s="96"/>
      <c r="J763" s="5"/>
      <c r="K763" s="5"/>
      <c r="L763" s="5"/>
      <c r="M763" s="5"/>
      <c r="N763" s="5"/>
    </row>
    <row r="764">
      <c r="A764" s="5"/>
      <c r="B764" s="150"/>
      <c r="C764" s="151"/>
      <c r="E764" s="96"/>
      <c r="F764" s="96"/>
      <c r="G764" s="96"/>
      <c r="H764" s="96"/>
      <c r="I764" s="96"/>
      <c r="J764" s="5"/>
      <c r="K764" s="5"/>
      <c r="L764" s="5"/>
      <c r="M764" s="5"/>
      <c r="N764" s="5"/>
    </row>
    <row r="765">
      <c r="A765" s="5"/>
      <c r="B765" s="150"/>
      <c r="C765" s="151"/>
      <c r="E765" s="96"/>
      <c r="F765" s="96"/>
      <c r="G765" s="96"/>
      <c r="H765" s="96"/>
      <c r="I765" s="96"/>
      <c r="J765" s="5"/>
      <c r="K765" s="5"/>
      <c r="L765" s="5"/>
      <c r="M765" s="5"/>
      <c r="N765" s="5"/>
    </row>
    <row r="766">
      <c r="A766" s="5"/>
      <c r="B766" s="150"/>
      <c r="C766" s="151"/>
      <c r="E766" s="96"/>
      <c r="F766" s="96"/>
      <c r="G766" s="96"/>
      <c r="H766" s="96"/>
      <c r="I766" s="96"/>
      <c r="J766" s="5"/>
      <c r="K766" s="5"/>
      <c r="L766" s="5"/>
      <c r="M766" s="5"/>
      <c r="N766" s="5"/>
    </row>
    <row r="767">
      <c r="A767" s="5"/>
      <c r="B767" s="150"/>
      <c r="C767" s="151"/>
      <c r="E767" s="96"/>
      <c r="F767" s="96"/>
      <c r="G767" s="96"/>
      <c r="H767" s="96"/>
      <c r="I767" s="96"/>
      <c r="J767" s="5"/>
      <c r="K767" s="5"/>
      <c r="L767" s="5"/>
      <c r="M767" s="5"/>
      <c r="N767" s="5"/>
    </row>
    <row r="768">
      <c r="A768" s="5"/>
      <c r="B768" s="150"/>
      <c r="C768" s="151"/>
      <c r="E768" s="96"/>
      <c r="F768" s="96"/>
      <c r="G768" s="96"/>
      <c r="H768" s="96"/>
      <c r="I768" s="96"/>
      <c r="J768" s="5"/>
      <c r="K768" s="5"/>
      <c r="L768" s="5"/>
      <c r="M768" s="5"/>
      <c r="N768" s="5"/>
    </row>
    <row r="769">
      <c r="A769" s="5"/>
      <c r="B769" s="150"/>
      <c r="C769" s="151"/>
      <c r="E769" s="96"/>
      <c r="F769" s="96"/>
      <c r="G769" s="96"/>
      <c r="H769" s="96"/>
      <c r="I769" s="96"/>
      <c r="J769" s="5"/>
      <c r="K769" s="5"/>
      <c r="L769" s="5"/>
      <c r="M769" s="5"/>
      <c r="N769" s="5"/>
    </row>
    <row r="770">
      <c r="A770" s="5"/>
      <c r="B770" s="150"/>
      <c r="C770" s="151"/>
      <c r="E770" s="96"/>
      <c r="F770" s="96"/>
      <c r="G770" s="96"/>
      <c r="H770" s="96"/>
      <c r="I770" s="96"/>
      <c r="J770" s="5"/>
      <c r="K770" s="5"/>
      <c r="L770" s="5"/>
      <c r="M770" s="5"/>
      <c r="N770" s="5"/>
    </row>
    <row r="771">
      <c r="A771" s="5"/>
      <c r="B771" s="150"/>
      <c r="C771" s="151"/>
      <c r="E771" s="96"/>
      <c r="F771" s="96"/>
      <c r="G771" s="96"/>
      <c r="H771" s="96"/>
      <c r="I771" s="96"/>
      <c r="J771" s="5"/>
      <c r="K771" s="5"/>
      <c r="L771" s="5"/>
      <c r="M771" s="5"/>
      <c r="N771" s="5"/>
    </row>
    <row r="772">
      <c r="A772" s="5"/>
      <c r="B772" s="150"/>
      <c r="C772" s="151"/>
      <c r="E772" s="96"/>
      <c r="F772" s="96"/>
      <c r="G772" s="96"/>
      <c r="H772" s="96"/>
      <c r="I772" s="96"/>
      <c r="J772" s="5"/>
      <c r="K772" s="5"/>
      <c r="L772" s="5"/>
      <c r="M772" s="5"/>
      <c r="N772" s="5"/>
    </row>
    <row r="773">
      <c r="A773" s="5"/>
      <c r="B773" s="150"/>
      <c r="C773" s="151"/>
      <c r="E773" s="96"/>
      <c r="F773" s="96"/>
      <c r="G773" s="96"/>
      <c r="H773" s="96"/>
      <c r="I773" s="96"/>
      <c r="J773" s="5"/>
      <c r="K773" s="5"/>
      <c r="L773" s="5"/>
      <c r="M773" s="5"/>
      <c r="N773" s="5"/>
    </row>
    <row r="774">
      <c r="A774" s="5"/>
      <c r="B774" s="150"/>
      <c r="C774" s="151"/>
      <c r="E774" s="96"/>
      <c r="F774" s="96"/>
      <c r="G774" s="96"/>
      <c r="H774" s="96"/>
      <c r="I774" s="96"/>
      <c r="J774" s="5"/>
      <c r="K774" s="5"/>
      <c r="L774" s="5"/>
      <c r="M774" s="5"/>
      <c r="N774" s="5"/>
    </row>
    <row r="775">
      <c r="A775" s="5"/>
      <c r="B775" s="150"/>
      <c r="C775" s="151"/>
      <c r="E775" s="96"/>
      <c r="F775" s="96"/>
      <c r="G775" s="96"/>
      <c r="H775" s="96"/>
      <c r="I775" s="96"/>
      <c r="J775" s="5"/>
      <c r="K775" s="5"/>
      <c r="L775" s="5"/>
      <c r="M775" s="5"/>
      <c r="N775" s="5"/>
    </row>
    <row r="776">
      <c r="A776" s="5"/>
      <c r="B776" s="150"/>
      <c r="C776" s="151"/>
      <c r="E776" s="96"/>
      <c r="F776" s="96"/>
      <c r="G776" s="96"/>
      <c r="H776" s="96"/>
      <c r="I776" s="96"/>
      <c r="J776" s="5"/>
      <c r="K776" s="5"/>
      <c r="L776" s="5"/>
      <c r="M776" s="5"/>
      <c r="N776" s="5"/>
    </row>
    <row r="777">
      <c r="A777" s="5"/>
      <c r="B777" s="150"/>
      <c r="C777" s="151"/>
      <c r="E777" s="96"/>
      <c r="F777" s="96"/>
      <c r="G777" s="96"/>
      <c r="H777" s="96"/>
      <c r="I777" s="96"/>
      <c r="J777" s="5"/>
      <c r="K777" s="5"/>
      <c r="L777" s="5"/>
      <c r="M777" s="5"/>
      <c r="N777" s="5"/>
    </row>
    <row r="778">
      <c r="A778" s="5"/>
      <c r="B778" s="150"/>
      <c r="C778" s="151"/>
      <c r="E778" s="96"/>
      <c r="F778" s="96"/>
      <c r="G778" s="96"/>
      <c r="H778" s="96"/>
      <c r="I778" s="96"/>
      <c r="J778" s="5"/>
      <c r="K778" s="5"/>
      <c r="L778" s="5"/>
      <c r="M778" s="5"/>
      <c r="N778" s="5"/>
    </row>
    <row r="779">
      <c r="A779" s="5"/>
      <c r="B779" s="150"/>
      <c r="C779" s="151"/>
      <c r="E779" s="96"/>
      <c r="F779" s="96"/>
      <c r="G779" s="96"/>
      <c r="H779" s="96"/>
      <c r="I779" s="96"/>
      <c r="J779" s="5"/>
      <c r="K779" s="5"/>
      <c r="L779" s="5"/>
      <c r="M779" s="5"/>
      <c r="N779" s="5"/>
    </row>
    <row r="780">
      <c r="A780" s="5"/>
      <c r="B780" s="150"/>
      <c r="C780" s="151"/>
      <c r="E780" s="96"/>
      <c r="F780" s="96"/>
      <c r="G780" s="96"/>
      <c r="H780" s="96"/>
      <c r="I780" s="96"/>
      <c r="J780" s="5"/>
      <c r="K780" s="5"/>
      <c r="L780" s="5"/>
      <c r="M780" s="5"/>
      <c r="N780" s="5"/>
    </row>
    <row r="781">
      <c r="A781" s="5"/>
      <c r="B781" s="150"/>
      <c r="C781" s="151"/>
      <c r="E781" s="96"/>
      <c r="F781" s="96"/>
      <c r="G781" s="96"/>
      <c r="H781" s="96"/>
      <c r="I781" s="96"/>
      <c r="J781" s="5"/>
      <c r="K781" s="5"/>
      <c r="L781" s="5"/>
      <c r="M781" s="5"/>
      <c r="N781" s="5"/>
    </row>
    <row r="782">
      <c r="A782" s="5"/>
      <c r="B782" s="150"/>
      <c r="C782" s="151"/>
      <c r="E782" s="96"/>
      <c r="F782" s="96"/>
      <c r="G782" s="96"/>
      <c r="H782" s="96"/>
      <c r="I782" s="96"/>
      <c r="J782" s="5"/>
      <c r="K782" s="5"/>
      <c r="L782" s="5"/>
      <c r="M782" s="5"/>
      <c r="N782" s="5"/>
    </row>
    <row r="783">
      <c r="A783" s="5"/>
      <c r="B783" s="150"/>
      <c r="C783" s="151"/>
      <c r="E783" s="96"/>
      <c r="F783" s="96"/>
      <c r="G783" s="96"/>
      <c r="H783" s="96"/>
      <c r="I783" s="96"/>
      <c r="J783" s="5"/>
      <c r="K783" s="5"/>
      <c r="L783" s="5"/>
      <c r="M783" s="5"/>
      <c r="N783" s="5"/>
    </row>
    <row r="784">
      <c r="A784" s="5"/>
      <c r="B784" s="150"/>
      <c r="C784" s="151"/>
      <c r="E784" s="96"/>
      <c r="F784" s="96"/>
      <c r="G784" s="96"/>
      <c r="H784" s="96"/>
      <c r="I784" s="96"/>
      <c r="J784" s="5"/>
      <c r="K784" s="5"/>
      <c r="L784" s="5"/>
      <c r="M784" s="5"/>
      <c r="N784" s="5"/>
    </row>
    <row r="785">
      <c r="A785" s="5"/>
      <c r="B785" s="150"/>
      <c r="C785" s="151"/>
      <c r="E785" s="96"/>
      <c r="F785" s="96"/>
      <c r="G785" s="96"/>
      <c r="H785" s="96"/>
      <c r="I785" s="96"/>
      <c r="J785" s="5"/>
      <c r="K785" s="5"/>
      <c r="L785" s="5"/>
      <c r="M785" s="5"/>
      <c r="N785" s="5"/>
    </row>
    <row r="786">
      <c r="A786" s="5"/>
      <c r="B786" s="150"/>
      <c r="C786" s="151"/>
      <c r="E786" s="96"/>
      <c r="F786" s="96"/>
      <c r="G786" s="96"/>
      <c r="H786" s="96"/>
      <c r="I786" s="96"/>
      <c r="J786" s="5"/>
      <c r="K786" s="5"/>
      <c r="L786" s="5"/>
      <c r="M786" s="5"/>
      <c r="N786" s="5"/>
    </row>
    <row r="787">
      <c r="A787" s="5"/>
      <c r="B787" s="150"/>
      <c r="C787" s="151"/>
      <c r="E787" s="96"/>
      <c r="F787" s="96"/>
      <c r="G787" s="96"/>
      <c r="H787" s="96"/>
      <c r="I787" s="96"/>
      <c r="J787" s="5"/>
      <c r="K787" s="5"/>
      <c r="L787" s="5"/>
      <c r="M787" s="5"/>
      <c r="N787" s="5"/>
    </row>
    <row r="788">
      <c r="A788" s="5"/>
      <c r="B788" s="150"/>
      <c r="C788" s="151"/>
      <c r="E788" s="96"/>
      <c r="F788" s="96"/>
      <c r="G788" s="96"/>
      <c r="H788" s="96"/>
      <c r="I788" s="96"/>
      <c r="J788" s="5"/>
      <c r="K788" s="5"/>
      <c r="L788" s="5"/>
      <c r="M788" s="5"/>
      <c r="N788" s="5"/>
    </row>
    <row r="789">
      <c r="A789" s="5"/>
      <c r="B789" s="150"/>
      <c r="C789" s="151"/>
      <c r="E789" s="96"/>
      <c r="F789" s="96"/>
      <c r="G789" s="96"/>
      <c r="H789" s="96"/>
      <c r="I789" s="96"/>
      <c r="J789" s="5"/>
      <c r="K789" s="5"/>
      <c r="L789" s="5"/>
      <c r="M789" s="5"/>
      <c r="N789" s="5"/>
    </row>
    <row r="790">
      <c r="A790" s="5"/>
      <c r="B790" s="150"/>
      <c r="C790" s="151"/>
      <c r="E790" s="96"/>
      <c r="F790" s="96"/>
      <c r="G790" s="96"/>
      <c r="H790" s="96"/>
      <c r="I790" s="96"/>
      <c r="J790" s="5"/>
      <c r="K790" s="5"/>
      <c r="L790" s="5"/>
      <c r="M790" s="5"/>
      <c r="N790" s="5"/>
    </row>
    <row r="791">
      <c r="A791" s="5"/>
      <c r="B791" s="150"/>
      <c r="C791" s="151"/>
      <c r="E791" s="96"/>
      <c r="F791" s="96"/>
      <c r="G791" s="96"/>
      <c r="H791" s="96"/>
      <c r="I791" s="96"/>
      <c r="J791" s="5"/>
      <c r="K791" s="5"/>
      <c r="L791" s="5"/>
      <c r="M791" s="5"/>
      <c r="N791" s="5"/>
    </row>
    <row r="792">
      <c r="A792" s="5"/>
      <c r="B792" s="150"/>
      <c r="C792" s="151"/>
      <c r="E792" s="96"/>
      <c r="F792" s="96"/>
      <c r="G792" s="96"/>
      <c r="H792" s="96"/>
      <c r="I792" s="96"/>
      <c r="J792" s="5"/>
      <c r="K792" s="5"/>
      <c r="L792" s="5"/>
      <c r="M792" s="5"/>
      <c r="N792" s="5"/>
    </row>
    <row r="793">
      <c r="A793" s="5"/>
      <c r="B793" s="150"/>
      <c r="C793" s="151"/>
      <c r="E793" s="96"/>
      <c r="F793" s="96"/>
      <c r="G793" s="96"/>
      <c r="H793" s="96"/>
      <c r="I793" s="96"/>
      <c r="J793" s="5"/>
      <c r="K793" s="5"/>
      <c r="L793" s="5"/>
      <c r="M793" s="5"/>
      <c r="N793" s="5"/>
    </row>
    <row r="794">
      <c r="A794" s="5"/>
      <c r="B794" s="150"/>
      <c r="C794" s="151"/>
      <c r="E794" s="96"/>
      <c r="F794" s="96"/>
      <c r="G794" s="96"/>
      <c r="H794" s="96"/>
      <c r="I794" s="96"/>
      <c r="J794" s="5"/>
      <c r="K794" s="5"/>
      <c r="L794" s="5"/>
      <c r="M794" s="5"/>
      <c r="N794" s="5"/>
    </row>
    <row r="795">
      <c r="A795" s="5"/>
      <c r="B795" s="150"/>
      <c r="C795" s="151"/>
      <c r="E795" s="96"/>
      <c r="F795" s="96"/>
      <c r="G795" s="96"/>
      <c r="H795" s="96"/>
      <c r="I795" s="96"/>
      <c r="J795" s="5"/>
      <c r="K795" s="5"/>
      <c r="L795" s="5"/>
      <c r="M795" s="5"/>
      <c r="N795" s="5"/>
    </row>
    <row r="796">
      <c r="A796" s="5"/>
      <c r="B796" s="150"/>
      <c r="C796" s="151"/>
      <c r="E796" s="96"/>
      <c r="F796" s="96"/>
      <c r="G796" s="96"/>
      <c r="H796" s="96"/>
      <c r="I796" s="96"/>
      <c r="J796" s="5"/>
      <c r="K796" s="5"/>
      <c r="L796" s="5"/>
      <c r="M796" s="5"/>
      <c r="N796" s="5"/>
    </row>
    <row r="797">
      <c r="A797" s="5"/>
      <c r="B797" s="150"/>
      <c r="C797" s="151"/>
      <c r="E797" s="96"/>
      <c r="F797" s="96"/>
      <c r="G797" s="96"/>
      <c r="H797" s="96"/>
      <c r="I797" s="96"/>
      <c r="J797" s="5"/>
      <c r="K797" s="5"/>
      <c r="L797" s="5"/>
      <c r="M797" s="5"/>
      <c r="N797" s="5"/>
    </row>
    <row r="798">
      <c r="A798" s="5"/>
      <c r="B798" s="150"/>
      <c r="C798" s="151"/>
      <c r="E798" s="96"/>
      <c r="F798" s="96"/>
      <c r="G798" s="96"/>
      <c r="H798" s="96"/>
      <c r="I798" s="96"/>
      <c r="J798" s="5"/>
      <c r="K798" s="5"/>
      <c r="L798" s="5"/>
      <c r="M798" s="5"/>
      <c r="N798" s="5"/>
    </row>
    <row r="799">
      <c r="A799" s="5"/>
      <c r="B799" s="150"/>
      <c r="C799" s="151"/>
      <c r="E799" s="96"/>
      <c r="F799" s="96"/>
      <c r="G799" s="96"/>
      <c r="H799" s="96"/>
      <c r="I799" s="96"/>
      <c r="J799" s="5"/>
      <c r="K799" s="5"/>
      <c r="L799" s="5"/>
      <c r="M799" s="5"/>
      <c r="N799" s="5"/>
    </row>
    <row r="800">
      <c r="A800" s="5"/>
      <c r="B800" s="150"/>
      <c r="C800" s="151"/>
      <c r="E800" s="96"/>
      <c r="F800" s="96"/>
      <c r="G800" s="96"/>
      <c r="H800" s="96"/>
      <c r="I800" s="96"/>
      <c r="J800" s="5"/>
      <c r="K800" s="5"/>
      <c r="L800" s="5"/>
      <c r="M800" s="5"/>
      <c r="N800" s="5"/>
    </row>
    <row r="801">
      <c r="A801" s="5"/>
      <c r="B801" s="150"/>
      <c r="C801" s="151"/>
      <c r="E801" s="96"/>
      <c r="F801" s="96"/>
      <c r="G801" s="96"/>
      <c r="H801" s="96"/>
      <c r="I801" s="96"/>
      <c r="J801" s="5"/>
      <c r="K801" s="5"/>
      <c r="L801" s="5"/>
      <c r="M801" s="5"/>
      <c r="N801" s="5"/>
    </row>
    <row r="802">
      <c r="A802" s="5"/>
      <c r="B802" s="150"/>
      <c r="C802" s="151"/>
      <c r="E802" s="96"/>
      <c r="F802" s="96"/>
      <c r="G802" s="96"/>
      <c r="H802" s="96"/>
      <c r="I802" s="96"/>
      <c r="J802" s="5"/>
      <c r="K802" s="5"/>
      <c r="L802" s="5"/>
      <c r="M802" s="5"/>
      <c r="N802" s="5"/>
    </row>
    <row r="803">
      <c r="A803" s="5"/>
      <c r="B803" s="150"/>
      <c r="C803" s="151"/>
      <c r="E803" s="96"/>
      <c r="F803" s="96"/>
      <c r="G803" s="96"/>
      <c r="H803" s="96"/>
      <c r="I803" s="96"/>
      <c r="J803" s="5"/>
      <c r="K803" s="5"/>
      <c r="L803" s="5"/>
      <c r="M803" s="5"/>
      <c r="N803" s="5"/>
    </row>
    <row r="804">
      <c r="A804" s="5"/>
      <c r="B804" s="150"/>
      <c r="C804" s="151"/>
      <c r="E804" s="96"/>
      <c r="F804" s="96"/>
      <c r="G804" s="96"/>
      <c r="H804" s="96"/>
      <c r="I804" s="96"/>
      <c r="J804" s="5"/>
      <c r="K804" s="5"/>
      <c r="L804" s="5"/>
      <c r="M804" s="5"/>
      <c r="N804" s="5"/>
    </row>
    <row r="805">
      <c r="A805" s="5"/>
      <c r="B805" s="150"/>
      <c r="C805" s="151"/>
      <c r="E805" s="96"/>
      <c r="F805" s="96"/>
      <c r="G805" s="96"/>
      <c r="H805" s="96"/>
      <c r="I805" s="96"/>
      <c r="J805" s="5"/>
      <c r="K805" s="5"/>
      <c r="L805" s="5"/>
      <c r="M805" s="5"/>
      <c r="N805" s="5"/>
    </row>
    <row r="806">
      <c r="A806" s="5"/>
      <c r="B806" s="150"/>
      <c r="C806" s="151"/>
      <c r="E806" s="96"/>
      <c r="F806" s="96"/>
      <c r="G806" s="96"/>
      <c r="H806" s="96"/>
      <c r="I806" s="96"/>
      <c r="J806" s="5"/>
      <c r="K806" s="5"/>
      <c r="L806" s="5"/>
      <c r="M806" s="5"/>
      <c r="N806" s="5"/>
    </row>
    <row r="807">
      <c r="A807" s="5"/>
      <c r="B807" s="150"/>
      <c r="C807" s="151"/>
      <c r="E807" s="96"/>
      <c r="F807" s="96"/>
      <c r="G807" s="96"/>
      <c r="H807" s="96"/>
      <c r="I807" s="96"/>
      <c r="J807" s="5"/>
      <c r="K807" s="5"/>
      <c r="L807" s="5"/>
      <c r="M807" s="5"/>
      <c r="N807" s="5"/>
    </row>
    <row r="808">
      <c r="A808" s="5"/>
      <c r="B808" s="150"/>
      <c r="C808" s="151"/>
      <c r="E808" s="96"/>
      <c r="F808" s="96"/>
      <c r="G808" s="96"/>
      <c r="H808" s="96"/>
      <c r="I808" s="96"/>
      <c r="J808" s="5"/>
      <c r="K808" s="5"/>
      <c r="L808" s="5"/>
      <c r="M808" s="5"/>
      <c r="N808" s="5"/>
    </row>
    <row r="809">
      <c r="A809" s="5"/>
      <c r="B809" s="150"/>
      <c r="C809" s="151"/>
      <c r="E809" s="96"/>
      <c r="F809" s="96"/>
      <c r="G809" s="96"/>
      <c r="H809" s="96"/>
      <c r="I809" s="96"/>
      <c r="J809" s="5"/>
      <c r="K809" s="5"/>
      <c r="L809" s="5"/>
      <c r="M809" s="5"/>
      <c r="N809" s="5"/>
    </row>
    <row r="810">
      <c r="A810" s="5"/>
      <c r="B810" s="150"/>
      <c r="C810" s="151"/>
      <c r="E810" s="96"/>
      <c r="F810" s="96"/>
      <c r="G810" s="96"/>
      <c r="H810" s="96"/>
      <c r="I810" s="96"/>
      <c r="J810" s="5"/>
      <c r="K810" s="5"/>
      <c r="L810" s="5"/>
      <c r="M810" s="5"/>
      <c r="N810" s="5"/>
    </row>
    <row r="811">
      <c r="A811" s="5"/>
      <c r="B811" s="150"/>
      <c r="C811" s="151"/>
      <c r="E811" s="96"/>
      <c r="F811" s="96"/>
      <c r="G811" s="96"/>
      <c r="H811" s="96"/>
      <c r="I811" s="96"/>
      <c r="J811" s="5"/>
      <c r="K811" s="5"/>
      <c r="L811" s="5"/>
      <c r="M811" s="5"/>
      <c r="N811" s="5"/>
    </row>
    <row r="812">
      <c r="A812" s="5"/>
      <c r="B812" s="150"/>
      <c r="C812" s="151"/>
      <c r="E812" s="96"/>
      <c r="F812" s="96"/>
      <c r="G812" s="96"/>
      <c r="H812" s="96"/>
      <c r="I812" s="96"/>
      <c r="J812" s="5"/>
      <c r="K812" s="5"/>
      <c r="L812" s="5"/>
      <c r="M812" s="5"/>
      <c r="N812" s="5"/>
    </row>
    <row r="813">
      <c r="A813" s="5"/>
      <c r="B813" s="150"/>
      <c r="C813" s="151"/>
      <c r="E813" s="96"/>
      <c r="F813" s="96"/>
      <c r="G813" s="96"/>
      <c r="H813" s="96"/>
      <c r="I813" s="96"/>
      <c r="J813" s="5"/>
      <c r="K813" s="5"/>
      <c r="L813" s="5"/>
      <c r="M813" s="5"/>
      <c r="N813" s="5"/>
    </row>
    <row r="814">
      <c r="A814" s="5"/>
      <c r="B814" s="150"/>
      <c r="C814" s="151"/>
      <c r="E814" s="96"/>
      <c r="F814" s="96"/>
      <c r="G814" s="96"/>
      <c r="H814" s="96"/>
      <c r="I814" s="96"/>
      <c r="J814" s="5"/>
      <c r="K814" s="5"/>
      <c r="L814" s="5"/>
      <c r="M814" s="5"/>
      <c r="N814" s="5"/>
    </row>
    <row r="815">
      <c r="A815" s="5"/>
      <c r="B815" s="150"/>
      <c r="C815" s="151"/>
      <c r="E815" s="96"/>
      <c r="F815" s="96"/>
      <c r="G815" s="96"/>
      <c r="H815" s="96"/>
      <c r="I815" s="96"/>
      <c r="J815" s="5"/>
      <c r="K815" s="5"/>
      <c r="L815" s="5"/>
      <c r="M815" s="5"/>
      <c r="N815" s="5"/>
    </row>
    <row r="816">
      <c r="A816" s="5"/>
      <c r="B816" s="150"/>
      <c r="C816" s="151"/>
      <c r="E816" s="96"/>
      <c r="F816" s="96"/>
      <c r="G816" s="96"/>
      <c r="H816" s="96"/>
      <c r="I816" s="96"/>
      <c r="J816" s="5"/>
      <c r="K816" s="5"/>
      <c r="L816" s="5"/>
      <c r="M816" s="5"/>
      <c r="N816" s="5"/>
    </row>
    <row r="817">
      <c r="A817" s="5"/>
      <c r="B817" s="150"/>
      <c r="C817" s="151"/>
      <c r="E817" s="96"/>
      <c r="F817" s="96"/>
      <c r="G817" s="96"/>
      <c r="H817" s="96"/>
      <c r="I817" s="96"/>
      <c r="J817" s="5"/>
      <c r="K817" s="5"/>
      <c r="L817" s="5"/>
      <c r="M817" s="5"/>
      <c r="N817" s="5"/>
    </row>
    <row r="818">
      <c r="A818" s="5"/>
      <c r="B818" s="150"/>
      <c r="C818" s="151"/>
      <c r="E818" s="96"/>
      <c r="F818" s="96"/>
      <c r="G818" s="96"/>
      <c r="H818" s="96"/>
      <c r="I818" s="96"/>
      <c r="J818" s="5"/>
      <c r="K818" s="5"/>
      <c r="L818" s="5"/>
      <c r="M818" s="5"/>
      <c r="N818" s="5"/>
    </row>
    <row r="819">
      <c r="A819" s="5"/>
      <c r="B819" s="150"/>
      <c r="C819" s="151"/>
      <c r="E819" s="96"/>
      <c r="F819" s="96"/>
      <c r="G819" s="96"/>
      <c r="H819" s="96"/>
      <c r="I819" s="96"/>
      <c r="J819" s="5"/>
      <c r="K819" s="5"/>
      <c r="L819" s="5"/>
      <c r="M819" s="5"/>
      <c r="N819" s="5"/>
    </row>
    <row r="820">
      <c r="A820" s="5"/>
      <c r="B820" s="150"/>
      <c r="C820" s="151"/>
      <c r="E820" s="96"/>
      <c r="F820" s="96"/>
      <c r="G820" s="96"/>
      <c r="H820" s="96"/>
      <c r="I820" s="96"/>
      <c r="J820" s="5"/>
      <c r="K820" s="5"/>
      <c r="L820" s="5"/>
      <c r="M820" s="5"/>
      <c r="N820" s="5"/>
    </row>
    <row r="821">
      <c r="A821" s="5"/>
      <c r="B821" s="150"/>
      <c r="C821" s="151"/>
      <c r="E821" s="96"/>
      <c r="F821" s="96"/>
      <c r="G821" s="96"/>
      <c r="H821" s="96"/>
      <c r="I821" s="96"/>
      <c r="J821" s="5"/>
      <c r="K821" s="5"/>
      <c r="L821" s="5"/>
      <c r="M821" s="5"/>
      <c r="N821" s="5"/>
    </row>
    <row r="822">
      <c r="A822" s="5"/>
      <c r="B822" s="150"/>
      <c r="C822" s="151"/>
      <c r="E822" s="96"/>
      <c r="F822" s="96"/>
      <c r="G822" s="96"/>
      <c r="H822" s="96"/>
      <c r="I822" s="96"/>
      <c r="J822" s="5"/>
      <c r="K822" s="5"/>
      <c r="L822" s="5"/>
      <c r="M822" s="5"/>
      <c r="N822" s="5"/>
    </row>
    <row r="823">
      <c r="A823" s="5"/>
      <c r="B823" s="150"/>
      <c r="C823" s="151"/>
      <c r="E823" s="96"/>
      <c r="F823" s="96"/>
      <c r="G823" s="96"/>
      <c r="H823" s="96"/>
      <c r="I823" s="96"/>
      <c r="J823" s="5"/>
      <c r="K823" s="5"/>
      <c r="L823" s="5"/>
      <c r="M823" s="5"/>
      <c r="N823" s="5"/>
    </row>
    <row r="824">
      <c r="A824" s="5"/>
      <c r="B824" s="150"/>
      <c r="C824" s="151"/>
      <c r="E824" s="96"/>
      <c r="F824" s="96"/>
      <c r="G824" s="96"/>
      <c r="H824" s="96"/>
      <c r="I824" s="96"/>
      <c r="J824" s="5"/>
      <c r="K824" s="5"/>
      <c r="L824" s="5"/>
      <c r="M824" s="5"/>
      <c r="N824" s="5"/>
    </row>
    <row r="825">
      <c r="A825" s="5"/>
      <c r="B825" s="150"/>
      <c r="C825" s="151"/>
      <c r="E825" s="96"/>
      <c r="F825" s="96"/>
      <c r="G825" s="96"/>
      <c r="H825" s="96"/>
      <c r="I825" s="96"/>
      <c r="J825" s="5"/>
      <c r="K825" s="5"/>
      <c r="L825" s="5"/>
      <c r="M825" s="5"/>
      <c r="N825" s="5"/>
    </row>
    <row r="826">
      <c r="A826" s="5"/>
      <c r="B826" s="150"/>
      <c r="C826" s="151"/>
      <c r="E826" s="96"/>
      <c r="F826" s="96"/>
      <c r="G826" s="96"/>
      <c r="H826" s="96"/>
      <c r="I826" s="96"/>
      <c r="J826" s="5"/>
      <c r="K826" s="5"/>
      <c r="L826" s="5"/>
      <c r="M826" s="5"/>
      <c r="N826" s="5"/>
    </row>
    <row r="827">
      <c r="A827" s="5"/>
      <c r="B827" s="150"/>
      <c r="C827" s="151"/>
      <c r="E827" s="96"/>
      <c r="F827" s="96"/>
      <c r="G827" s="96"/>
      <c r="H827" s="96"/>
      <c r="I827" s="96"/>
      <c r="J827" s="5"/>
      <c r="K827" s="5"/>
      <c r="L827" s="5"/>
      <c r="M827" s="5"/>
      <c r="N827" s="5"/>
    </row>
    <row r="828">
      <c r="A828" s="5"/>
      <c r="B828" s="150"/>
      <c r="C828" s="151"/>
      <c r="E828" s="96"/>
      <c r="F828" s="96"/>
      <c r="G828" s="96"/>
      <c r="H828" s="96"/>
      <c r="I828" s="96"/>
      <c r="J828" s="5"/>
      <c r="K828" s="5"/>
      <c r="L828" s="5"/>
      <c r="M828" s="5"/>
      <c r="N828" s="5"/>
    </row>
    <row r="829">
      <c r="A829" s="5"/>
      <c r="B829" s="150"/>
      <c r="C829" s="151"/>
      <c r="E829" s="96"/>
      <c r="F829" s="96"/>
      <c r="G829" s="96"/>
      <c r="H829" s="96"/>
      <c r="I829" s="96"/>
      <c r="J829" s="5"/>
      <c r="K829" s="5"/>
      <c r="L829" s="5"/>
      <c r="M829" s="5"/>
      <c r="N829" s="5"/>
    </row>
    <row r="830">
      <c r="A830" s="5"/>
      <c r="B830" s="150"/>
      <c r="C830" s="151"/>
      <c r="E830" s="96"/>
      <c r="F830" s="96"/>
      <c r="G830" s="96"/>
      <c r="H830" s="96"/>
      <c r="I830" s="96"/>
      <c r="J830" s="5"/>
      <c r="K830" s="5"/>
      <c r="L830" s="5"/>
      <c r="M830" s="5"/>
      <c r="N830" s="5"/>
    </row>
    <row r="831">
      <c r="A831" s="5"/>
      <c r="B831" s="150"/>
      <c r="C831" s="151"/>
      <c r="E831" s="96"/>
      <c r="F831" s="96"/>
      <c r="G831" s="96"/>
      <c r="H831" s="96"/>
      <c r="I831" s="96"/>
      <c r="J831" s="5"/>
      <c r="K831" s="5"/>
      <c r="L831" s="5"/>
      <c r="M831" s="5"/>
      <c r="N831" s="5"/>
    </row>
    <row r="832">
      <c r="A832" s="5"/>
      <c r="B832" s="150"/>
      <c r="C832" s="151"/>
      <c r="E832" s="96"/>
      <c r="F832" s="96"/>
      <c r="G832" s="96"/>
      <c r="H832" s="96"/>
      <c r="I832" s="96"/>
      <c r="J832" s="5"/>
      <c r="K832" s="5"/>
      <c r="L832" s="5"/>
      <c r="M832" s="5"/>
      <c r="N832" s="5"/>
    </row>
    <row r="833">
      <c r="A833" s="5"/>
      <c r="B833" s="150"/>
      <c r="C833" s="151"/>
      <c r="E833" s="96"/>
      <c r="F833" s="96"/>
      <c r="G833" s="96"/>
      <c r="H833" s="96"/>
      <c r="I833" s="96"/>
      <c r="J833" s="5"/>
      <c r="K833" s="5"/>
      <c r="L833" s="5"/>
      <c r="M833" s="5"/>
      <c r="N833" s="5"/>
    </row>
    <row r="834">
      <c r="A834" s="5"/>
      <c r="B834" s="150"/>
      <c r="C834" s="151"/>
      <c r="E834" s="96"/>
      <c r="F834" s="96"/>
      <c r="G834" s="96"/>
      <c r="H834" s="96"/>
      <c r="I834" s="96"/>
      <c r="J834" s="5"/>
      <c r="K834" s="5"/>
      <c r="L834" s="5"/>
      <c r="M834" s="5"/>
      <c r="N834" s="5"/>
    </row>
    <row r="835">
      <c r="A835" s="5"/>
      <c r="B835" s="150"/>
      <c r="C835" s="151"/>
      <c r="E835" s="96"/>
      <c r="F835" s="96"/>
      <c r="G835" s="96"/>
      <c r="H835" s="96"/>
      <c r="I835" s="96"/>
      <c r="J835" s="5"/>
      <c r="K835" s="5"/>
      <c r="L835" s="5"/>
      <c r="M835" s="5"/>
      <c r="N835" s="5"/>
    </row>
    <row r="836">
      <c r="A836" s="5"/>
      <c r="B836" s="150"/>
      <c r="C836" s="151"/>
      <c r="E836" s="96"/>
      <c r="F836" s="96"/>
      <c r="G836" s="96"/>
      <c r="H836" s="96"/>
      <c r="I836" s="96"/>
      <c r="J836" s="5"/>
      <c r="K836" s="5"/>
      <c r="L836" s="5"/>
      <c r="M836" s="5"/>
      <c r="N836" s="5"/>
    </row>
    <row r="837">
      <c r="A837" s="5"/>
      <c r="B837" s="150"/>
      <c r="C837" s="151"/>
      <c r="E837" s="96"/>
      <c r="F837" s="96"/>
      <c r="G837" s="96"/>
      <c r="H837" s="96"/>
      <c r="I837" s="96"/>
      <c r="J837" s="5"/>
      <c r="K837" s="5"/>
      <c r="L837" s="5"/>
      <c r="M837" s="5"/>
      <c r="N837" s="5"/>
    </row>
    <row r="838">
      <c r="A838" s="5"/>
      <c r="B838" s="150"/>
      <c r="C838" s="151"/>
      <c r="E838" s="96"/>
      <c r="F838" s="96"/>
      <c r="G838" s="96"/>
      <c r="H838" s="96"/>
      <c r="I838" s="96"/>
      <c r="J838" s="5"/>
      <c r="K838" s="5"/>
      <c r="L838" s="5"/>
      <c r="M838" s="5"/>
      <c r="N838" s="5"/>
    </row>
    <row r="839">
      <c r="A839" s="5"/>
      <c r="B839" s="150"/>
      <c r="C839" s="151"/>
      <c r="E839" s="96"/>
      <c r="F839" s="96"/>
      <c r="G839" s="96"/>
      <c r="H839" s="96"/>
      <c r="I839" s="96"/>
      <c r="J839" s="5"/>
      <c r="K839" s="5"/>
      <c r="L839" s="5"/>
      <c r="M839" s="5"/>
      <c r="N839" s="5"/>
    </row>
    <row r="840">
      <c r="A840" s="5"/>
      <c r="B840" s="150"/>
      <c r="C840" s="151"/>
      <c r="E840" s="96"/>
      <c r="F840" s="96"/>
      <c r="G840" s="96"/>
      <c r="H840" s="96"/>
      <c r="I840" s="96"/>
      <c r="J840" s="5"/>
      <c r="K840" s="5"/>
      <c r="L840" s="5"/>
      <c r="M840" s="5"/>
      <c r="N840" s="5"/>
    </row>
    <row r="841">
      <c r="A841" s="5"/>
      <c r="B841" s="150"/>
      <c r="C841" s="151"/>
      <c r="E841" s="96"/>
      <c r="F841" s="96"/>
      <c r="G841" s="96"/>
      <c r="H841" s="96"/>
      <c r="I841" s="96"/>
      <c r="J841" s="5"/>
      <c r="K841" s="5"/>
      <c r="L841" s="5"/>
      <c r="M841" s="5"/>
      <c r="N841" s="5"/>
    </row>
    <row r="842">
      <c r="A842" s="5"/>
      <c r="B842" s="150"/>
      <c r="C842" s="151"/>
      <c r="E842" s="96"/>
      <c r="F842" s="96"/>
      <c r="G842" s="96"/>
      <c r="H842" s="96"/>
      <c r="I842" s="96"/>
      <c r="J842" s="5"/>
      <c r="K842" s="5"/>
      <c r="L842" s="5"/>
      <c r="M842" s="5"/>
      <c r="N842" s="5"/>
    </row>
    <row r="843">
      <c r="A843" s="5"/>
      <c r="B843" s="150"/>
      <c r="C843" s="151"/>
      <c r="E843" s="96"/>
      <c r="F843" s="96"/>
      <c r="G843" s="96"/>
      <c r="H843" s="96"/>
      <c r="I843" s="96"/>
      <c r="J843" s="5"/>
      <c r="K843" s="5"/>
      <c r="L843" s="5"/>
      <c r="M843" s="5"/>
      <c r="N843" s="5"/>
    </row>
    <row r="844">
      <c r="A844" s="5"/>
      <c r="B844" s="150"/>
      <c r="C844" s="151"/>
      <c r="E844" s="96"/>
      <c r="F844" s="96"/>
      <c r="G844" s="96"/>
      <c r="H844" s="96"/>
      <c r="I844" s="96"/>
      <c r="J844" s="5"/>
      <c r="K844" s="5"/>
      <c r="L844" s="5"/>
      <c r="M844" s="5"/>
      <c r="N844" s="5"/>
    </row>
    <row r="845">
      <c r="A845" s="5"/>
      <c r="B845" s="150"/>
      <c r="C845" s="151"/>
      <c r="E845" s="96"/>
      <c r="F845" s="96"/>
      <c r="G845" s="96"/>
      <c r="H845" s="96"/>
      <c r="I845" s="96"/>
      <c r="J845" s="5"/>
      <c r="K845" s="5"/>
      <c r="L845" s="5"/>
      <c r="M845" s="5"/>
      <c r="N845" s="5"/>
    </row>
    <row r="846">
      <c r="A846" s="5"/>
      <c r="B846" s="150"/>
      <c r="C846" s="151"/>
      <c r="E846" s="96"/>
      <c r="F846" s="96"/>
      <c r="G846" s="96"/>
      <c r="H846" s="96"/>
      <c r="I846" s="96"/>
      <c r="J846" s="5"/>
      <c r="K846" s="5"/>
      <c r="L846" s="5"/>
      <c r="M846" s="5"/>
      <c r="N846" s="5"/>
    </row>
    <row r="847">
      <c r="A847" s="5"/>
      <c r="B847" s="150"/>
      <c r="C847" s="151"/>
      <c r="E847" s="96"/>
      <c r="F847" s="96"/>
      <c r="G847" s="96"/>
      <c r="H847" s="96"/>
      <c r="I847" s="96"/>
      <c r="J847" s="5"/>
      <c r="K847" s="5"/>
      <c r="L847" s="5"/>
      <c r="M847" s="5"/>
      <c r="N847" s="5"/>
    </row>
    <row r="848">
      <c r="A848" s="5"/>
      <c r="B848" s="150"/>
      <c r="C848" s="151"/>
      <c r="E848" s="96"/>
      <c r="F848" s="96"/>
      <c r="G848" s="96"/>
      <c r="H848" s="96"/>
      <c r="I848" s="96"/>
      <c r="J848" s="5"/>
      <c r="K848" s="5"/>
      <c r="L848" s="5"/>
      <c r="M848" s="5"/>
      <c r="N848" s="5"/>
    </row>
    <row r="849">
      <c r="A849" s="5"/>
      <c r="B849" s="150"/>
      <c r="C849" s="151"/>
      <c r="E849" s="96"/>
      <c r="F849" s="96"/>
      <c r="G849" s="96"/>
      <c r="H849" s="96"/>
      <c r="I849" s="96"/>
      <c r="J849" s="5"/>
      <c r="K849" s="5"/>
      <c r="L849" s="5"/>
      <c r="M849" s="5"/>
      <c r="N849" s="5"/>
    </row>
    <row r="850">
      <c r="A850" s="5"/>
      <c r="B850" s="150"/>
      <c r="C850" s="151"/>
      <c r="E850" s="96"/>
      <c r="F850" s="96"/>
      <c r="G850" s="96"/>
      <c r="H850" s="96"/>
      <c r="I850" s="96"/>
      <c r="J850" s="5"/>
      <c r="K850" s="5"/>
      <c r="L850" s="5"/>
      <c r="M850" s="5"/>
      <c r="N850" s="5"/>
    </row>
    <row r="851">
      <c r="A851" s="5"/>
      <c r="B851" s="150"/>
      <c r="C851" s="151"/>
      <c r="E851" s="96"/>
      <c r="F851" s="96"/>
      <c r="G851" s="96"/>
      <c r="H851" s="96"/>
      <c r="I851" s="96"/>
      <c r="J851" s="5"/>
      <c r="K851" s="5"/>
      <c r="L851" s="5"/>
      <c r="M851" s="5"/>
      <c r="N851" s="5"/>
    </row>
    <row r="852">
      <c r="A852" s="5"/>
      <c r="B852" s="150"/>
      <c r="C852" s="151"/>
      <c r="E852" s="96"/>
      <c r="F852" s="96"/>
      <c r="G852" s="96"/>
      <c r="H852" s="96"/>
      <c r="I852" s="96"/>
      <c r="J852" s="5"/>
      <c r="K852" s="5"/>
      <c r="L852" s="5"/>
      <c r="M852" s="5"/>
      <c r="N852" s="5"/>
    </row>
    <row r="853">
      <c r="A853" s="5"/>
      <c r="B853" s="150"/>
      <c r="C853" s="151"/>
      <c r="E853" s="96"/>
      <c r="F853" s="96"/>
      <c r="G853" s="96"/>
      <c r="H853" s="96"/>
      <c r="I853" s="96"/>
      <c r="J853" s="5"/>
      <c r="K853" s="5"/>
      <c r="L853" s="5"/>
      <c r="M853" s="5"/>
      <c r="N853" s="5"/>
    </row>
    <row r="854">
      <c r="A854" s="5"/>
      <c r="B854" s="150"/>
      <c r="C854" s="151"/>
      <c r="E854" s="96"/>
      <c r="F854" s="96"/>
      <c r="G854" s="96"/>
      <c r="H854" s="96"/>
      <c r="I854" s="96"/>
      <c r="J854" s="5"/>
      <c r="K854" s="5"/>
      <c r="L854" s="5"/>
      <c r="M854" s="5"/>
      <c r="N854" s="5"/>
    </row>
    <row r="855">
      <c r="A855" s="5"/>
      <c r="B855" s="150"/>
      <c r="C855" s="151"/>
      <c r="E855" s="96"/>
      <c r="F855" s="96"/>
      <c r="G855" s="96"/>
      <c r="H855" s="96"/>
      <c r="I855" s="96"/>
      <c r="J855" s="5"/>
      <c r="K855" s="5"/>
      <c r="L855" s="5"/>
      <c r="M855" s="5"/>
      <c r="N855" s="5"/>
    </row>
    <row r="856">
      <c r="A856" s="5"/>
      <c r="B856" s="150"/>
      <c r="C856" s="151"/>
      <c r="E856" s="96"/>
      <c r="F856" s="96"/>
      <c r="G856" s="96"/>
      <c r="H856" s="96"/>
      <c r="I856" s="96"/>
      <c r="J856" s="5"/>
      <c r="K856" s="5"/>
      <c r="L856" s="5"/>
      <c r="M856" s="5"/>
      <c r="N856" s="5"/>
    </row>
    <row r="857">
      <c r="A857" s="5"/>
      <c r="B857" s="150"/>
      <c r="C857" s="151"/>
      <c r="E857" s="96"/>
      <c r="F857" s="96"/>
      <c r="G857" s="96"/>
      <c r="H857" s="96"/>
      <c r="I857" s="96"/>
      <c r="J857" s="5"/>
      <c r="K857" s="5"/>
      <c r="L857" s="5"/>
      <c r="M857" s="5"/>
      <c r="N857" s="5"/>
    </row>
    <row r="858">
      <c r="A858" s="5"/>
      <c r="B858" s="150"/>
      <c r="C858" s="151"/>
      <c r="E858" s="96"/>
      <c r="F858" s="96"/>
      <c r="G858" s="96"/>
      <c r="H858" s="96"/>
      <c r="I858" s="96"/>
      <c r="J858" s="5"/>
      <c r="K858" s="5"/>
      <c r="L858" s="5"/>
      <c r="M858" s="5"/>
      <c r="N858" s="5"/>
    </row>
    <row r="859">
      <c r="A859" s="5"/>
      <c r="B859" s="150"/>
      <c r="C859" s="151"/>
      <c r="E859" s="96"/>
      <c r="F859" s="96"/>
      <c r="G859" s="96"/>
      <c r="H859" s="96"/>
      <c r="I859" s="96"/>
      <c r="J859" s="5"/>
      <c r="K859" s="5"/>
      <c r="L859" s="5"/>
      <c r="M859" s="5"/>
      <c r="N859" s="5"/>
    </row>
    <row r="860">
      <c r="A860" s="5"/>
      <c r="B860" s="150"/>
      <c r="C860" s="151"/>
      <c r="E860" s="96"/>
      <c r="F860" s="96"/>
      <c r="G860" s="96"/>
      <c r="H860" s="96"/>
      <c r="I860" s="96"/>
      <c r="J860" s="5"/>
      <c r="K860" s="5"/>
      <c r="L860" s="5"/>
      <c r="M860" s="5"/>
      <c r="N860" s="5"/>
    </row>
    <row r="861">
      <c r="A861" s="5"/>
      <c r="B861" s="150"/>
      <c r="C861" s="151"/>
      <c r="E861" s="96"/>
      <c r="F861" s="96"/>
      <c r="G861" s="96"/>
      <c r="H861" s="96"/>
      <c r="I861" s="96"/>
      <c r="J861" s="5"/>
      <c r="K861" s="5"/>
      <c r="L861" s="5"/>
      <c r="M861" s="5"/>
      <c r="N861" s="5"/>
    </row>
    <row r="862">
      <c r="A862" s="5"/>
      <c r="B862" s="150"/>
      <c r="C862" s="151"/>
      <c r="E862" s="96"/>
      <c r="F862" s="96"/>
      <c r="G862" s="96"/>
      <c r="H862" s="96"/>
      <c r="I862" s="96"/>
      <c r="J862" s="5"/>
      <c r="K862" s="5"/>
      <c r="L862" s="5"/>
      <c r="M862" s="5"/>
      <c r="N862" s="5"/>
    </row>
    <row r="863">
      <c r="A863" s="5"/>
      <c r="B863" s="150"/>
      <c r="C863" s="151"/>
      <c r="E863" s="96"/>
      <c r="F863" s="96"/>
      <c r="G863" s="96"/>
      <c r="H863" s="96"/>
      <c r="I863" s="96"/>
      <c r="J863" s="5"/>
      <c r="K863" s="5"/>
      <c r="L863" s="5"/>
      <c r="M863" s="5"/>
      <c r="N863" s="5"/>
    </row>
    <row r="864">
      <c r="A864" s="5"/>
      <c r="B864" s="150"/>
      <c r="C864" s="151"/>
      <c r="E864" s="96"/>
      <c r="F864" s="96"/>
      <c r="G864" s="96"/>
      <c r="H864" s="96"/>
      <c r="I864" s="96"/>
      <c r="J864" s="5"/>
      <c r="K864" s="5"/>
      <c r="L864" s="5"/>
      <c r="M864" s="5"/>
      <c r="N864" s="5"/>
    </row>
    <row r="865">
      <c r="A865" s="5"/>
      <c r="B865" s="150"/>
      <c r="C865" s="151"/>
      <c r="E865" s="96"/>
      <c r="F865" s="96"/>
      <c r="G865" s="96"/>
      <c r="H865" s="96"/>
      <c r="I865" s="96"/>
      <c r="J865" s="5"/>
      <c r="K865" s="5"/>
      <c r="L865" s="5"/>
      <c r="M865" s="5"/>
      <c r="N865" s="5"/>
    </row>
    <row r="866">
      <c r="A866" s="5"/>
      <c r="B866" s="150"/>
      <c r="C866" s="151"/>
      <c r="E866" s="96"/>
      <c r="F866" s="96"/>
      <c r="G866" s="96"/>
      <c r="H866" s="96"/>
      <c r="I866" s="96"/>
      <c r="J866" s="5"/>
      <c r="K866" s="5"/>
      <c r="L866" s="5"/>
      <c r="M866" s="5"/>
      <c r="N866" s="5"/>
    </row>
    <row r="867">
      <c r="A867" s="5"/>
      <c r="B867" s="150"/>
      <c r="C867" s="151"/>
      <c r="E867" s="96"/>
      <c r="F867" s="96"/>
      <c r="G867" s="96"/>
      <c r="H867" s="96"/>
      <c r="I867" s="96"/>
      <c r="J867" s="5"/>
      <c r="K867" s="5"/>
      <c r="L867" s="5"/>
      <c r="M867" s="5"/>
      <c r="N867" s="5"/>
    </row>
    <row r="868">
      <c r="A868" s="5"/>
      <c r="B868" s="150"/>
      <c r="C868" s="151"/>
      <c r="E868" s="96"/>
      <c r="F868" s="96"/>
      <c r="G868" s="96"/>
      <c r="H868" s="96"/>
      <c r="I868" s="96"/>
      <c r="J868" s="5"/>
      <c r="K868" s="5"/>
      <c r="L868" s="5"/>
      <c r="M868" s="5"/>
      <c r="N868" s="5"/>
    </row>
    <row r="869">
      <c r="A869" s="5"/>
      <c r="B869" s="150"/>
      <c r="C869" s="151"/>
      <c r="E869" s="96"/>
      <c r="F869" s="96"/>
      <c r="G869" s="96"/>
      <c r="H869" s="96"/>
      <c r="I869" s="96"/>
      <c r="J869" s="5"/>
      <c r="K869" s="5"/>
      <c r="L869" s="5"/>
      <c r="M869" s="5"/>
      <c r="N869" s="5"/>
    </row>
    <row r="870">
      <c r="A870" s="5"/>
      <c r="B870" s="150"/>
      <c r="C870" s="151"/>
      <c r="E870" s="96"/>
      <c r="F870" s="96"/>
      <c r="G870" s="96"/>
      <c r="H870" s="96"/>
      <c r="I870" s="96"/>
      <c r="J870" s="5"/>
      <c r="K870" s="5"/>
      <c r="L870" s="5"/>
      <c r="M870" s="5"/>
      <c r="N870" s="5"/>
    </row>
    <row r="871">
      <c r="A871" s="5"/>
      <c r="B871" s="150"/>
      <c r="C871" s="151"/>
      <c r="E871" s="96"/>
      <c r="F871" s="96"/>
      <c r="G871" s="96"/>
      <c r="H871" s="96"/>
      <c r="I871" s="96"/>
      <c r="J871" s="5"/>
      <c r="K871" s="5"/>
      <c r="L871" s="5"/>
      <c r="M871" s="5"/>
      <c r="N871" s="5"/>
    </row>
    <row r="872">
      <c r="A872" s="5"/>
      <c r="B872" s="150"/>
      <c r="C872" s="151"/>
      <c r="E872" s="96"/>
      <c r="F872" s="96"/>
      <c r="G872" s="96"/>
      <c r="H872" s="96"/>
      <c r="I872" s="96"/>
      <c r="J872" s="5"/>
      <c r="K872" s="5"/>
      <c r="L872" s="5"/>
      <c r="M872" s="5"/>
      <c r="N872" s="5"/>
    </row>
    <row r="873">
      <c r="A873" s="5"/>
      <c r="B873" s="150"/>
      <c r="C873" s="151"/>
      <c r="E873" s="96"/>
      <c r="F873" s="96"/>
      <c r="G873" s="96"/>
      <c r="H873" s="96"/>
      <c r="I873" s="96"/>
      <c r="J873" s="5"/>
      <c r="K873" s="5"/>
      <c r="L873" s="5"/>
      <c r="M873" s="5"/>
      <c r="N873" s="5"/>
    </row>
    <row r="874">
      <c r="A874" s="5"/>
      <c r="B874" s="150"/>
      <c r="C874" s="151"/>
      <c r="E874" s="96"/>
      <c r="F874" s="96"/>
      <c r="G874" s="96"/>
      <c r="H874" s="96"/>
      <c r="I874" s="96"/>
      <c r="J874" s="5"/>
      <c r="K874" s="5"/>
      <c r="L874" s="5"/>
      <c r="M874" s="5"/>
      <c r="N874" s="5"/>
    </row>
    <row r="875">
      <c r="A875" s="5"/>
      <c r="B875" s="150"/>
      <c r="C875" s="151"/>
      <c r="E875" s="96"/>
      <c r="F875" s="96"/>
      <c r="G875" s="96"/>
      <c r="H875" s="96"/>
      <c r="I875" s="96"/>
      <c r="J875" s="5"/>
      <c r="K875" s="5"/>
      <c r="L875" s="5"/>
      <c r="M875" s="5"/>
      <c r="N875" s="5"/>
    </row>
    <row r="876">
      <c r="A876" s="5"/>
      <c r="B876" s="150"/>
      <c r="C876" s="151"/>
      <c r="E876" s="96"/>
      <c r="F876" s="96"/>
      <c r="G876" s="96"/>
      <c r="H876" s="96"/>
      <c r="I876" s="96"/>
      <c r="J876" s="5"/>
      <c r="K876" s="5"/>
      <c r="L876" s="5"/>
      <c r="M876" s="5"/>
      <c r="N876" s="5"/>
    </row>
    <row r="877">
      <c r="A877" s="5"/>
      <c r="B877" s="150"/>
      <c r="C877" s="151"/>
      <c r="E877" s="96"/>
      <c r="F877" s="96"/>
      <c r="G877" s="96"/>
      <c r="H877" s="96"/>
      <c r="I877" s="96"/>
      <c r="J877" s="5"/>
      <c r="K877" s="5"/>
      <c r="L877" s="5"/>
      <c r="M877" s="5"/>
      <c r="N877" s="5"/>
    </row>
    <row r="878">
      <c r="A878" s="5"/>
      <c r="B878" s="150"/>
      <c r="C878" s="151"/>
      <c r="E878" s="96"/>
      <c r="F878" s="96"/>
      <c r="G878" s="96"/>
      <c r="H878" s="96"/>
      <c r="I878" s="96"/>
      <c r="J878" s="5"/>
      <c r="K878" s="5"/>
      <c r="L878" s="5"/>
      <c r="M878" s="5"/>
      <c r="N878" s="5"/>
    </row>
    <row r="879">
      <c r="A879" s="5"/>
      <c r="B879" s="150"/>
      <c r="C879" s="151"/>
      <c r="E879" s="96"/>
      <c r="F879" s="96"/>
      <c r="G879" s="96"/>
      <c r="H879" s="96"/>
      <c r="I879" s="96"/>
      <c r="J879" s="5"/>
      <c r="K879" s="5"/>
      <c r="L879" s="5"/>
      <c r="M879" s="5"/>
      <c r="N879" s="5"/>
    </row>
    <row r="880">
      <c r="A880" s="5"/>
      <c r="B880" s="150"/>
      <c r="C880" s="151"/>
      <c r="E880" s="96"/>
      <c r="F880" s="96"/>
      <c r="G880" s="96"/>
      <c r="H880" s="96"/>
      <c r="I880" s="96"/>
      <c r="J880" s="5"/>
      <c r="K880" s="5"/>
      <c r="L880" s="5"/>
      <c r="M880" s="5"/>
      <c r="N880" s="5"/>
    </row>
    <row r="881">
      <c r="A881" s="5"/>
      <c r="B881" s="150"/>
      <c r="C881" s="151"/>
      <c r="E881" s="96"/>
      <c r="F881" s="96"/>
      <c r="G881" s="96"/>
      <c r="H881" s="96"/>
      <c r="I881" s="96"/>
      <c r="J881" s="5"/>
      <c r="K881" s="5"/>
      <c r="L881" s="5"/>
      <c r="M881" s="5"/>
      <c r="N881" s="5"/>
    </row>
    <row r="882">
      <c r="A882" s="5"/>
      <c r="B882" s="150"/>
      <c r="C882" s="151"/>
      <c r="E882" s="96"/>
      <c r="F882" s="96"/>
      <c r="G882" s="96"/>
      <c r="H882" s="96"/>
      <c r="I882" s="96"/>
      <c r="J882" s="5"/>
      <c r="K882" s="5"/>
      <c r="L882" s="5"/>
      <c r="M882" s="5"/>
      <c r="N882" s="5"/>
    </row>
    <row r="883">
      <c r="A883" s="5"/>
      <c r="B883" s="150"/>
      <c r="C883" s="151"/>
      <c r="E883" s="96"/>
      <c r="F883" s="96"/>
      <c r="G883" s="96"/>
      <c r="H883" s="96"/>
      <c r="I883" s="96"/>
      <c r="J883" s="5"/>
      <c r="K883" s="5"/>
      <c r="L883" s="5"/>
      <c r="M883" s="5"/>
      <c r="N883" s="5"/>
    </row>
    <row r="884">
      <c r="A884" s="5"/>
      <c r="B884" s="150"/>
      <c r="C884" s="151"/>
      <c r="E884" s="96"/>
      <c r="F884" s="96"/>
      <c r="G884" s="96"/>
      <c r="H884" s="96"/>
      <c r="I884" s="96"/>
      <c r="J884" s="5"/>
      <c r="K884" s="5"/>
      <c r="L884" s="5"/>
      <c r="M884" s="5"/>
      <c r="N884" s="5"/>
    </row>
    <row r="885">
      <c r="A885" s="5"/>
      <c r="B885" s="150"/>
      <c r="C885" s="151"/>
      <c r="E885" s="96"/>
      <c r="F885" s="96"/>
      <c r="G885" s="96"/>
      <c r="H885" s="96"/>
      <c r="I885" s="96"/>
      <c r="J885" s="5"/>
      <c r="K885" s="5"/>
      <c r="L885" s="5"/>
      <c r="M885" s="5"/>
      <c r="N885" s="5"/>
    </row>
    <row r="886">
      <c r="A886" s="5"/>
      <c r="B886" s="150"/>
      <c r="C886" s="151"/>
      <c r="E886" s="96"/>
      <c r="F886" s="96"/>
      <c r="G886" s="96"/>
      <c r="H886" s="96"/>
      <c r="I886" s="96"/>
      <c r="J886" s="5"/>
      <c r="K886" s="5"/>
      <c r="L886" s="5"/>
      <c r="M886" s="5"/>
      <c r="N886" s="5"/>
    </row>
    <row r="887">
      <c r="A887" s="5"/>
      <c r="B887" s="150"/>
      <c r="C887" s="151"/>
      <c r="E887" s="96"/>
      <c r="F887" s="96"/>
      <c r="G887" s="96"/>
      <c r="H887" s="96"/>
      <c r="I887" s="96"/>
      <c r="J887" s="5"/>
      <c r="K887" s="5"/>
      <c r="L887" s="5"/>
      <c r="M887" s="5"/>
      <c r="N887" s="5"/>
    </row>
    <row r="888">
      <c r="A888" s="5"/>
      <c r="B888" s="150"/>
      <c r="C888" s="151"/>
      <c r="E888" s="96"/>
      <c r="F888" s="96"/>
      <c r="G888" s="96"/>
      <c r="H888" s="96"/>
      <c r="I888" s="96"/>
      <c r="J888" s="5"/>
      <c r="K888" s="5"/>
      <c r="L888" s="5"/>
      <c r="M888" s="5"/>
      <c r="N888" s="5"/>
    </row>
    <row r="889">
      <c r="A889" s="5"/>
      <c r="B889" s="150"/>
      <c r="C889" s="151"/>
      <c r="E889" s="96"/>
      <c r="F889" s="96"/>
      <c r="G889" s="96"/>
      <c r="H889" s="96"/>
      <c r="I889" s="96"/>
      <c r="J889" s="5"/>
      <c r="K889" s="5"/>
      <c r="L889" s="5"/>
      <c r="M889" s="5"/>
      <c r="N889" s="5"/>
    </row>
    <row r="890">
      <c r="A890" s="5"/>
      <c r="B890" s="150"/>
      <c r="C890" s="151"/>
      <c r="E890" s="96"/>
      <c r="F890" s="96"/>
      <c r="G890" s="96"/>
      <c r="H890" s="96"/>
      <c r="I890" s="96"/>
      <c r="J890" s="5"/>
      <c r="K890" s="5"/>
      <c r="L890" s="5"/>
      <c r="M890" s="5"/>
      <c r="N890" s="5"/>
    </row>
    <row r="891">
      <c r="A891" s="5"/>
      <c r="B891" s="150"/>
      <c r="C891" s="151"/>
      <c r="E891" s="96"/>
      <c r="F891" s="96"/>
      <c r="G891" s="96"/>
      <c r="H891" s="96"/>
      <c r="I891" s="96"/>
      <c r="J891" s="5"/>
      <c r="K891" s="5"/>
      <c r="L891" s="5"/>
      <c r="M891" s="5"/>
      <c r="N891" s="5"/>
    </row>
    <row r="892">
      <c r="A892" s="5"/>
      <c r="B892" s="150"/>
      <c r="C892" s="151"/>
      <c r="E892" s="96"/>
      <c r="F892" s="96"/>
      <c r="G892" s="96"/>
      <c r="H892" s="96"/>
      <c r="I892" s="96"/>
      <c r="J892" s="5"/>
      <c r="K892" s="5"/>
      <c r="L892" s="5"/>
      <c r="M892" s="5"/>
      <c r="N892" s="5"/>
    </row>
    <row r="893">
      <c r="A893" s="5"/>
      <c r="B893" s="150"/>
      <c r="C893" s="151"/>
      <c r="E893" s="96"/>
      <c r="F893" s="96"/>
      <c r="G893" s="96"/>
      <c r="H893" s="96"/>
      <c r="I893" s="96"/>
      <c r="J893" s="5"/>
      <c r="K893" s="5"/>
      <c r="L893" s="5"/>
      <c r="M893" s="5"/>
      <c r="N893" s="5"/>
    </row>
    <row r="894">
      <c r="A894" s="5"/>
      <c r="B894" s="150"/>
      <c r="C894" s="151"/>
      <c r="E894" s="96"/>
      <c r="F894" s="96"/>
      <c r="G894" s="96"/>
      <c r="H894" s="96"/>
      <c r="I894" s="96"/>
      <c r="J894" s="5"/>
      <c r="K894" s="5"/>
      <c r="L894" s="5"/>
      <c r="M894" s="5"/>
      <c r="N894" s="5"/>
    </row>
    <row r="895">
      <c r="A895" s="5"/>
      <c r="B895" s="150"/>
      <c r="C895" s="151"/>
      <c r="E895" s="96"/>
      <c r="F895" s="96"/>
      <c r="G895" s="96"/>
      <c r="H895" s="96"/>
      <c r="I895" s="96"/>
      <c r="J895" s="5"/>
      <c r="K895" s="5"/>
      <c r="L895" s="5"/>
      <c r="M895" s="5"/>
      <c r="N895" s="5"/>
    </row>
    <row r="896">
      <c r="A896" s="5"/>
      <c r="B896" s="150"/>
      <c r="C896" s="151"/>
      <c r="E896" s="96"/>
      <c r="F896" s="96"/>
      <c r="G896" s="96"/>
      <c r="H896" s="96"/>
      <c r="I896" s="96"/>
      <c r="J896" s="5"/>
      <c r="K896" s="5"/>
      <c r="L896" s="5"/>
      <c r="M896" s="5"/>
      <c r="N896" s="5"/>
    </row>
    <row r="897">
      <c r="A897" s="5"/>
      <c r="B897" s="150"/>
      <c r="C897" s="151"/>
      <c r="E897" s="96"/>
      <c r="F897" s="96"/>
      <c r="G897" s="96"/>
      <c r="H897" s="96"/>
      <c r="I897" s="96"/>
      <c r="J897" s="5"/>
      <c r="K897" s="5"/>
      <c r="L897" s="5"/>
      <c r="M897" s="5"/>
      <c r="N897" s="5"/>
    </row>
    <row r="898">
      <c r="A898" s="5"/>
      <c r="B898" s="150"/>
      <c r="C898" s="151"/>
      <c r="E898" s="96"/>
      <c r="F898" s="96"/>
      <c r="G898" s="96"/>
      <c r="H898" s="96"/>
      <c r="I898" s="96"/>
      <c r="J898" s="5"/>
      <c r="K898" s="5"/>
      <c r="L898" s="5"/>
      <c r="M898" s="5"/>
      <c r="N898" s="5"/>
    </row>
    <row r="899">
      <c r="A899" s="5"/>
      <c r="B899" s="150"/>
      <c r="C899" s="151"/>
      <c r="E899" s="96"/>
      <c r="F899" s="96"/>
      <c r="G899" s="96"/>
      <c r="H899" s="96"/>
      <c r="I899" s="96"/>
      <c r="J899" s="5"/>
      <c r="K899" s="5"/>
      <c r="L899" s="5"/>
      <c r="M899" s="5"/>
      <c r="N899" s="5"/>
    </row>
    <row r="900">
      <c r="A900" s="5"/>
      <c r="B900" s="150"/>
      <c r="C900" s="151"/>
      <c r="E900" s="96"/>
      <c r="F900" s="96"/>
      <c r="G900" s="96"/>
      <c r="H900" s="96"/>
      <c r="I900" s="96"/>
      <c r="J900" s="5"/>
      <c r="K900" s="5"/>
      <c r="L900" s="5"/>
      <c r="M900" s="5"/>
      <c r="N900" s="5"/>
    </row>
    <row r="901">
      <c r="A901" s="5"/>
      <c r="B901" s="150"/>
      <c r="C901" s="151"/>
      <c r="E901" s="96"/>
      <c r="F901" s="96"/>
      <c r="G901" s="96"/>
      <c r="H901" s="96"/>
      <c r="I901" s="96"/>
      <c r="J901" s="5"/>
      <c r="K901" s="5"/>
      <c r="L901" s="5"/>
      <c r="M901" s="5"/>
      <c r="N901" s="5"/>
    </row>
    <row r="902">
      <c r="A902" s="5"/>
      <c r="B902" s="150"/>
      <c r="C902" s="151"/>
      <c r="E902" s="96"/>
      <c r="F902" s="96"/>
      <c r="G902" s="96"/>
      <c r="H902" s="96"/>
      <c r="I902" s="96"/>
      <c r="J902" s="5"/>
      <c r="K902" s="5"/>
      <c r="L902" s="5"/>
      <c r="M902" s="5"/>
      <c r="N902" s="5"/>
    </row>
    <row r="903">
      <c r="A903" s="5"/>
      <c r="B903" s="150"/>
      <c r="C903" s="151"/>
      <c r="E903" s="96"/>
      <c r="F903" s="96"/>
      <c r="G903" s="96"/>
      <c r="H903" s="96"/>
      <c r="I903" s="96"/>
      <c r="J903" s="5"/>
      <c r="K903" s="5"/>
      <c r="L903" s="5"/>
      <c r="M903" s="5"/>
      <c r="N903" s="5"/>
    </row>
    <row r="904">
      <c r="A904" s="5"/>
      <c r="B904" s="150"/>
      <c r="C904" s="151"/>
      <c r="E904" s="96"/>
      <c r="F904" s="96"/>
      <c r="G904" s="96"/>
      <c r="H904" s="96"/>
      <c r="I904" s="96"/>
      <c r="J904" s="5"/>
      <c r="K904" s="5"/>
      <c r="L904" s="5"/>
      <c r="M904" s="5"/>
      <c r="N904" s="5"/>
    </row>
    <row r="905">
      <c r="A905" s="5"/>
      <c r="B905" s="150"/>
      <c r="C905" s="151"/>
      <c r="E905" s="96"/>
      <c r="F905" s="96"/>
      <c r="G905" s="96"/>
      <c r="H905" s="96"/>
      <c r="I905" s="96"/>
      <c r="J905" s="5"/>
      <c r="K905" s="5"/>
      <c r="L905" s="5"/>
      <c r="M905" s="5"/>
      <c r="N905" s="5"/>
    </row>
    <row r="906">
      <c r="A906" s="5"/>
      <c r="B906" s="150"/>
      <c r="C906" s="151"/>
      <c r="E906" s="96"/>
      <c r="F906" s="96"/>
      <c r="G906" s="96"/>
      <c r="H906" s="96"/>
      <c r="I906" s="96"/>
      <c r="J906" s="5"/>
      <c r="K906" s="5"/>
      <c r="L906" s="5"/>
      <c r="M906" s="5"/>
      <c r="N906" s="5"/>
    </row>
    <row r="907">
      <c r="A907" s="5"/>
      <c r="B907" s="150"/>
      <c r="C907" s="151"/>
      <c r="E907" s="96"/>
      <c r="F907" s="96"/>
      <c r="G907" s="96"/>
      <c r="H907" s="96"/>
      <c r="I907" s="96"/>
      <c r="J907" s="5"/>
      <c r="K907" s="5"/>
      <c r="L907" s="5"/>
      <c r="M907" s="5"/>
      <c r="N907" s="5"/>
    </row>
    <row r="908">
      <c r="A908" s="5"/>
      <c r="B908" s="150"/>
      <c r="C908" s="151"/>
      <c r="E908" s="96"/>
      <c r="F908" s="96"/>
      <c r="G908" s="96"/>
      <c r="H908" s="96"/>
      <c r="I908" s="96"/>
      <c r="J908" s="5"/>
      <c r="K908" s="5"/>
      <c r="L908" s="5"/>
      <c r="M908" s="5"/>
      <c r="N908" s="5"/>
    </row>
    <row r="909">
      <c r="A909" s="5"/>
      <c r="B909" s="150"/>
      <c r="C909" s="151"/>
      <c r="E909" s="96"/>
      <c r="F909" s="96"/>
      <c r="G909" s="96"/>
      <c r="H909" s="96"/>
      <c r="I909" s="96"/>
      <c r="J909" s="5"/>
      <c r="K909" s="5"/>
      <c r="L909" s="5"/>
      <c r="M909" s="5"/>
      <c r="N909" s="5"/>
    </row>
    <row r="910">
      <c r="A910" s="5"/>
      <c r="B910" s="150"/>
      <c r="C910" s="151"/>
      <c r="E910" s="96"/>
      <c r="F910" s="96"/>
      <c r="G910" s="96"/>
      <c r="H910" s="96"/>
      <c r="I910" s="96"/>
      <c r="J910" s="5"/>
      <c r="K910" s="5"/>
      <c r="L910" s="5"/>
      <c r="M910" s="5"/>
      <c r="N910" s="5"/>
    </row>
    <row r="911">
      <c r="A911" s="5"/>
      <c r="B911" s="150"/>
      <c r="C911" s="151"/>
      <c r="E911" s="96"/>
      <c r="F911" s="96"/>
      <c r="G911" s="96"/>
      <c r="H911" s="96"/>
      <c r="I911" s="96"/>
      <c r="J911" s="5"/>
      <c r="K911" s="5"/>
      <c r="L911" s="5"/>
      <c r="M911" s="5"/>
      <c r="N911" s="5"/>
    </row>
    <row r="912">
      <c r="A912" s="5"/>
      <c r="B912" s="150"/>
      <c r="C912" s="151"/>
      <c r="E912" s="96"/>
      <c r="F912" s="96"/>
      <c r="G912" s="96"/>
      <c r="H912" s="96"/>
      <c r="I912" s="96"/>
      <c r="J912" s="5"/>
      <c r="K912" s="5"/>
      <c r="L912" s="5"/>
      <c r="M912" s="5"/>
      <c r="N912" s="5"/>
    </row>
    <row r="913">
      <c r="A913" s="5"/>
      <c r="B913" s="150"/>
      <c r="C913" s="151"/>
      <c r="E913" s="96"/>
      <c r="F913" s="96"/>
      <c r="G913" s="96"/>
      <c r="H913" s="96"/>
      <c r="I913" s="96"/>
      <c r="J913" s="5"/>
      <c r="K913" s="5"/>
      <c r="L913" s="5"/>
      <c r="M913" s="5"/>
      <c r="N913" s="5"/>
    </row>
    <row r="914">
      <c r="A914" s="5"/>
      <c r="B914" s="150"/>
      <c r="C914" s="151"/>
      <c r="E914" s="96"/>
      <c r="F914" s="96"/>
      <c r="G914" s="96"/>
      <c r="H914" s="96"/>
      <c r="I914" s="96"/>
      <c r="J914" s="5"/>
      <c r="K914" s="5"/>
      <c r="L914" s="5"/>
      <c r="M914" s="5"/>
      <c r="N914" s="5"/>
    </row>
    <row r="915">
      <c r="A915" s="5"/>
      <c r="B915" s="150"/>
      <c r="C915" s="151"/>
      <c r="E915" s="96"/>
      <c r="F915" s="96"/>
      <c r="G915" s="96"/>
      <c r="H915" s="96"/>
      <c r="I915" s="96"/>
      <c r="J915" s="5"/>
      <c r="K915" s="5"/>
      <c r="L915" s="5"/>
      <c r="M915" s="5"/>
      <c r="N915" s="5"/>
    </row>
    <row r="916">
      <c r="A916" s="5"/>
      <c r="B916" s="150"/>
      <c r="C916" s="151"/>
      <c r="E916" s="96"/>
      <c r="F916" s="96"/>
      <c r="G916" s="96"/>
      <c r="H916" s="96"/>
      <c r="I916" s="96"/>
      <c r="J916" s="5"/>
      <c r="K916" s="5"/>
      <c r="L916" s="5"/>
      <c r="M916" s="5"/>
      <c r="N916" s="5"/>
    </row>
    <row r="917">
      <c r="A917" s="5"/>
      <c r="B917" s="150"/>
      <c r="C917" s="151"/>
      <c r="E917" s="96"/>
      <c r="F917" s="96"/>
      <c r="G917" s="96"/>
      <c r="H917" s="96"/>
      <c r="I917" s="96"/>
      <c r="J917" s="5"/>
      <c r="K917" s="5"/>
      <c r="L917" s="5"/>
      <c r="M917" s="5"/>
      <c r="N917" s="5"/>
    </row>
    <row r="918">
      <c r="A918" s="5"/>
      <c r="B918" s="150"/>
      <c r="C918" s="151"/>
      <c r="E918" s="96"/>
      <c r="F918" s="96"/>
      <c r="G918" s="96"/>
      <c r="H918" s="96"/>
      <c r="I918" s="96"/>
      <c r="J918" s="5"/>
      <c r="K918" s="5"/>
      <c r="L918" s="5"/>
      <c r="M918" s="5"/>
      <c r="N918" s="5"/>
    </row>
    <row r="919">
      <c r="A919" s="5"/>
      <c r="B919" s="150"/>
      <c r="C919" s="151"/>
      <c r="E919" s="96"/>
      <c r="F919" s="96"/>
      <c r="G919" s="96"/>
      <c r="H919" s="96"/>
      <c r="I919" s="96"/>
      <c r="J919" s="5"/>
      <c r="K919" s="5"/>
      <c r="L919" s="5"/>
      <c r="M919" s="5"/>
      <c r="N919" s="5"/>
    </row>
    <row r="920">
      <c r="A920" s="5"/>
      <c r="B920" s="150"/>
      <c r="C920" s="151"/>
      <c r="E920" s="96"/>
      <c r="F920" s="96"/>
      <c r="G920" s="96"/>
      <c r="H920" s="96"/>
      <c r="I920" s="96"/>
      <c r="J920" s="5"/>
      <c r="K920" s="5"/>
      <c r="L920" s="5"/>
      <c r="M920" s="5"/>
      <c r="N920" s="5"/>
    </row>
    <row r="921">
      <c r="A921" s="5"/>
      <c r="B921" s="150"/>
      <c r="C921" s="151"/>
      <c r="E921" s="96"/>
      <c r="F921" s="96"/>
      <c r="G921" s="96"/>
      <c r="H921" s="96"/>
      <c r="I921" s="96"/>
      <c r="J921" s="5"/>
      <c r="K921" s="5"/>
      <c r="L921" s="5"/>
      <c r="M921" s="5"/>
      <c r="N921" s="5"/>
    </row>
    <row r="922">
      <c r="A922" s="5"/>
      <c r="B922" s="150"/>
      <c r="C922" s="151"/>
      <c r="E922" s="96"/>
      <c r="F922" s="96"/>
      <c r="G922" s="96"/>
      <c r="H922" s="96"/>
      <c r="I922" s="96"/>
      <c r="J922" s="5"/>
      <c r="K922" s="5"/>
      <c r="L922" s="5"/>
      <c r="M922" s="5"/>
      <c r="N922" s="5"/>
    </row>
    <row r="923">
      <c r="A923" s="5"/>
      <c r="B923" s="150"/>
      <c r="C923" s="151"/>
      <c r="E923" s="96"/>
      <c r="F923" s="96"/>
      <c r="G923" s="96"/>
      <c r="H923" s="96"/>
      <c r="I923" s="96"/>
      <c r="J923" s="5"/>
      <c r="K923" s="5"/>
      <c r="L923" s="5"/>
      <c r="M923" s="5"/>
      <c r="N923" s="5"/>
    </row>
    <row r="924">
      <c r="A924" s="5"/>
      <c r="B924" s="150"/>
      <c r="C924" s="151"/>
      <c r="E924" s="96"/>
      <c r="F924" s="96"/>
      <c r="G924" s="96"/>
      <c r="H924" s="96"/>
      <c r="I924" s="96"/>
      <c r="J924" s="5"/>
      <c r="K924" s="5"/>
      <c r="L924" s="5"/>
      <c r="M924" s="5"/>
      <c r="N924" s="5"/>
    </row>
    <row r="925">
      <c r="A925" s="5"/>
      <c r="B925" s="150"/>
      <c r="C925" s="151"/>
      <c r="E925" s="96"/>
      <c r="F925" s="96"/>
      <c r="G925" s="96"/>
      <c r="H925" s="96"/>
      <c r="I925" s="96"/>
      <c r="J925" s="5"/>
      <c r="K925" s="5"/>
      <c r="L925" s="5"/>
      <c r="M925" s="5"/>
      <c r="N925" s="5"/>
    </row>
    <row r="926">
      <c r="A926" s="5"/>
      <c r="B926" s="150"/>
      <c r="C926" s="151"/>
      <c r="E926" s="96"/>
      <c r="F926" s="96"/>
      <c r="G926" s="96"/>
      <c r="H926" s="96"/>
      <c r="I926" s="96"/>
      <c r="J926" s="5"/>
      <c r="K926" s="5"/>
      <c r="L926" s="5"/>
      <c r="M926" s="5"/>
      <c r="N926" s="5"/>
    </row>
    <row r="927">
      <c r="A927" s="5"/>
      <c r="B927" s="150"/>
      <c r="C927" s="151"/>
      <c r="E927" s="96"/>
      <c r="F927" s="96"/>
      <c r="G927" s="96"/>
      <c r="H927" s="96"/>
      <c r="I927" s="96"/>
      <c r="J927" s="5"/>
      <c r="K927" s="5"/>
      <c r="L927" s="5"/>
      <c r="M927" s="5"/>
      <c r="N927" s="5"/>
    </row>
    <row r="928">
      <c r="A928" s="5"/>
      <c r="B928" s="150"/>
      <c r="C928" s="151"/>
      <c r="E928" s="96"/>
      <c r="F928" s="96"/>
      <c r="G928" s="96"/>
      <c r="H928" s="96"/>
      <c r="I928" s="96"/>
      <c r="J928" s="5"/>
      <c r="K928" s="5"/>
      <c r="L928" s="5"/>
      <c r="M928" s="5"/>
      <c r="N928" s="5"/>
    </row>
    <row r="929">
      <c r="A929" s="5"/>
      <c r="B929" s="150"/>
      <c r="C929" s="151"/>
      <c r="E929" s="96"/>
      <c r="F929" s="96"/>
      <c r="G929" s="96"/>
      <c r="H929" s="96"/>
      <c r="I929" s="96"/>
      <c r="J929" s="5"/>
      <c r="K929" s="5"/>
      <c r="L929" s="5"/>
      <c r="M929" s="5"/>
      <c r="N929" s="5"/>
    </row>
    <row r="930">
      <c r="A930" s="5"/>
      <c r="B930" s="150"/>
      <c r="C930" s="151"/>
      <c r="E930" s="96"/>
      <c r="F930" s="96"/>
      <c r="G930" s="96"/>
      <c r="H930" s="96"/>
      <c r="I930" s="96"/>
      <c r="J930" s="5"/>
      <c r="K930" s="5"/>
      <c r="L930" s="5"/>
      <c r="M930" s="5"/>
      <c r="N930" s="5"/>
    </row>
    <row r="931">
      <c r="A931" s="5"/>
      <c r="B931" s="150"/>
      <c r="C931" s="151"/>
      <c r="E931" s="96"/>
      <c r="F931" s="96"/>
      <c r="G931" s="96"/>
      <c r="H931" s="96"/>
      <c r="I931" s="96"/>
      <c r="J931" s="5"/>
      <c r="K931" s="5"/>
      <c r="L931" s="5"/>
      <c r="M931" s="5"/>
      <c r="N931" s="5"/>
    </row>
    <row r="932">
      <c r="A932" s="5"/>
      <c r="B932" s="150"/>
      <c r="C932" s="151"/>
      <c r="E932" s="96"/>
      <c r="F932" s="96"/>
      <c r="G932" s="96"/>
      <c r="H932" s="96"/>
      <c r="I932" s="96"/>
      <c r="J932" s="5"/>
      <c r="K932" s="5"/>
      <c r="L932" s="5"/>
      <c r="M932" s="5"/>
      <c r="N932" s="5"/>
    </row>
    <row r="933">
      <c r="A933" s="5"/>
      <c r="B933" s="150"/>
      <c r="C933" s="151"/>
      <c r="E933" s="96"/>
      <c r="F933" s="96"/>
      <c r="G933" s="96"/>
      <c r="H933" s="96"/>
      <c r="I933" s="96"/>
      <c r="J933" s="5"/>
      <c r="K933" s="5"/>
      <c r="L933" s="5"/>
      <c r="M933" s="5"/>
      <c r="N933" s="5"/>
    </row>
    <row r="934">
      <c r="A934" s="5"/>
      <c r="B934" s="150"/>
      <c r="C934" s="151"/>
      <c r="E934" s="96"/>
      <c r="F934" s="96"/>
      <c r="G934" s="96"/>
      <c r="H934" s="96"/>
      <c r="I934" s="96"/>
      <c r="J934" s="5"/>
      <c r="K934" s="5"/>
      <c r="L934" s="5"/>
      <c r="M934" s="5"/>
      <c r="N934" s="5"/>
    </row>
    <row r="935">
      <c r="A935" s="5"/>
      <c r="B935" s="150"/>
      <c r="C935" s="151"/>
      <c r="E935" s="96"/>
      <c r="F935" s="96"/>
      <c r="G935" s="96"/>
      <c r="H935" s="96"/>
      <c r="I935" s="96"/>
      <c r="J935" s="5"/>
      <c r="K935" s="5"/>
      <c r="L935" s="5"/>
      <c r="M935" s="5"/>
      <c r="N935" s="5"/>
    </row>
    <row r="936">
      <c r="A936" s="5"/>
      <c r="B936" s="150"/>
      <c r="C936" s="151"/>
      <c r="E936" s="96"/>
      <c r="F936" s="96"/>
      <c r="G936" s="96"/>
      <c r="H936" s="96"/>
      <c r="I936" s="96"/>
      <c r="J936" s="5"/>
      <c r="K936" s="5"/>
      <c r="L936" s="5"/>
      <c r="M936" s="5"/>
      <c r="N936" s="5"/>
    </row>
    <row r="937">
      <c r="A937" s="5"/>
      <c r="B937" s="150"/>
      <c r="C937" s="151"/>
      <c r="E937" s="96"/>
      <c r="F937" s="96"/>
      <c r="G937" s="96"/>
      <c r="H937" s="96"/>
      <c r="I937" s="96"/>
      <c r="J937" s="5"/>
      <c r="K937" s="5"/>
      <c r="L937" s="5"/>
      <c r="M937" s="5"/>
      <c r="N937" s="5"/>
    </row>
    <row r="938">
      <c r="A938" s="5"/>
      <c r="B938" s="150"/>
      <c r="C938" s="151"/>
      <c r="E938" s="96"/>
      <c r="F938" s="96"/>
      <c r="G938" s="96"/>
      <c r="H938" s="96"/>
      <c r="I938" s="96"/>
      <c r="J938" s="5"/>
      <c r="K938" s="5"/>
      <c r="L938" s="5"/>
      <c r="M938" s="5"/>
      <c r="N938" s="5"/>
    </row>
    <row r="939">
      <c r="A939" s="5"/>
      <c r="B939" s="150"/>
      <c r="C939" s="151"/>
      <c r="E939" s="96"/>
      <c r="F939" s="96"/>
      <c r="G939" s="96"/>
      <c r="H939" s="96"/>
      <c r="I939" s="96"/>
      <c r="J939" s="5"/>
      <c r="K939" s="5"/>
      <c r="L939" s="5"/>
      <c r="M939" s="5"/>
      <c r="N939" s="5"/>
    </row>
    <row r="940">
      <c r="A940" s="5"/>
      <c r="B940" s="150"/>
      <c r="C940" s="151"/>
      <c r="E940" s="96"/>
      <c r="F940" s="96"/>
      <c r="G940" s="96"/>
      <c r="H940" s="96"/>
      <c r="I940" s="96"/>
      <c r="J940" s="5"/>
      <c r="K940" s="5"/>
      <c r="L940" s="5"/>
      <c r="M940" s="5"/>
      <c r="N940" s="5"/>
    </row>
    <row r="941">
      <c r="A941" s="5"/>
      <c r="B941" s="150"/>
      <c r="C941" s="151"/>
      <c r="E941" s="96"/>
      <c r="F941" s="96"/>
      <c r="G941" s="96"/>
      <c r="H941" s="96"/>
      <c r="I941" s="96"/>
      <c r="J941" s="5"/>
      <c r="K941" s="5"/>
      <c r="L941" s="5"/>
      <c r="M941" s="5"/>
      <c r="N941" s="5"/>
    </row>
    <row r="942">
      <c r="A942" s="5"/>
      <c r="B942" s="150"/>
      <c r="C942" s="151"/>
      <c r="E942" s="96"/>
      <c r="F942" s="96"/>
      <c r="G942" s="96"/>
      <c r="H942" s="96"/>
      <c r="I942" s="96"/>
      <c r="J942" s="5"/>
      <c r="K942" s="5"/>
      <c r="L942" s="5"/>
      <c r="M942" s="5"/>
      <c r="N942" s="5"/>
    </row>
    <row r="943">
      <c r="A943" s="5"/>
      <c r="B943" s="150"/>
      <c r="C943" s="151"/>
      <c r="E943" s="96"/>
      <c r="F943" s="96"/>
      <c r="G943" s="96"/>
      <c r="H943" s="96"/>
      <c r="I943" s="96"/>
      <c r="J943" s="5"/>
      <c r="K943" s="5"/>
      <c r="L943" s="5"/>
      <c r="M943" s="5"/>
      <c r="N943" s="5"/>
    </row>
    <row r="944">
      <c r="A944" s="5"/>
      <c r="B944" s="150"/>
      <c r="C944" s="151"/>
      <c r="E944" s="96"/>
      <c r="F944" s="96"/>
      <c r="G944" s="96"/>
      <c r="H944" s="96"/>
      <c r="I944" s="96"/>
      <c r="J944" s="5"/>
      <c r="K944" s="5"/>
      <c r="L944" s="5"/>
      <c r="M944" s="5"/>
      <c r="N944" s="5"/>
    </row>
    <row r="945">
      <c r="A945" s="5"/>
      <c r="B945" s="150"/>
      <c r="C945" s="151"/>
      <c r="E945" s="96"/>
      <c r="F945" s="96"/>
      <c r="G945" s="96"/>
      <c r="H945" s="96"/>
      <c r="I945" s="96"/>
      <c r="J945" s="5"/>
      <c r="K945" s="5"/>
      <c r="L945" s="5"/>
      <c r="M945" s="5"/>
      <c r="N945" s="5"/>
    </row>
    <row r="946">
      <c r="A946" s="5"/>
      <c r="B946" s="150"/>
      <c r="C946" s="151"/>
      <c r="E946" s="96"/>
      <c r="F946" s="96"/>
      <c r="G946" s="96"/>
      <c r="H946" s="96"/>
      <c r="I946" s="96"/>
      <c r="J946" s="5"/>
      <c r="K946" s="5"/>
      <c r="L946" s="5"/>
      <c r="M946" s="5"/>
      <c r="N946" s="5"/>
    </row>
    <row r="947">
      <c r="A947" s="5"/>
      <c r="B947" s="150"/>
      <c r="C947" s="151"/>
      <c r="E947" s="96"/>
      <c r="F947" s="96"/>
      <c r="G947" s="96"/>
      <c r="H947" s="96"/>
      <c r="I947" s="96"/>
      <c r="J947" s="5"/>
      <c r="K947" s="5"/>
      <c r="L947" s="5"/>
      <c r="M947" s="5"/>
      <c r="N947" s="5"/>
    </row>
    <row r="948">
      <c r="A948" s="5"/>
      <c r="B948" s="150"/>
      <c r="C948" s="151"/>
      <c r="E948" s="96"/>
      <c r="F948" s="96"/>
      <c r="G948" s="96"/>
      <c r="H948" s="96"/>
      <c r="I948" s="96"/>
      <c r="J948" s="5"/>
      <c r="K948" s="5"/>
      <c r="L948" s="5"/>
      <c r="M948" s="5"/>
      <c r="N948" s="5"/>
    </row>
    <row r="949">
      <c r="A949" s="5"/>
      <c r="B949" s="150"/>
      <c r="C949" s="151"/>
      <c r="E949" s="96"/>
      <c r="F949" s="96"/>
      <c r="G949" s="96"/>
      <c r="H949" s="96"/>
      <c r="I949" s="96"/>
      <c r="J949" s="5"/>
      <c r="K949" s="5"/>
      <c r="L949" s="5"/>
      <c r="M949" s="5"/>
      <c r="N949" s="5"/>
    </row>
    <row r="950">
      <c r="A950" s="5"/>
      <c r="B950" s="150"/>
      <c r="C950" s="151"/>
      <c r="E950" s="96"/>
      <c r="F950" s="96"/>
      <c r="G950" s="96"/>
      <c r="H950" s="96"/>
      <c r="I950" s="96"/>
      <c r="J950" s="5"/>
      <c r="K950" s="5"/>
      <c r="L950" s="5"/>
      <c r="M950" s="5"/>
      <c r="N950" s="5"/>
    </row>
    <row r="951">
      <c r="A951" s="5"/>
      <c r="B951" s="150"/>
      <c r="C951" s="151"/>
      <c r="E951" s="96"/>
      <c r="F951" s="96"/>
      <c r="G951" s="96"/>
      <c r="H951" s="96"/>
      <c r="I951" s="96"/>
      <c r="J951" s="5"/>
      <c r="K951" s="5"/>
      <c r="L951" s="5"/>
      <c r="M951" s="5"/>
      <c r="N951" s="5"/>
    </row>
    <row r="952">
      <c r="A952" s="5"/>
      <c r="B952" s="150"/>
      <c r="C952" s="151"/>
      <c r="E952" s="96"/>
      <c r="F952" s="96"/>
      <c r="G952" s="96"/>
      <c r="H952" s="96"/>
      <c r="I952" s="96"/>
      <c r="J952" s="5"/>
      <c r="K952" s="5"/>
      <c r="L952" s="5"/>
      <c r="M952" s="5"/>
      <c r="N952" s="5"/>
    </row>
    <row r="953">
      <c r="A953" s="5"/>
      <c r="B953" s="150"/>
      <c r="C953" s="151"/>
      <c r="E953" s="96"/>
      <c r="F953" s="96"/>
      <c r="G953" s="96"/>
      <c r="H953" s="96"/>
      <c r="I953" s="96"/>
      <c r="J953" s="5"/>
      <c r="K953" s="5"/>
      <c r="L953" s="5"/>
      <c r="M953" s="5"/>
      <c r="N953" s="5"/>
    </row>
    <row r="954">
      <c r="A954" s="5"/>
      <c r="B954" s="150"/>
      <c r="C954" s="151"/>
      <c r="E954" s="96"/>
      <c r="F954" s="96"/>
      <c r="G954" s="96"/>
      <c r="H954" s="96"/>
      <c r="I954" s="96"/>
      <c r="J954" s="5"/>
      <c r="K954" s="5"/>
      <c r="L954" s="5"/>
      <c r="M954" s="5"/>
      <c r="N954" s="5"/>
    </row>
    <row r="955">
      <c r="A955" s="5"/>
      <c r="B955" s="150"/>
      <c r="C955" s="151"/>
      <c r="E955" s="96"/>
      <c r="F955" s="96"/>
      <c r="G955" s="96"/>
      <c r="H955" s="96"/>
      <c r="I955" s="96"/>
      <c r="J955" s="5"/>
      <c r="K955" s="5"/>
      <c r="L955" s="5"/>
      <c r="M955" s="5"/>
      <c r="N955" s="5"/>
    </row>
    <row r="956">
      <c r="A956" s="5"/>
      <c r="B956" s="150"/>
      <c r="C956" s="151"/>
      <c r="E956" s="96"/>
      <c r="F956" s="96"/>
      <c r="G956" s="96"/>
      <c r="H956" s="96"/>
      <c r="I956" s="96"/>
      <c r="J956" s="5"/>
      <c r="K956" s="5"/>
      <c r="L956" s="5"/>
      <c r="M956" s="5"/>
      <c r="N956" s="5"/>
    </row>
    <row r="957">
      <c r="A957" s="5"/>
      <c r="B957" s="150"/>
      <c r="C957" s="151"/>
      <c r="E957" s="96"/>
      <c r="F957" s="96"/>
      <c r="G957" s="96"/>
      <c r="H957" s="96"/>
      <c r="I957" s="96"/>
      <c r="J957" s="5"/>
      <c r="K957" s="5"/>
      <c r="L957" s="5"/>
      <c r="M957" s="5"/>
      <c r="N957" s="5"/>
    </row>
    <row r="958">
      <c r="A958" s="5"/>
      <c r="B958" s="150"/>
      <c r="C958" s="151"/>
      <c r="E958" s="96"/>
      <c r="F958" s="96"/>
      <c r="G958" s="96"/>
      <c r="H958" s="96"/>
      <c r="I958" s="96"/>
      <c r="J958" s="5"/>
      <c r="K958" s="5"/>
      <c r="L958" s="5"/>
      <c r="M958" s="5"/>
      <c r="N958" s="5"/>
    </row>
  </sheetData>
  <mergeCells count="2">
    <mergeCell ref="A1:C3"/>
    <mergeCell ref="E3:N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/>
  <cols>
    <col customWidth="1" min="1" max="1" width="5.57"/>
    <col customWidth="1" min="2" max="2" width="21.86"/>
    <col customWidth="1" min="3" max="3" width="6.29"/>
    <col customWidth="1" min="4" max="4" width="4.86"/>
    <col customWidth="1" min="5" max="7" width="5.71"/>
    <col customWidth="1" min="8" max="8" width="5.57"/>
    <col customWidth="1" min="9" max="9" width="6.29"/>
    <col customWidth="1" min="10" max="15" width="5.43"/>
    <col customWidth="1" min="16" max="16" width="8.29"/>
    <col customWidth="1" min="17" max="17" width="7.86"/>
    <col customWidth="1" min="18" max="18" width="3.14"/>
    <col customWidth="1" min="19" max="20" width="5.43"/>
    <col customWidth="1" min="21" max="21" width="5.57"/>
    <col customWidth="1" min="22" max="22" width="5.0"/>
    <col customWidth="1" min="23" max="23" width="6.0"/>
    <col customWidth="1" min="24" max="24" width="3.29"/>
    <col customWidth="1" min="25" max="25" width="4.0"/>
    <col customWidth="1" min="26" max="26" width="3.14"/>
    <col customWidth="1" min="27" max="28" width="3.86"/>
    <col customWidth="1" min="29" max="29" width="4.29"/>
    <col customWidth="1" min="30" max="30" width="5.57"/>
    <col customWidth="1" min="31" max="31" width="6.43"/>
    <col customWidth="1" min="32" max="32" width="2.86"/>
    <col customWidth="1" min="33" max="33" width="5.71"/>
    <col customWidth="1" min="34" max="35" width="5.57"/>
    <col customWidth="1" min="36" max="36" width="5.43"/>
    <col customWidth="1" min="37" max="37" width="5.71"/>
    <col customWidth="1" min="38" max="39" width="6.86"/>
    <col customWidth="1" min="40" max="40" width="2.14"/>
    <col customWidth="1" min="41" max="41" width="6.57"/>
    <col customWidth="1" min="42" max="43" width="5.57"/>
    <col customWidth="1" min="44" max="44" width="6.71"/>
    <col customWidth="1" min="45" max="46" width="5.86"/>
    <col customWidth="1" min="47" max="47" width="7.0"/>
    <col customWidth="1" min="48" max="48" width="3.43"/>
    <col customWidth="1" min="49" max="50" width="5.71"/>
    <col customWidth="1" min="51" max="51" width="5.14"/>
    <col customWidth="1" min="52" max="52" width="5.0"/>
    <col customWidth="1" min="53" max="53" width="5.29"/>
    <col customWidth="1" min="54" max="54" width="6.14"/>
    <col customWidth="1" min="55" max="55" width="6.57"/>
    <col customWidth="1" min="56" max="56" width="34.57"/>
    <col customWidth="1" min="57" max="57" width="3.43"/>
    <col customWidth="1" min="58" max="58" width="49.57"/>
    <col customWidth="1" min="59" max="59" width="3.43"/>
    <col customWidth="1" min="60" max="60" width="10.57"/>
    <col customWidth="1" min="61" max="62" width="5.43"/>
    <col customWidth="1" min="63" max="63" width="5.71"/>
    <col customWidth="1" min="64" max="64" width="6.29"/>
    <col customWidth="1" min="65" max="65" width="6.57"/>
    <col customWidth="1" min="66" max="66" width="8.86"/>
    <col customWidth="1" min="67" max="67" width="15.86"/>
    <col customWidth="1" min="68" max="68" width="18.14"/>
    <col customWidth="1" min="69" max="69" width="18.0"/>
    <col customWidth="1" min="70" max="70" width="23.29"/>
  </cols>
  <sheetData>
    <row r="1" ht="13.5" customHeight="1">
      <c r="A1" s="1" t="s">
        <v>1136</v>
      </c>
      <c r="D1" s="2" t="s">
        <v>1137</v>
      </c>
      <c r="J1" s="3" t="s">
        <v>1138</v>
      </c>
      <c r="P1" s="4" t="s">
        <v>1139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  <c r="BE1" s="5"/>
      <c r="BF1" s="7"/>
      <c r="BH1" s="5"/>
      <c r="BI1" s="5"/>
      <c r="BJ1" s="5"/>
      <c r="BK1" s="5"/>
      <c r="BL1" s="5"/>
      <c r="BM1" s="5"/>
      <c r="BN1" s="5"/>
    </row>
    <row r="2">
      <c r="D2" s="11" t="s">
        <v>1140</v>
      </c>
      <c r="J2" s="12" t="s">
        <v>1141</v>
      </c>
      <c r="P2" s="13" t="s">
        <v>1142</v>
      </c>
      <c r="R2" s="5"/>
      <c r="S2" s="172" t="s">
        <v>1143</v>
      </c>
      <c r="X2" s="14"/>
      <c r="Y2" s="14"/>
      <c r="AD2" s="14"/>
      <c r="AE2" s="14"/>
      <c r="AF2" s="14"/>
      <c r="AG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5" t="s">
        <v>7</v>
      </c>
      <c r="BD2" s="16"/>
      <c r="BE2" s="5"/>
      <c r="BF2" s="16" t="s">
        <v>8</v>
      </c>
      <c r="BH2" s="5"/>
      <c r="BI2" s="5"/>
      <c r="BJ2" s="5"/>
      <c r="BK2" s="5"/>
      <c r="BL2" s="5"/>
      <c r="BM2" s="5"/>
      <c r="BN2" s="5"/>
    </row>
    <row r="3" ht="20.25" customHeight="1">
      <c r="D3" s="20" t="s">
        <v>9</v>
      </c>
      <c r="R3" s="21"/>
      <c r="S3" s="173" t="s">
        <v>1144</v>
      </c>
      <c r="X3" s="34"/>
      <c r="Y3" s="174" t="s">
        <v>1145</v>
      </c>
      <c r="AF3" s="34"/>
      <c r="AG3" s="22" t="s">
        <v>10</v>
      </c>
      <c r="AO3" s="23" t="s">
        <v>1146</v>
      </c>
      <c r="AW3" s="24" t="s">
        <v>12</v>
      </c>
      <c r="BD3" s="25"/>
      <c r="BE3" s="5"/>
      <c r="BF3" s="26" t="s">
        <v>13</v>
      </c>
      <c r="BG3" s="27"/>
      <c r="BH3" s="28" t="s">
        <v>14</v>
      </c>
      <c r="BP3" s="29" t="s">
        <v>15</v>
      </c>
      <c r="BQ3" s="30"/>
      <c r="BR3" s="31"/>
    </row>
    <row r="4" ht="37.5" customHeight="1">
      <c r="A4" s="35" t="s">
        <v>16</v>
      </c>
      <c r="B4" s="36" t="s">
        <v>17</v>
      </c>
      <c r="C4" s="37" t="s">
        <v>18</v>
      </c>
      <c r="D4" s="38" t="s">
        <v>19</v>
      </c>
      <c r="E4" s="38" t="s">
        <v>20</v>
      </c>
      <c r="F4" s="38" t="s">
        <v>21</v>
      </c>
      <c r="G4" s="38" t="s">
        <v>22</v>
      </c>
      <c r="H4" s="38" t="s">
        <v>23</v>
      </c>
      <c r="I4" s="38" t="s">
        <v>24</v>
      </c>
      <c r="J4" s="39" t="s">
        <v>19</v>
      </c>
      <c r="K4" s="39" t="s">
        <v>20</v>
      </c>
      <c r="L4" s="39" t="s">
        <v>21</v>
      </c>
      <c r="M4" s="39" t="s">
        <v>22</v>
      </c>
      <c r="N4" s="39" t="s">
        <v>23</v>
      </c>
      <c r="O4" s="39" t="s">
        <v>24</v>
      </c>
      <c r="P4" s="40" t="s">
        <v>25</v>
      </c>
      <c r="Q4" s="40" t="s">
        <v>26</v>
      </c>
      <c r="R4" s="32"/>
      <c r="S4" s="38" t="s">
        <v>20</v>
      </c>
      <c r="T4" s="38" t="s">
        <v>21</v>
      </c>
      <c r="U4" s="38" t="s">
        <v>22</v>
      </c>
      <c r="V4" s="38" t="s">
        <v>23</v>
      </c>
      <c r="W4" s="38" t="s">
        <v>24</v>
      </c>
      <c r="X4" s="32"/>
      <c r="Y4" s="38" t="s">
        <v>20</v>
      </c>
      <c r="Z4" s="38" t="s">
        <v>21</v>
      </c>
      <c r="AA4" s="38" t="s">
        <v>22</v>
      </c>
      <c r="AB4" s="38" t="s">
        <v>23</v>
      </c>
      <c r="AC4" s="38" t="s">
        <v>24</v>
      </c>
      <c r="AD4" s="41" t="s">
        <v>27</v>
      </c>
      <c r="AE4" s="41" t="s">
        <v>28</v>
      </c>
      <c r="AF4" s="32"/>
      <c r="AG4" s="38" t="s">
        <v>20</v>
      </c>
      <c r="AH4" s="38" t="s">
        <v>21</v>
      </c>
      <c r="AI4" s="38" t="s">
        <v>22</v>
      </c>
      <c r="AJ4" s="38" t="s">
        <v>23</v>
      </c>
      <c r="AK4" s="38" t="s">
        <v>24</v>
      </c>
      <c r="AL4" s="41" t="s">
        <v>27</v>
      </c>
      <c r="AM4" s="41" t="s">
        <v>28</v>
      </c>
      <c r="AO4" s="38" t="s">
        <v>20</v>
      </c>
      <c r="AP4" s="38" t="s">
        <v>21</v>
      </c>
      <c r="AQ4" s="38" t="s">
        <v>22</v>
      </c>
      <c r="AR4" s="38" t="s">
        <v>23</v>
      </c>
      <c r="AS4" s="38" t="s">
        <v>24</v>
      </c>
      <c r="AT4" s="41" t="s">
        <v>27</v>
      </c>
      <c r="AU4" s="41" t="s">
        <v>28</v>
      </c>
      <c r="AW4" s="42" t="s">
        <v>20</v>
      </c>
      <c r="AX4" s="42" t="s">
        <v>21</v>
      </c>
      <c r="AY4" s="42" t="s">
        <v>22</v>
      </c>
      <c r="AZ4" s="42" t="s">
        <v>23</v>
      </c>
      <c r="BA4" s="42" t="s">
        <v>24</v>
      </c>
      <c r="BB4" s="43" t="s">
        <v>29</v>
      </c>
      <c r="BC4" s="43" t="s">
        <v>30</v>
      </c>
      <c r="BD4" s="43" t="s">
        <v>31</v>
      </c>
      <c r="BE4" s="5"/>
      <c r="BF4" s="175" t="s">
        <v>1147</v>
      </c>
      <c r="BG4" s="5"/>
      <c r="BH4" s="42" t="s">
        <v>20</v>
      </c>
      <c r="BI4" s="42" t="s">
        <v>21</v>
      </c>
      <c r="BJ4" s="42" t="s">
        <v>22</v>
      </c>
      <c r="BK4" s="42" t="s">
        <v>23</v>
      </c>
      <c r="BL4" s="42" t="s">
        <v>24</v>
      </c>
      <c r="BM4" s="43" t="s">
        <v>29</v>
      </c>
      <c r="BN4" s="43" t="s">
        <v>26</v>
      </c>
      <c r="BO4" s="43" t="s">
        <v>31</v>
      </c>
      <c r="BP4" s="45" t="s">
        <v>32</v>
      </c>
      <c r="BQ4" s="45" t="s">
        <v>33</v>
      </c>
      <c r="BR4" s="45" t="s">
        <v>34</v>
      </c>
    </row>
    <row r="5">
      <c r="A5" s="176">
        <v>1.0</v>
      </c>
      <c r="B5" s="177" t="s">
        <v>1148</v>
      </c>
      <c r="C5" s="178" t="s">
        <v>1149</v>
      </c>
      <c r="D5" s="50">
        <v>0.0</v>
      </c>
      <c r="E5" s="50">
        <v>0.0</v>
      </c>
      <c r="F5" s="179">
        <v>0.0</v>
      </c>
      <c r="G5" s="179">
        <v>0.0</v>
      </c>
      <c r="H5" s="179">
        <v>0.0</v>
      </c>
      <c r="I5" s="179">
        <v>0.0</v>
      </c>
      <c r="J5" s="50">
        <v>0.0</v>
      </c>
      <c r="K5" s="50">
        <v>0.0</v>
      </c>
      <c r="L5" s="50">
        <v>0.0</v>
      </c>
      <c r="M5" s="50">
        <v>0.0</v>
      </c>
      <c r="N5" s="50">
        <v>0.0</v>
      </c>
      <c r="O5" s="50">
        <v>0.0</v>
      </c>
      <c r="P5" s="180">
        <v>1.0</v>
      </c>
      <c r="Q5" s="180">
        <v>1.0</v>
      </c>
      <c r="R5" s="181"/>
      <c r="S5" s="182">
        <v>0.1</v>
      </c>
      <c r="T5" s="183">
        <v>0.0</v>
      </c>
      <c r="U5" s="183">
        <v>0.03</v>
      </c>
      <c r="V5" s="183">
        <v>0.0</v>
      </c>
      <c r="W5" s="183">
        <v>0.03</v>
      </c>
      <c r="X5" s="181"/>
      <c r="Y5" s="176">
        <v>0.0</v>
      </c>
      <c r="Z5" s="176">
        <v>0.0</v>
      </c>
      <c r="AA5" s="176">
        <v>0.0</v>
      </c>
      <c r="AB5" s="176">
        <v>0.0</v>
      </c>
      <c r="AC5" s="176">
        <v>0.0</v>
      </c>
      <c r="AD5" s="176">
        <v>0.0</v>
      </c>
      <c r="AE5" s="176">
        <v>0.0</v>
      </c>
      <c r="AF5" s="181"/>
      <c r="AG5" s="47">
        <v>0.1</v>
      </c>
      <c r="AH5" s="47">
        <v>0.0</v>
      </c>
      <c r="AI5" s="47">
        <v>0.03</v>
      </c>
      <c r="AJ5" s="47">
        <v>0.0</v>
      </c>
      <c r="AK5" s="47">
        <v>0.03</v>
      </c>
      <c r="AL5" s="54"/>
      <c r="AM5" s="54"/>
      <c r="AN5" s="181"/>
      <c r="AO5" s="184">
        <f t="shared" ref="AO5:AS5" si="1">ROUND(E5*(5/12)+K5*(5/12)+S5+Y5-AG5,2)</f>
        <v>0</v>
      </c>
      <c r="AP5" s="184">
        <f t="shared" si="1"/>
        <v>0</v>
      </c>
      <c r="AQ5" s="184">
        <f t="shared" si="1"/>
        <v>0</v>
      </c>
      <c r="AR5" s="184">
        <f t="shared" si="1"/>
        <v>0</v>
      </c>
      <c r="AS5" s="184">
        <f t="shared" si="1"/>
        <v>0</v>
      </c>
      <c r="AT5" s="184">
        <f t="shared" ref="AT5:AU5" si="2">P5+AD5-AL5</f>
        <v>1</v>
      </c>
      <c r="AU5" s="184">
        <f t="shared" si="2"/>
        <v>1</v>
      </c>
      <c r="AV5" s="181"/>
      <c r="AW5" s="176" t="s">
        <v>913</v>
      </c>
      <c r="AX5" s="176" t="s">
        <v>913</v>
      </c>
      <c r="AY5" s="176" t="s">
        <v>913</v>
      </c>
      <c r="AZ5" s="176" t="s">
        <v>913</v>
      </c>
      <c r="BA5" s="176" t="s">
        <v>913</v>
      </c>
      <c r="BB5" s="176">
        <v>1.0</v>
      </c>
      <c r="BC5" s="176">
        <v>1.0</v>
      </c>
      <c r="BD5" s="180" t="s">
        <v>1150</v>
      </c>
      <c r="BE5" s="181"/>
      <c r="BF5" s="185" t="s">
        <v>1151</v>
      </c>
      <c r="BG5" s="186"/>
      <c r="BH5" s="54"/>
      <c r="BI5" s="54"/>
      <c r="BJ5" s="54"/>
      <c r="BK5" s="54"/>
      <c r="BL5" s="54"/>
      <c r="BM5" s="54"/>
      <c r="BN5" s="54"/>
      <c r="BO5" s="57"/>
      <c r="BP5" s="58" t="s">
        <v>1152</v>
      </c>
      <c r="BQ5" s="57"/>
      <c r="BR5" s="57"/>
    </row>
    <row r="6">
      <c r="A6" s="176">
        <v>2.0</v>
      </c>
      <c r="B6" s="177" t="s">
        <v>1153</v>
      </c>
      <c r="C6" s="178" t="s">
        <v>1149</v>
      </c>
      <c r="D6" s="50">
        <v>2.0</v>
      </c>
      <c r="E6" s="50">
        <v>1.5</v>
      </c>
      <c r="F6" s="179">
        <v>0.0</v>
      </c>
      <c r="G6" s="179">
        <v>0.3</v>
      </c>
      <c r="H6" s="179">
        <v>0.0</v>
      </c>
      <c r="I6" s="179">
        <v>0.2</v>
      </c>
      <c r="J6" s="50">
        <v>2.0</v>
      </c>
      <c r="K6" s="50">
        <v>1.4</v>
      </c>
      <c r="L6" s="50">
        <v>0.0</v>
      </c>
      <c r="M6" s="50">
        <v>0.4</v>
      </c>
      <c r="N6" s="50">
        <v>0.0</v>
      </c>
      <c r="O6" s="50">
        <v>0.2</v>
      </c>
      <c r="P6" s="180">
        <v>1.0</v>
      </c>
      <c r="Q6" s="180">
        <v>1.0</v>
      </c>
      <c r="R6" s="62"/>
      <c r="S6" s="182">
        <v>0.1</v>
      </c>
      <c r="T6" s="183">
        <v>0.0</v>
      </c>
      <c r="U6" s="183">
        <v>0.0</v>
      </c>
      <c r="V6" s="183">
        <v>0.0</v>
      </c>
      <c r="W6" s="183">
        <v>0.02</v>
      </c>
      <c r="X6" s="62"/>
      <c r="Y6" s="176">
        <v>0.0</v>
      </c>
      <c r="Z6" s="176">
        <v>0.0</v>
      </c>
      <c r="AA6" s="176">
        <v>0.0</v>
      </c>
      <c r="AB6" s="176">
        <v>0.0</v>
      </c>
      <c r="AC6" s="176">
        <v>0.0</v>
      </c>
      <c r="AD6" s="176">
        <v>0.0</v>
      </c>
      <c r="AE6" s="176">
        <v>0.0</v>
      </c>
      <c r="AF6" s="62"/>
      <c r="AG6" s="54"/>
      <c r="AH6" s="54"/>
      <c r="AI6" s="47">
        <v>0.02</v>
      </c>
      <c r="AJ6" s="47"/>
      <c r="AK6" s="47">
        <v>0.113</v>
      </c>
      <c r="AL6" s="54"/>
      <c r="AM6" s="47"/>
      <c r="AN6" s="62"/>
      <c r="AO6" s="184">
        <f t="shared" ref="AO6:AS6" si="3">ROUND(E6*(5/12)+K6*(5/12)+S6+Y6-AG6,2)</f>
        <v>1.31</v>
      </c>
      <c r="AP6" s="184">
        <f t="shared" si="3"/>
        <v>0</v>
      </c>
      <c r="AQ6" s="184">
        <f t="shared" si="3"/>
        <v>0.27</v>
      </c>
      <c r="AR6" s="184">
        <f t="shared" si="3"/>
        <v>0</v>
      </c>
      <c r="AS6" s="184">
        <f t="shared" si="3"/>
        <v>0.07</v>
      </c>
      <c r="AT6" s="184">
        <f t="shared" ref="AT6:AU6" si="4">P6+AD6-AL6</f>
        <v>1</v>
      </c>
      <c r="AU6" s="184">
        <f t="shared" si="4"/>
        <v>1</v>
      </c>
      <c r="AV6" s="62"/>
      <c r="AW6" s="176">
        <v>0.0</v>
      </c>
      <c r="AX6" s="176" t="s">
        <v>913</v>
      </c>
      <c r="AY6" s="176">
        <v>0.2</v>
      </c>
      <c r="AZ6" s="176" t="s">
        <v>913</v>
      </c>
      <c r="BA6" s="176">
        <v>0.0</v>
      </c>
      <c r="BB6" s="176">
        <v>0.0</v>
      </c>
      <c r="BC6" s="176">
        <v>1.0</v>
      </c>
      <c r="BD6" s="180" t="s">
        <v>1154</v>
      </c>
      <c r="BE6" s="62"/>
      <c r="BF6" s="62"/>
      <c r="BG6" s="62"/>
      <c r="BH6" s="63"/>
      <c r="BI6" s="63"/>
      <c r="BJ6" s="54"/>
      <c r="BK6" s="54"/>
      <c r="BL6" s="54"/>
      <c r="BM6" s="54"/>
      <c r="BN6" s="54"/>
      <c r="BO6" s="58"/>
      <c r="BP6" s="58" t="s">
        <v>1152</v>
      </c>
      <c r="BQ6" s="58"/>
      <c r="BR6" s="58" t="s">
        <v>1155</v>
      </c>
    </row>
    <row r="7">
      <c r="A7" s="176">
        <v>3.0</v>
      </c>
      <c r="B7" s="177" t="s">
        <v>1156</v>
      </c>
      <c r="C7" s="178" t="s">
        <v>1149</v>
      </c>
      <c r="D7" s="50">
        <v>2.33</v>
      </c>
      <c r="E7" s="50">
        <v>1.17</v>
      </c>
      <c r="F7" s="179">
        <v>0.2</v>
      </c>
      <c r="G7" s="179">
        <v>0.3</v>
      </c>
      <c r="H7" s="179">
        <v>0.0</v>
      </c>
      <c r="I7" s="179">
        <v>0.0</v>
      </c>
      <c r="J7" s="50">
        <v>1.0</v>
      </c>
      <c r="K7" s="50">
        <v>3.0</v>
      </c>
      <c r="L7" s="50">
        <v>0.0</v>
      </c>
      <c r="M7" s="50">
        <v>0.0</v>
      </c>
      <c r="N7" s="50">
        <v>0.0</v>
      </c>
      <c r="O7" s="50">
        <v>0.0</v>
      </c>
      <c r="P7" s="180">
        <v>1.0</v>
      </c>
      <c r="Q7" s="180">
        <v>1.0</v>
      </c>
      <c r="R7" s="62"/>
      <c r="S7" s="187">
        <v>0.02</v>
      </c>
      <c r="T7" s="188">
        <v>0.03</v>
      </c>
      <c r="U7" s="188">
        <v>0.0</v>
      </c>
      <c r="V7" s="188">
        <v>0.0</v>
      </c>
      <c r="W7" s="188">
        <v>0.0</v>
      </c>
      <c r="X7" s="62"/>
      <c r="Y7" s="176">
        <v>0.0</v>
      </c>
      <c r="Z7" s="176">
        <v>0.0</v>
      </c>
      <c r="AA7" s="176">
        <v>0.0</v>
      </c>
      <c r="AB7" s="176">
        <v>0.0</v>
      </c>
      <c r="AC7" s="176">
        <v>0.0</v>
      </c>
      <c r="AD7" s="176">
        <v>0.0</v>
      </c>
      <c r="AE7" s="176">
        <v>0.0</v>
      </c>
      <c r="AF7" s="62"/>
      <c r="AG7" s="47"/>
      <c r="AH7" s="54"/>
      <c r="AI7" s="54"/>
      <c r="AJ7" s="54"/>
      <c r="AK7" s="54"/>
      <c r="AL7" s="54"/>
      <c r="AM7" s="54"/>
      <c r="AN7" s="62"/>
      <c r="AO7" s="184">
        <f t="shared" ref="AO7:AS7" si="5">ROUND(E7*(5/12)+K7*(5/12)+S7+Y7-AG7,2)</f>
        <v>1.76</v>
      </c>
      <c r="AP7" s="184">
        <f t="shared" si="5"/>
        <v>0.11</v>
      </c>
      <c r="AQ7" s="184">
        <f t="shared" si="5"/>
        <v>0.13</v>
      </c>
      <c r="AR7" s="184">
        <f t="shared" si="5"/>
        <v>0</v>
      </c>
      <c r="AS7" s="184">
        <f t="shared" si="5"/>
        <v>0</v>
      </c>
      <c r="AT7" s="184">
        <f t="shared" ref="AT7:AU7" si="6">P7+AD7-AL7</f>
        <v>1</v>
      </c>
      <c r="AU7" s="184">
        <f t="shared" si="6"/>
        <v>1</v>
      </c>
      <c r="AV7" s="62"/>
      <c r="AW7" s="189">
        <v>0.0</v>
      </c>
      <c r="AX7" s="189">
        <v>0.0</v>
      </c>
      <c r="AY7" s="189">
        <v>0.0</v>
      </c>
      <c r="AZ7" s="189">
        <v>0.0</v>
      </c>
      <c r="BA7" s="189">
        <v>0.0</v>
      </c>
      <c r="BB7" s="189">
        <v>0.0</v>
      </c>
      <c r="BC7" s="189">
        <v>0.0</v>
      </c>
      <c r="BD7" s="190" t="s">
        <v>1157</v>
      </c>
      <c r="BE7" s="62"/>
      <c r="BF7" s="62"/>
      <c r="BG7" s="62"/>
      <c r="BH7" s="54"/>
      <c r="BI7" s="54"/>
      <c r="BJ7" s="54"/>
      <c r="BK7" s="54"/>
      <c r="BL7" s="54"/>
      <c r="BM7" s="54"/>
      <c r="BN7" s="54"/>
      <c r="BO7" s="57"/>
      <c r="BP7" s="58"/>
      <c r="BQ7" s="57"/>
      <c r="BR7" s="57"/>
    </row>
    <row r="8">
      <c r="A8" s="176">
        <v>4.0</v>
      </c>
      <c r="B8" s="177" t="s">
        <v>81</v>
      </c>
      <c r="C8" s="178" t="s">
        <v>1149</v>
      </c>
      <c r="D8" s="50">
        <v>3.33</v>
      </c>
      <c r="E8" s="50">
        <v>0.27</v>
      </c>
      <c r="F8" s="179">
        <v>0.2</v>
      </c>
      <c r="G8" s="179">
        <v>0.2</v>
      </c>
      <c r="H8" s="179">
        <v>0.0</v>
      </c>
      <c r="I8" s="179">
        <v>0.0</v>
      </c>
      <c r="J8" s="50">
        <v>2.33</v>
      </c>
      <c r="K8" s="50">
        <v>0.67</v>
      </c>
      <c r="L8" s="50">
        <v>0.2</v>
      </c>
      <c r="M8" s="50">
        <v>0.8</v>
      </c>
      <c r="N8" s="50">
        <v>0.0</v>
      </c>
      <c r="O8" s="50">
        <v>0.0</v>
      </c>
      <c r="P8" s="180">
        <v>1.0</v>
      </c>
      <c r="Q8" s="180">
        <v>1.0</v>
      </c>
      <c r="R8" s="62"/>
      <c r="S8" s="187">
        <v>0.0</v>
      </c>
      <c r="T8" s="188">
        <v>0.03</v>
      </c>
      <c r="U8" s="188">
        <v>0.13</v>
      </c>
      <c r="V8" s="188">
        <v>0.0</v>
      </c>
      <c r="W8" s="188">
        <v>0.0</v>
      </c>
      <c r="X8" s="62"/>
      <c r="Y8" s="176">
        <v>0.0</v>
      </c>
      <c r="Z8" s="176">
        <v>0.0</v>
      </c>
      <c r="AA8" s="176">
        <v>0.0</v>
      </c>
      <c r="AB8" s="176">
        <v>0.0</v>
      </c>
      <c r="AC8" s="176">
        <v>0.0</v>
      </c>
      <c r="AD8" s="176">
        <v>0.0</v>
      </c>
      <c r="AE8" s="176">
        <v>0.0</v>
      </c>
      <c r="AF8" s="62"/>
      <c r="AG8" s="47">
        <v>0.71</v>
      </c>
      <c r="AH8" s="47">
        <v>0.037</v>
      </c>
      <c r="AI8" s="54"/>
      <c r="AJ8" s="54"/>
      <c r="AK8" s="54"/>
      <c r="AL8" s="54"/>
      <c r="AM8" s="54"/>
      <c r="AN8" s="62"/>
      <c r="AO8" s="184">
        <f t="shared" ref="AO8:AS8" si="7">ROUND(E8*(5/12)+K8*(5/12)+S8+Y8-AG8,2)</f>
        <v>-0.32</v>
      </c>
      <c r="AP8" s="184">
        <f t="shared" si="7"/>
        <v>0.16</v>
      </c>
      <c r="AQ8" s="184">
        <f t="shared" si="7"/>
        <v>0.55</v>
      </c>
      <c r="AR8" s="184">
        <f t="shared" si="7"/>
        <v>0</v>
      </c>
      <c r="AS8" s="184">
        <f t="shared" si="7"/>
        <v>0</v>
      </c>
      <c r="AT8" s="184">
        <f t="shared" ref="AT8:AU8" si="8">P8+AD8-AL8</f>
        <v>1</v>
      </c>
      <c r="AU8" s="184">
        <f t="shared" si="8"/>
        <v>1</v>
      </c>
      <c r="AV8" s="62"/>
      <c r="AW8" s="176">
        <v>0.0</v>
      </c>
      <c r="AX8" s="176">
        <v>0.2</v>
      </c>
      <c r="AY8" s="176">
        <v>0.65</v>
      </c>
      <c r="AZ8" s="176" t="s">
        <v>913</v>
      </c>
      <c r="BA8" s="176" t="s">
        <v>913</v>
      </c>
      <c r="BB8" s="176">
        <v>1.0</v>
      </c>
      <c r="BC8" s="176">
        <v>1.0</v>
      </c>
      <c r="BD8" s="191" t="s">
        <v>1158</v>
      </c>
      <c r="BE8" s="62"/>
      <c r="BF8" s="62"/>
      <c r="BG8" s="62"/>
      <c r="BH8" s="192"/>
      <c r="BI8" s="72"/>
      <c r="BJ8" s="54"/>
      <c r="BK8" s="54"/>
      <c r="BL8" s="54"/>
      <c r="BM8" s="54"/>
      <c r="BN8" s="54"/>
      <c r="BO8" s="57"/>
      <c r="BP8" s="58" t="s">
        <v>1152</v>
      </c>
      <c r="BQ8" s="58" t="s">
        <v>1159</v>
      </c>
      <c r="BR8" s="57"/>
    </row>
    <row r="9">
      <c r="A9" s="176">
        <v>5.0</v>
      </c>
      <c r="B9" s="177" t="s">
        <v>1160</v>
      </c>
      <c r="C9" s="178" t="s">
        <v>1149</v>
      </c>
      <c r="D9" s="50">
        <v>3.33</v>
      </c>
      <c r="E9" s="50">
        <v>0.47</v>
      </c>
      <c r="F9" s="179">
        <v>0.2</v>
      </c>
      <c r="G9" s="179">
        <v>0.0</v>
      </c>
      <c r="H9" s="179">
        <v>0.0</v>
      </c>
      <c r="I9" s="179">
        <v>0.0</v>
      </c>
      <c r="J9" s="50">
        <v>3.0</v>
      </c>
      <c r="K9" s="50">
        <v>0.8</v>
      </c>
      <c r="L9" s="50">
        <v>0.2</v>
      </c>
      <c r="M9" s="50">
        <v>0.0</v>
      </c>
      <c r="N9" s="50">
        <v>0.0</v>
      </c>
      <c r="O9" s="50">
        <v>0.0</v>
      </c>
      <c r="P9" s="180">
        <v>1.0</v>
      </c>
      <c r="Q9" s="180">
        <v>1.0</v>
      </c>
      <c r="R9" s="62"/>
      <c r="S9" s="182">
        <v>0.04</v>
      </c>
      <c r="T9" s="183">
        <v>0.02</v>
      </c>
      <c r="U9" s="183">
        <v>0.0</v>
      </c>
      <c r="V9" s="183">
        <v>0.0</v>
      </c>
      <c r="W9" s="183">
        <v>0.0</v>
      </c>
      <c r="X9" s="62"/>
      <c r="Y9" s="176">
        <v>0.0</v>
      </c>
      <c r="Z9" s="176">
        <v>0.0</v>
      </c>
      <c r="AA9" s="176">
        <v>0.0</v>
      </c>
      <c r="AB9" s="176">
        <v>0.0</v>
      </c>
      <c r="AC9" s="176">
        <v>0.0</v>
      </c>
      <c r="AD9" s="176">
        <v>0.0</v>
      </c>
      <c r="AE9" s="176">
        <v>0.0</v>
      </c>
      <c r="AF9" s="62"/>
      <c r="AG9" s="47"/>
      <c r="AH9" s="54"/>
      <c r="AI9" s="54"/>
      <c r="AJ9" s="47"/>
      <c r="AK9" s="54"/>
      <c r="AL9" s="54"/>
      <c r="AM9" s="54"/>
      <c r="AN9" s="62"/>
      <c r="AO9" s="184">
        <f t="shared" ref="AO9:AS9" si="9">ROUND(E9*(5/12)+K9*(5/12)+S9+Y9-AG9,2)</f>
        <v>0.57</v>
      </c>
      <c r="AP9" s="184">
        <f t="shared" si="9"/>
        <v>0.19</v>
      </c>
      <c r="AQ9" s="184">
        <f t="shared" si="9"/>
        <v>0</v>
      </c>
      <c r="AR9" s="184">
        <f t="shared" si="9"/>
        <v>0</v>
      </c>
      <c r="AS9" s="184">
        <f t="shared" si="9"/>
        <v>0</v>
      </c>
      <c r="AT9" s="184">
        <f t="shared" ref="AT9:AU9" si="10">P9+AD9-AL9</f>
        <v>1</v>
      </c>
      <c r="AU9" s="184">
        <f t="shared" si="10"/>
        <v>1</v>
      </c>
      <c r="AV9" s="62"/>
      <c r="AW9" s="180">
        <v>0.5</v>
      </c>
      <c r="AX9" s="180">
        <v>0.19</v>
      </c>
      <c r="AY9" s="193" t="s">
        <v>913</v>
      </c>
      <c r="AZ9" s="176" t="s">
        <v>913</v>
      </c>
      <c r="BA9" s="176" t="s">
        <v>913</v>
      </c>
      <c r="BB9" s="176">
        <v>1.0</v>
      </c>
      <c r="BC9" s="176">
        <v>1.0</v>
      </c>
      <c r="BD9" s="194" t="s">
        <v>1161</v>
      </c>
      <c r="BE9" s="62"/>
      <c r="BF9" s="62"/>
      <c r="BG9" s="62"/>
      <c r="BH9" s="54"/>
      <c r="BI9" s="54"/>
      <c r="BJ9" s="54"/>
      <c r="BK9" s="54"/>
      <c r="BL9" s="54"/>
      <c r="BM9" s="54"/>
      <c r="BN9" s="54"/>
      <c r="BO9" s="57"/>
      <c r="BP9" s="58" t="s">
        <v>1152</v>
      </c>
      <c r="BQ9" s="58" t="s">
        <v>1162</v>
      </c>
      <c r="BR9" s="57"/>
    </row>
    <row r="10">
      <c r="A10" s="176">
        <v>6.0</v>
      </c>
      <c r="B10" s="177" t="s">
        <v>1163</v>
      </c>
      <c r="C10" s="178" t="s">
        <v>1149</v>
      </c>
      <c r="D10" s="50">
        <v>3.33</v>
      </c>
      <c r="E10" s="50">
        <v>0.47</v>
      </c>
      <c r="F10" s="179">
        <v>0.2</v>
      </c>
      <c r="G10" s="179">
        <v>0.0</v>
      </c>
      <c r="H10" s="179">
        <v>0.0</v>
      </c>
      <c r="I10" s="179">
        <v>0.0</v>
      </c>
      <c r="J10" s="176">
        <v>1.0</v>
      </c>
      <c r="K10" s="176">
        <v>2.8</v>
      </c>
      <c r="L10" s="176">
        <v>0.2</v>
      </c>
      <c r="M10" s="50">
        <v>0.0</v>
      </c>
      <c r="N10" s="50">
        <v>0.0</v>
      </c>
      <c r="O10" s="50">
        <v>0.0</v>
      </c>
      <c r="P10" s="180">
        <v>1.0</v>
      </c>
      <c r="Q10" s="180">
        <v>1.0</v>
      </c>
      <c r="R10" s="62"/>
      <c r="S10" s="187">
        <v>0.04</v>
      </c>
      <c r="T10" s="188">
        <v>0.0</v>
      </c>
      <c r="U10" s="188">
        <v>0.0</v>
      </c>
      <c r="V10" s="188">
        <v>0.0</v>
      </c>
      <c r="W10" s="188">
        <v>0.02</v>
      </c>
      <c r="X10" s="62"/>
      <c r="Y10" s="176">
        <v>0.0</v>
      </c>
      <c r="Z10" s="176">
        <v>0.0</v>
      </c>
      <c r="AA10" s="176">
        <v>0.0</v>
      </c>
      <c r="AB10" s="176">
        <v>0.0</v>
      </c>
      <c r="AC10" s="176">
        <v>0.0</v>
      </c>
      <c r="AD10" s="176">
        <v>0.0</v>
      </c>
      <c r="AE10" s="176">
        <v>0.0</v>
      </c>
      <c r="AF10" s="62"/>
      <c r="AG10" s="54"/>
      <c r="AH10" s="54"/>
      <c r="AI10" s="54"/>
      <c r="AJ10" s="54"/>
      <c r="AK10" s="54"/>
      <c r="AL10" s="54"/>
      <c r="AM10" s="54"/>
      <c r="AN10" s="62"/>
      <c r="AO10" s="184">
        <f t="shared" ref="AO10:AS10" si="11">ROUND(E10*(5/12)+K10*(5/12)+S10+Y10-AG10,2)</f>
        <v>1.4</v>
      </c>
      <c r="AP10" s="184">
        <f t="shared" si="11"/>
        <v>0.17</v>
      </c>
      <c r="AQ10" s="184">
        <f t="shared" si="11"/>
        <v>0</v>
      </c>
      <c r="AR10" s="184">
        <f t="shared" si="11"/>
        <v>0</v>
      </c>
      <c r="AS10" s="184">
        <f t="shared" si="11"/>
        <v>0.02</v>
      </c>
      <c r="AT10" s="184">
        <f t="shared" ref="AT10:AU10" si="12">P10+AD10-AL10</f>
        <v>1</v>
      </c>
      <c r="AU10" s="184">
        <f t="shared" si="12"/>
        <v>1</v>
      </c>
      <c r="AV10" s="62"/>
      <c r="AW10" s="176">
        <v>0.0</v>
      </c>
      <c r="AX10" s="176">
        <v>0.0</v>
      </c>
      <c r="AY10" s="176">
        <v>0.0</v>
      </c>
      <c r="AZ10" s="176">
        <v>0.0</v>
      </c>
      <c r="BA10" s="176">
        <v>0.0</v>
      </c>
      <c r="BB10" s="176">
        <v>0.0</v>
      </c>
      <c r="BC10" s="176">
        <v>0.0</v>
      </c>
      <c r="BD10" s="195" t="s">
        <v>1164</v>
      </c>
      <c r="BE10" s="62"/>
      <c r="BF10" s="62"/>
      <c r="BG10" s="62"/>
      <c r="BH10" s="54"/>
      <c r="BI10" s="54"/>
      <c r="BJ10" s="54"/>
      <c r="BK10" s="54"/>
      <c r="BL10" s="54"/>
      <c r="BM10" s="54"/>
      <c r="BN10" s="54"/>
      <c r="BO10" s="57"/>
      <c r="BP10" s="57"/>
      <c r="BQ10" s="57"/>
      <c r="BR10" s="57"/>
    </row>
    <row r="11">
      <c r="A11" s="176">
        <v>7.0</v>
      </c>
      <c r="B11" s="177" t="s">
        <v>1165</v>
      </c>
      <c r="C11" s="178" t="s">
        <v>1149</v>
      </c>
      <c r="D11" s="50">
        <v>3.33</v>
      </c>
      <c r="E11" s="50">
        <v>0.67</v>
      </c>
      <c r="F11" s="179">
        <v>0.0</v>
      </c>
      <c r="G11" s="179">
        <v>0.0</v>
      </c>
      <c r="H11" s="179">
        <v>0.0</v>
      </c>
      <c r="I11" s="179">
        <v>0.0</v>
      </c>
      <c r="J11" s="176">
        <v>2.67</v>
      </c>
      <c r="K11" s="176">
        <v>0.33</v>
      </c>
      <c r="L11" s="176">
        <v>0.0</v>
      </c>
      <c r="M11" s="50">
        <v>0.0</v>
      </c>
      <c r="N11" s="50">
        <v>0.0</v>
      </c>
      <c r="O11" s="50">
        <v>0.0</v>
      </c>
      <c r="P11" s="180">
        <v>1.0</v>
      </c>
      <c r="Q11" s="180">
        <v>1.0</v>
      </c>
      <c r="R11" s="62"/>
      <c r="S11" s="187">
        <v>0.04</v>
      </c>
      <c r="T11" s="188">
        <v>0.02</v>
      </c>
      <c r="U11" s="188">
        <v>0.0</v>
      </c>
      <c r="V11" s="188">
        <v>0.0</v>
      </c>
      <c r="W11" s="188">
        <v>0.0</v>
      </c>
      <c r="X11" s="62"/>
      <c r="Y11" s="176">
        <v>0.0</v>
      </c>
      <c r="Z11" s="176">
        <v>0.0</v>
      </c>
      <c r="AA11" s="176">
        <v>0.0</v>
      </c>
      <c r="AB11" s="176">
        <v>0.0</v>
      </c>
      <c r="AC11" s="176">
        <v>0.0</v>
      </c>
      <c r="AD11" s="176">
        <v>0.0</v>
      </c>
      <c r="AE11" s="176">
        <v>0.0</v>
      </c>
      <c r="AF11" s="62"/>
      <c r="AG11" s="47"/>
      <c r="AH11" s="54"/>
      <c r="AI11" s="54"/>
      <c r="AJ11" s="54"/>
      <c r="AK11" s="54"/>
      <c r="AL11" s="54"/>
      <c r="AM11" s="47">
        <v>1.0</v>
      </c>
      <c r="AN11" s="62"/>
      <c r="AO11" s="184">
        <f t="shared" ref="AO11:AS11" si="13">ROUND(E11*(5/12)+K11*(5/12)+S11+Y11-AG11,2)</f>
        <v>0.46</v>
      </c>
      <c r="AP11" s="184">
        <f t="shared" si="13"/>
        <v>0.02</v>
      </c>
      <c r="AQ11" s="184">
        <f t="shared" si="13"/>
        <v>0</v>
      </c>
      <c r="AR11" s="184">
        <f t="shared" si="13"/>
        <v>0</v>
      </c>
      <c r="AS11" s="184">
        <f t="shared" si="13"/>
        <v>0</v>
      </c>
      <c r="AT11" s="184">
        <f t="shared" ref="AT11:AU11" si="14">P11+AD11-AL11</f>
        <v>1</v>
      </c>
      <c r="AU11" s="184">
        <f t="shared" si="14"/>
        <v>0</v>
      </c>
      <c r="AV11" s="62"/>
      <c r="AW11" s="176">
        <v>0.0</v>
      </c>
      <c r="AX11" s="176">
        <v>0.0</v>
      </c>
      <c r="AY11" s="176" t="s">
        <v>913</v>
      </c>
      <c r="AZ11" s="176" t="s">
        <v>913</v>
      </c>
      <c r="BA11" s="176" t="s">
        <v>913</v>
      </c>
      <c r="BB11" s="176">
        <v>1.0</v>
      </c>
      <c r="BC11" s="176" t="s">
        <v>913</v>
      </c>
      <c r="BD11" s="195" t="s">
        <v>1166</v>
      </c>
      <c r="BE11" s="62"/>
      <c r="BF11" s="62"/>
      <c r="BG11" s="62"/>
      <c r="BH11" s="54"/>
      <c r="BI11" s="54"/>
      <c r="BJ11" s="54"/>
      <c r="BK11" s="54"/>
      <c r="BL11" s="54"/>
      <c r="BM11" s="54"/>
      <c r="BN11" s="54"/>
      <c r="BO11" s="57"/>
      <c r="BP11" s="58" t="s">
        <v>1152</v>
      </c>
      <c r="BQ11" s="57"/>
      <c r="BR11" s="57"/>
    </row>
    <row r="12">
      <c r="A12" s="176">
        <v>8.0</v>
      </c>
      <c r="B12" s="177" t="s">
        <v>1167</v>
      </c>
      <c r="C12" s="178" t="s">
        <v>1149</v>
      </c>
      <c r="D12" s="50">
        <v>2.0</v>
      </c>
      <c r="E12" s="50">
        <v>1.0</v>
      </c>
      <c r="F12" s="179">
        <v>0.0</v>
      </c>
      <c r="G12" s="179">
        <v>0.0</v>
      </c>
      <c r="H12" s="179">
        <v>0.8</v>
      </c>
      <c r="I12" s="179">
        <v>0.2</v>
      </c>
      <c r="J12" s="176">
        <v>2.0</v>
      </c>
      <c r="K12" s="176">
        <v>1.0</v>
      </c>
      <c r="L12" s="176">
        <v>0.0</v>
      </c>
      <c r="M12" s="176">
        <v>0.0</v>
      </c>
      <c r="N12" s="176">
        <v>0.8</v>
      </c>
      <c r="O12" s="176">
        <v>0.2</v>
      </c>
      <c r="P12" s="180">
        <v>1.0</v>
      </c>
      <c r="Q12" s="180">
        <v>1.0</v>
      </c>
      <c r="R12" s="62"/>
      <c r="S12" s="182">
        <v>0.0</v>
      </c>
      <c r="T12" s="183">
        <v>0.0</v>
      </c>
      <c r="U12" s="183">
        <v>0.0</v>
      </c>
      <c r="V12" s="183">
        <v>0.13</v>
      </c>
      <c r="W12" s="183">
        <v>0.03</v>
      </c>
      <c r="X12" s="62"/>
      <c r="Y12" s="176">
        <v>0.0</v>
      </c>
      <c r="Z12" s="176">
        <v>0.0</v>
      </c>
      <c r="AA12" s="176">
        <v>0.0</v>
      </c>
      <c r="AB12" s="176">
        <v>0.0</v>
      </c>
      <c r="AC12" s="176">
        <v>0.0</v>
      </c>
      <c r="AD12" s="176">
        <v>0.0</v>
      </c>
      <c r="AE12" s="176">
        <v>0.0</v>
      </c>
      <c r="AF12" s="62"/>
      <c r="AG12" s="47">
        <v>0.17</v>
      </c>
      <c r="AH12" s="47">
        <v>0.094</v>
      </c>
      <c r="AI12" s="54"/>
      <c r="AJ12" s="47">
        <v>0.3</v>
      </c>
      <c r="AK12" s="54"/>
      <c r="AL12" s="54"/>
      <c r="AM12" s="47">
        <v>0.75</v>
      </c>
      <c r="AN12" s="62"/>
      <c r="AO12" s="184">
        <f t="shared" ref="AO12:AS12" si="15">ROUND(E12*(5/12)+K12*(5/12)+S12+Y12-AG12,2)</f>
        <v>0.66</v>
      </c>
      <c r="AP12" s="184">
        <f t="shared" si="15"/>
        <v>-0.09</v>
      </c>
      <c r="AQ12" s="184">
        <f t="shared" si="15"/>
        <v>0</v>
      </c>
      <c r="AR12" s="184">
        <f t="shared" si="15"/>
        <v>0.5</v>
      </c>
      <c r="AS12" s="184">
        <f t="shared" si="15"/>
        <v>0.2</v>
      </c>
      <c r="AT12" s="184">
        <f t="shared" ref="AT12:AU12" si="16">P12+AD12-AL12</f>
        <v>1</v>
      </c>
      <c r="AU12" s="184">
        <f t="shared" si="16"/>
        <v>0.25</v>
      </c>
      <c r="AV12" s="62"/>
      <c r="AW12" s="176">
        <v>0.25</v>
      </c>
      <c r="AX12" s="176">
        <v>0.95</v>
      </c>
      <c r="AY12" s="176" t="s">
        <v>913</v>
      </c>
      <c r="AZ12" s="176">
        <v>0.0</v>
      </c>
      <c r="BA12" s="176">
        <v>0.067</v>
      </c>
      <c r="BB12" s="176">
        <v>0.0</v>
      </c>
      <c r="BC12" s="176">
        <v>0.0</v>
      </c>
      <c r="BD12" s="195" t="s">
        <v>1168</v>
      </c>
      <c r="BE12" s="62"/>
      <c r="BF12" s="62"/>
      <c r="BG12" s="62"/>
      <c r="BH12" s="54"/>
      <c r="BI12" s="54"/>
      <c r="BJ12" s="54"/>
      <c r="BK12" s="54"/>
      <c r="BL12" s="54"/>
      <c r="BM12" s="54"/>
      <c r="BN12" s="54"/>
      <c r="BO12" s="57"/>
      <c r="BP12" s="58" t="s">
        <v>1152</v>
      </c>
      <c r="BQ12" s="57"/>
      <c r="BR12" s="57"/>
    </row>
    <row r="13">
      <c r="A13" s="176">
        <v>9.0</v>
      </c>
      <c r="B13" s="177" t="s">
        <v>1169</v>
      </c>
      <c r="C13" s="178" t="s">
        <v>1149</v>
      </c>
      <c r="D13" s="50">
        <v>3.0</v>
      </c>
      <c r="E13" s="50">
        <v>1.0</v>
      </c>
      <c r="F13" s="179">
        <v>0.0</v>
      </c>
      <c r="G13" s="179">
        <v>0.0</v>
      </c>
      <c r="H13" s="179">
        <v>0.0</v>
      </c>
      <c r="I13" s="179">
        <v>0.0</v>
      </c>
      <c r="J13" s="176">
        <v>3.0</v>
      </c>
      <c r="K13" s="176">
        <v>0.8</v>
      </c>
      <c r="L13" s="176">
        <v>0.2</v>
      </c>
      <c r="M13" s="176">
        <v>0.0</v>
      </c>
      <c r="N13" s="176">
        <v>0.0</v>
      </c>
      <c r="O13" s="176">
        <v>0.0</v>
      </c>
      <c r="P13" s="180">
        <v>1.0</v>
      </c>
      <c r="Q13" s="180">
        <v>1.0</v>
      </c>
      <c r="R13" s="62"/>
      <c r="S13" s="182">
        <v>0.04</v>
      </c>
      <c r="T13" s="183">
        <v>0.02</v>
      </c>
      <c r="U13" s="183">
        <v>0.0</v>
      </c>
      <c r="V13" s="183">
        <v>0.0</v>
      </c>
      <c r="W13" s="183">
        <v>0.0</v>
      </c>
      <c r="X13" s="62"/>
      <c r="Y13" s="176">
        <v>0.0</v>
      </c>
      <c r="Z13" s="176">
        <v>0.0</v>
      </c>
      <c r="AA13" s="176">
        <v>0.0</v>
      </c>
      <c r="AB13" s="176">
        <v>0.0</v>
      </c>
      <c r="AC13" s="176">
        <v>0.0</v>
      </c>
      <c r="AD13" s="176">
        <v>0.0</v>
      </c>
      <c r="AE13" s="176">
        <v>0.0</v>
      </c>
      <c r="AF13" s="62"/>
      <c r="AG13" s="54"/>
      <c r="AH13" s="54"/>
      <c r="AI13" s="54"/>
      <c r="AJ13" s="54"/>
      <c r="AK13" s="54"/>
      <c r="AL13" s="54"/>
      <c r="AM13" s="77"/>
      <c r="AN13" s="62"/>
      <c r="AO13" s="184">
        <f t="shared" ref="AO13:AS13" si="17">ROUND(E13*(5/12)+K13*(5/12)+S13+Y13-AG13,2)</f>
        <v>0.79</v>
      </c>
      <c r="AP13" s="184">
        <f t="shared" si="17"/>
        <v>0.1</v>
      </c>
      <c r="AQ13" s="184">
        <f t="shared" si="17"/>
        <v>0</v>
      </c>
      <c r="AR13" s="184">
        <f t="shared" si="17"/>
        <v>0</v>
      </c>
      <c r="AS13" s="184">
        <f t="shared" si="17"/>
        <v>0</v>
      </c>
      <c r="AT13" s="184">
        <f t="shared" ref="AT13:AU13" si="18">P13+AD13-AL13</f>
        <v>1</v>
      </c>
      <c r="AU13" s="184">
        <f t="shared" si="18"/>
        <v>1</v>
      </c>
      <c r="AV13" s="62"/>
      <c r="AW13" s="176">
        <v>1.0</v>
      </c>
      <c r="AX13" s="176">
        <v>0.12</v>
      </c>
      <c r="AY13" s="176" t="s">
        <v>913</v>
      </c>
      <c r="AZ13" s="176" t="s">
        <v>913</v>
      </c>
      <c r="BA13" s="176" t="s">
        <v>913</v>
      </c>
      <c r="BB13" s="176">
        <v>1.0</v>
      </c>
      <c r="BC13" s="176">
        <v>1.0</v>
      </c>
      <c r="BD13" s="196" t="s">
        <v>1170</v>
      </c>
      <c r="BE13" s="62"/>
      <c r="BF13" s="62"/>
      <c r="BG13" s="62"/>
      <c r="BH13" s="192"/>
      <c r="BI13" s="72"/>
      <c r="BJ13" s="77"/>
      <c r="BK13" s="77"/>
      <c r="BL13" s="77"/>
      <c r="BM13" s="72"/>
      <c r="BN13" s="54"/>
      <c r="BO13" s="58"/>
      <c r="BP13" s="58" t="s">
        <v>1152</v>
      </c>
      <c r="BQ13" s="57"/>
      <c r="BR13" s="58"/>
    </row>
    <row r="14">
      <c r="A14" s="176">
        <v>10.0</v>
      </c>
      <c r="B14" s="177" t="s">
        <v>1171</v>
      </c>
      <c r="C14" s="197" t="s">
        <v>41</v>
      </c>
      <c r="D14" s="50">
        <v>1.0</v>
      </c>
      <c r="E14" s="50">
        <v>0.55</v>
      </c>
      <c r="F14" s="179">
        <v>0.25</v>
      </c>
      <c r="G14" s="179">
        <v>0.2</v>
      </c>
      <c r="H14" s="179">
        <v>0.0</v>
      </c>
      <c r="I14" s="179">
        <v>0.0</v>
      </c>
      <c r="J14" s="50">
        <v>0.33</v>
      </c>
      <c r="K14" s="50">
        <v>0.22</v>
      </c>
      <c r="L14" s="50">
        <v>0.25</v>
      </c>
      <c r="M14" s="50">
        <v>0.0</v>
      </c>
      <c r="N14" s="50">
        <v>0.0</v>
      </c>
      <c r="O14" s="50">
        <v>0.2</v>
      </c>
      <c r="P14" s="180">
        <v>1.0</v>
      </c>
      <c r="Q14" s="180">
        <v>1.0</v>
      </c>
      <c r="R14" s="62"/>
      <c r="S14" s="182">
        <v>0.05</v>
      </c>
      <c r="T14" s="183">
        <v>0.03</v>
      </c>
      <c r="U14" s="183">
        <v>0.0</v>
      </c>
      <c r="V14" s="183">
        <v>0.0</v>
      </c>
      <c r="W14" s="183">
        <v>0.01</v>
      </c>
      <c r="X14" s="62"/>
      <c r="Y14" s="176">
        <v>0.0</v>
      </c>
      <c r="Z14" s="176">
        <v>0.0</v>
      </c>
      <c r="AA14" s="176">
        <v>0.0</v>
      </c>
      <c r="AB14" s="176">
        <v>0.0</v>
      </c>
      <c r="AC14" s="176">
        <v>0.0</v>
      </c>
      <c r="AD14" s="176">
        <v>0.0</v>
      </c>
      <c r="AE14" s="176">
        <v>0.0</v>
      </c>
      <c r="AF14" s="62"/>
      <c r="AG14" s="47">
        <v>0.05</v>
      </c>
      <c r="AH14" s="47">
        <v>0.008</v>
      </c>
      <c r="AI14" s="47">
        <v>0.0</v>
      </c>
      <c r="AJ14" s="47">
        <v>0.0</v>
      </c>
      <c r="AK14" s="54"/>
      <c r="AL14" s="54"/>
      <c r="AM14" s="54"/>
      <c r="AN14" s="62"/>
      <c r="AO14" s="184">
        <f t="shared" ref="AO14:AS14" si="19">ROUND(E14*(5/12)+K14*(5/12)+S14+Y14-AG14,2)</f>
        <v>0.32</v>
      </c>
      <c r="AP14" s="184">
        <f t="shared" si="19"/>
        <v>0.23</v>
      </c>
      <c r="AQ14" s="184">
        <f t="shared" si="19"/>
        <v>0.08</v>
      </c>
      <c r="AR14" s="184">
        <f t="shared" si="19"/>
        <v>0</v>
      </c>
      <c r="AS14" s="184">
        <f t="shared" si="19"/>
        <v>0.09</v>
      </c>
      <c r="AT14" s="184">
        <f t="shared" ref="AT14:AU14" si="20">P14+AD14-AL14</f>
        <v>1</v>
      </c>
      <c r="AU14" s="184">
        <f t="shared" si="20"/>
        <v>1</v>
      </c>
      <c r="AV14" s="62"/>
      <c r="AW14" s="176">
        <v>0.32</v>
      </c>
      <c r="AX14" s="176">
        <v>0.23</v>
      </c>
      <c r="AY14" s="176">
        <v>0.08</v>
      </c>
      <c r="AZ14" s="176" t="s">
        <v>913</v>
      </c>
      <c r="BA14" s="176">
        <v>0.09</v>
      </c>
      <c r="BB14" s="176">
        <v>1.0</v>
      </c>
      <c r="BC14" s="176">
        <v>1.0</v>
      </c>
      <c r="BD14" s="180" t="s">
        <v>1150</v>
      </c>
      <c r="BE14" s="62"/>
      <c r="BF14" s="62"/>
      <c r="BG14" s="62"/>
      <c r="BH14" s="54"/>
      <c r="BI14" s="54"/>
      <c r="BJ14" s="54"/>
      <c r="BK14" s="54"/>
      <c r="BL14" s="54"/>
      <c r="BM14" s="54"/>
      <c r="BN14" s="54"/>
      <c r="BO14" s="57"/>
      <c r="BP14" s="58" t="s">
        <v>1152</v>
      </c>
      <c r="BQ14" s="57"/>
      <c r="BR14" s="57"/>
    </row>
    <row r="15">
      <c r="A15" s="176">
        <v>11.0</v>
      </c>
      <c r="B15" s="177" t="s">
        <v>1172</v>
      </c>
      <c r="C15" s="197" t="s">
        <v>41</v>
      </c>
      <c r="D15" s="50">
        <v>2.0</v>
      </c>
      <c r="E15" s="50">
        <v>1.0</v>
      </c>
      <c r="F15" s="179">
        <v>0.5</v>
      </c>
      <c r="G15" s="179">
        <v>0.5</v>
      </c>
      <c r="H15" s="179">
        <v>0.0</v>
      </c>
      <c r="I15" s="179">
        <v>0.0</v>
      </c>
      <c r="J15" s="50">
        <v>2.0</v>
      </c>
      <c r="K15" s="50">
        <v>1.0</v>
      </c>
      <c r="L15" s="50">
        <v>0.49</v>
      </c>
      <c r="M15" s="50">
        <v>0.51</v>
      </c>
      <c r="N15" s="50">
        <v>0.0</v>
      </c>
      <c r="O15" s="50">
        <v>0.0</v>
      </c>
      <c r="P15" s="180">
        <v>1.0</v>
      </c>
      <c r="Q15" s="180">
        <v>1.0</v>
      </c>
      <c r="R15" s="62"/>
      <c r="S15" s="182">
        <v>0.09</v>
      </c>
      <c r="T15" s="183">
        <v>0.08</v>
      </c>
      <c r="U15" s="183">
        <v>0.13</v>
      </c>
      <c r="V15" s="183">
        <v>0.0</v>
      </c>
      <c r="W15" s="183">
        <v>0.03</v>
      </c>
      <c r="X15" s="62"/>
      <c r="Y15" s="176">
        <v>0.0</v>
      </c>
      <c r="Z15" s="176">
        <v>0.0</v>
      </c>
      <c r="AA15" s="176">
        <v>0.0</v>
      </c>
      <c r="AB15" s="176">
        <v>0.0</v>
      </c>
      <c r="AC15" s="176">
        <v>0.0</v>
      </c>
      <c r="AD15" s="176">
        <v>0.0</v>
      </c>
      <c r="AE15" s="176">
        <v>0.0</v>
      </c>
      <c r="AF15" s="62"/>
      <c r="AG15" s="54"/>
      <c r="AH15" s="47">
        <v>0.08</v>
      </c>
      <c r="AI15" s="47">
        <v>0.02</v>
      </c>
      <c r="AJ15" s="47">
        <v>0.0</v>
      </c>
      <c r="AK15" s="47">
        <v>0.03</v>
      </c>
      <c r="AL15" s="54"/>
      <c r="AM15" s="54"/>
      <c r="AN15" s="62"/>
      <c r="AO15" s="184">
        <f t="shared" ref="AO15:AS15" si="21">ROUND(E15*(5/12)+K15*(5/12)+S15+Y15-AG15,2)</f>
        <v>0.92</v>
      </c>
      <c r="AP15" s="184">
        <f t="shared" si="21"/>
        <v>0.41</v>
      </c>
      <c r="AQ15" s="184">
        <f t="shared" si="21"/>
        <v>0.53</v>
      </c>
      <c r="AR15" s="184">
        <f t="shared" si="21"/>
        <v>0</v>
      </c>
      <c r="AS15" s="184">
        <f t="shared" si="21"/>
        <v>0</v>
      </c>
      <c r="AT15" s="184">
        <f t="shared" ref="AT15:AU15" si="22">P15+AD15-AL15</f>
        <v>1</v>
      </c>
      <c r="AU15" s="184">
        <f t="shared" si="22"/>
        <v>1</v>
      </c>
      <c r="AV15" s="62"/>
      <c r="AW15" s="176">
        <v>1.156</v>
      </c>
      <c r="AX15" s="176">
        <v>0.41</v>
      </c>
      <c r="AY15" s="176">
        <v>0.33</v>
      </c>
      <c r="AZ15" s="176" t="s">
        <v>913</v>
      </c>
      <c r="BA15" s="176" t="s">
        <v>913</v>
      </c>
      <c r="BB15" s="176">
        <v>1.0</v>
      </c>
      <c r="BC15" s="176">
        <v>1.0</v>
      </c>
      <c r="BD15" s="180" t="s">
        <v>1173</v>
      </c>
      <c r="BE15" s="62"/>
      <c r="BF15" s="62"/>
      <c r="BG15" s="62"/>
      <c r="BH15" s="54"/>
      <c r="BI15" s="54"/>
      <c r="BJ15" s="54"/>
      <c r="BK15" s="54"/>
      <c r="BL15" s="54"/>
      <c r="BM15" s="54"/>
      <c r="BN15" s="54"/>
      <c r="BO15" s="57"/>
      <c r="BP15" s="58" t="s">
        <v>1152</v>
      </c>
      <c r="BQ15" s="57"/>
      <c r="BR15" s="57"/>
    </row>
    <row r="16">
      <c r="A16" s="176">
        <v>12.0</v>
      </c>
      <c r="B16" s="177" t="s">
        <v>45</v>
      </c>
      <c r="C16" s="197" t="s">
        <v>41</v>
      </c>
      <c r="D16" s="50">
        <v>2.0</v>
      </c>
      <c r="E16" s="50">
        <v>0.55</v>
      </c>
      <c r="F16" s="179">
        <v>0.25</v>
      </c>
      <c r="G16" s="179">
        <v>0.2</v>
      </c>
      <c r="H16" s="179">
        <v>0.8</v>
      </c>
      <c r="I16" s="179">
        <v>0.2</v>
      </c>
      <c r="J16" s="50">
        <v>2.0</v>
      </c>
      <c r="K16" s="50">
        <v>0.55</v>
      </c>
      <c r="L16" s="50">
        <v>0.25</v>
      </c>
      <c r="M16" s="50">
        <v>0.2</v>
      </c>
      <c r="N16" s="50">
        <v>0.8</v>
      </c>
      <c r="O16" s="50">
        <v>0.2</v>
      </c>
      <c r="P16" s="180">
        <v>1.0</v>
      </c>
      <c r="Q16" s="180">
        <v>1.0</v>
      </c>
      <c r="R16" s="62"/>
      <c r="S16" s="187">
        <v>0.11</v>
      </c>
      <c r="T16" s="188">
        <v>0.03</v>
      </c>
      <c r="U16" s="188">
        <v>0.03</v>
      </c>
      <c r="V16" s="188">
        <v>0.08</v>
      </c>
      <c r="W16" s="188">
        <v>0.08</v>
      </c>
      <c r="X16" s="62"/>
      <c r="Y16" s="176">
        <v>0.0</v>
      </c>
      <c r="Z16" s="176">
        <v>0.0</v>
      </c>
      <c r="AA16" s="176">
        <v>0.0</v>
      </c>
      <c r="AB16" s="176">
        <v>0.0</v>
      </c>
      <c r="AC16" s="176">
        <v>0.0</v>
      </c>
      <c r="AD16" s="176">
        <v>0.0</v>
      </c>
      <c r="AE16" s="176">
        <v>0.0</v>
      </c>
      <c r="AF16" s="62"/>
      <c r="AG16" s="47">
        <v>0.11</v>
      </c>
      <c r="AH16" s="54"/>
      <c r="AI16" s="47">
        <v>0.03</v>
      </c>
      <c r="AJ16" s="47">
        <v>0.07</v>
      </c>
      <c r="AK16" s="54"/>
      <c r="AL16" s="54"/>
      <c r="AM16" s="54"/>
      <c r="AN16" s="62"/>
      <c r="AO16" s="184">
        <f t="shared" ref="AO16:AS16" si="23">ROUND(E16*(5/12)+K16*(5/12)+S16+Y16-AG16,2)</f>
        <v>0.46</v>
      </c>
      <c r="AP16" s="184">
        <f t="shared" si="23"/>
        <v>0.24</v>
      </c>
      <c r="AQ16" s="184">
        <f t="shared" si="23"/>
        <v>0.17</v>
      </c>
      <c r="AR16" s="184">
        <f t="shared" si="23"/>
        <v>0.68</v>
      </c>
      <c r="AS16" s="184">
        <f t="shared" si="23"/>
        <v>0.25</v>
      </c>
      <c r="AT16" s="184">
        <f t="shared" ref="AT16:AU16" si="24">P16+AD16-AL16</f>
        <v>1</v>
      </c>
      <c r="AU16" s="184">
        <f t="shared" si="24"/>
        <v>1</v>
      </c>
      <c r="AV16" s="62"/>
      <c r="AW16" s="176">
        <v>0.75</v>
      </c>
      <c r="AX16" s="176">
        <v>0.268</v>
      </c>
      <c r="AY16" s="176">
        <v>0.18</v>
      </c>
      <c r="AZ16" s="176">
        <v>0.82</v>
      </c>
      <c r="BA16" s="176">
        <v>0.25</v>
      </c>
      <c r="BB16" s="176">
        <v>1.0</v>
      </c>
      <c r="BC16" s="176">
        <v>1.0</v>
      </c>
      <c r="BD16" s="79" t="s">
        <v>1174</v>
      </c>
      <c r="BE16" s="62"/>
      <c r="BF16" s="62"/>
      <c r="BG16" s="62"/>
      <c r="BH16" s="54"/>
      <c r="BI16" s="54"/>
      <c r="BJ16" s="54"/>
      <c r="BK16" s="54"/>
      <c r="BL16" s="54"/>
      <c r="BM16" s="54"/>
      <c r="BN16" s="54"/>
      <c r="BO16" s="57"/>
      <c r="BP16" s="58" t="s">
        <v>1152</v>
      </c>
      <c r="BQ16" s="57"/>
      <c r="BR16" s="57"/>
    </row>
    <row r="17">
      <c r="A17" s="176">
        <v>13.0</v>
      </c>
      <c r="B17" s="177" t="s">
        <v>1175</v>
      </c>
      <c r="C17" s="197" t="s">
        <v>41</v>
      </c>
      <c r="D17" s="50">
        <v>2.0</v>
      </c>
      <c r="E17" s="50">
        <v>1.0</v>
      </c>
      <c r="F17" s="179">
        <v>0.25</v>
      </c>
      <c r="G17" s="179">
        <v>0.25</v>
      </c>
      <c r="H17" s="179">
        <v>0.3</v>
      </c>
      <c r="I17" s="179">
        <v>0.2</v>
      </c>
      <c r="J17" s="50">
        <v>2.0</v>
      </c>
      <c r="K17" s="50">
        <v>1.1</v>
      </c>
      <c r="L17" s="50">
        <v>0.25</v>
      </c>
      <c r="M17" s="50">
        <v>0.2</v>
      </c>
      <c r="N17" s="50">
        <v>0.25</v>
      </c>
      <c r="O17" s="50">
        <v>0.2</v>
      </c>
      <c r="P17" s="180">
        <v>1.0</v>
      </c>
      <c r="Q17" s="180">
        <v>1.0</v>
      </c>
      <c r="R17" s="62"/>
      <c r="S17" s="187">
        <v>0.05</v>
      </c>
      <c r="T17" s="188">
        <v>0.03</v>
      </c>
      <c r="U17" s="188">
        <v>0.05</v>
      </c>
      <c r="V17" s="188">
        <v>0.08</v>
      </c>
      <c r="W17" s="188">
        <v>0.01</v>
      </c>
      <c r="X17" s="62"/>
      <c r="Y17" s="176">
        <v>0.0</v>
      </c>
      <c r="Z17" s="176">
        <v>0.0</v>
      </c>
      <c r="AA17" s="176">
        <v>0.0</v>
      </c>
      <c r="AB17" s="176">
        <v>0.0</v>
      </c>
      <c r="AC17" s="176">
        <v>0.0</v>
      </c>
      <c r="AD17" s="176">
        <v>0.0</v>
      </c>
      <c r="AE17" s="176">
        <v>0.0</v>
      </c>
      <c r="AF17" s="62"/>
      <c r="AG17" s="47">
        <v>0.24</v>
      </c>
      <c r="AH17" s="47">
        <v>0.262</v>
      </c>
      <c r="AI17" s="54"/>
      <c r="AJ17" s="54"/>
      <c r="AK17" s="54"/>
      <c r="AL17" s="54"/>
      <c r="AM17" s="54"/>
      <c r="AN17" s="62"/>
      <c r="AO17" s="184">
        <f t="shared" ref="AO17:AS17" si="25">ROUND(E17*(5/12)+K17*(5/12)+S17+Y17-AG17,2)</f>
        <v>0.69</v>
      </c>
      <c r="AP17" s="184">
        <f t="shared" si="25"/>
        <v>-0.02</v>
      </c>
      <c r="AQ17" s="184">
        <f t="shared" si="25"/>
        <v>0.24</v>
      </c>
      <c r="AR17" s="184">
        <f t="shared" si="25"/>
        <v>0.31</v>
      </c>
      <c r="AS17" s="184">
        <f t="shared" si="25"/>
        <v>0.18</v>
      </c>
      <c r="AT17" s="184">
        <f t="shared" ref="AT17:AU17" si="26">P17+AD17-AL17</f>
        <v>1</v>
      </c>
      <c r="AU17" s="184">
        <f t="shared" si="26"/>
        <v>1</v>
      </c>
      <c r="AV17" s="62"/>
      <c r="AW17" s="176">
        <v>1.5</v>
      </c>
      <c r="AX17" s="176">
        <v>0.305</v>
      </c>
      <c r="AY17" s="176">
        <v>0.3</v>
      </c>
      <c r="AZ17" s="176">
        <v>0.33</v>
      </c>
      <c r="BA17" s="176">
        <v>0.18</v>
      </c>
      <c r="BB17" s="176">
        <v>1.0</v>
      </c>
      <c r="BC17" s="176">
        <v>1.0</v>
      </c>
      <c r="BD17" s="180" t="s">
        <v>1176</v>
      </c>
      <c r="BE17" s="62"/>
      <c r="BF17" s="62"/>
      <c r="BG17" s="62"/>
      <c r="BH17" s="54"/>
      <c r="BI17" s="54"/>
      <c r="BJ17" s="54"/>
      <c r="BK17" s="54"/>
      <c r="BL17" s="54"/>
      <c r="BM17" s="54"/>
      <c r="BN17" s="54"/>
      <c r="BO17" s="57"/>
      <c r="BP17" s="58" t="s">
        <v>1152</v>
      </c>
      <c r="BQ17" s="57"/>
      <c r="BR17" s="57"/>
    </row>
    <row r="18">
      <c r="A18" s="176">
        <v>14.0</v>
      </c>
      <c r="B18" s="177" t="s">
        <v>1177</v>
      </c>
      <c r="C18" s="197" t="s">
        <v>41</v>
      </c>
      <c r="D18" s="50">
        <v>3.0</v>
      </c>
      <c r="E18" s="50">
        <v>0.5</v>
      </c>
      <c r="F18" s="179">
        <v>0.25</v>
      </c>
      <c r="G18" s="179">
        <v>0.0</v>
      </c>
      <c r="H18" s="179">
        <v>0.0</v>
      </c>
      <c r="I18" s="179">
        <v>0.25</v>
      </c>
      <c r="J18" s="50">
        <v>3.0</v>
      </c>
      <c r="K18" s="50">
        <v>0.3</v>
      </c>
      <c r="L18" s="50">
        <v>0.25</v>
      </c>
      <c r="M18" s="50">
        <v>0.2</v>
      </c>
      <c r="N18" s="50">
        <v>0.0</v>
      </c>
      <c r="O18" s="50">
        <v>0.25</v>
      </c>
      <c r="P18" s="180">
        <v>1.0</v>
      </c>
      <c r="Q18" s="180">
        <v>1.0</v>
      </c>
      <c r="R18" s="62"/>
      <c r="S18" s="182">
        <v>0.02</v>
      </c>
      <c r="T18" s="183">
        <v>0.02</v>
      </c>
      <c r="U18" s="183">
        <v>0.02</v>
      </c>
      <c r="V18" s="183">
        <v>0.0</v>
      </c>
      <c r="W18" s="183">
        <v>0.01</v>
      </c>
      <c r="X18" s="62"/>
      <c r="Y18" s="176">
        <v>0.0</v>
      </c>
      <c r="Z18" s="176">
        <v>0.0</v>
      </c>
      <c r="AA18" s="176">
        <v>0.0</v>
      </c>
      <c r="AB18" s="176">
        <v>0.0</v>
      </c>
      <c r="AC18" s="176">
        <v>0.0</v>
      </c>
      <c r="AD18" s="176">
        <v>0.0</v>
      </c>
      <c r="AE18" s="176">
        <v>0.0</v>
      </c>
      <c r="AF18" s="62"/>
      <c r="AG18" s="47">
        <v>0.02</v>
      </c>
      <c r="AH18" s="54"/>
      <c r="AI18" s="47">
        <v>0.02</v>
      </c>
      <c r="AJ18" s="54"/>
      <c r="AK18" s="47"/>
      <c r="AL18" s="54"/>
      <c r="AM18" s="54"/>
      <c r="AN18" s="62"/>
      <c r="AO18" s="184">
        <f t="shared" ref="AO18:AS18" si="27">ROUND(E18*(5/12)+K18*(5/12)+S18+Y18-AG18,2)</f>
        <v>0.33</v>
      </c>
      <c r="AP18" s="184">
        <f t="shared" si="27"/>
        <v>0.23</v>
      </c>
      <c r="AQ18" s="184">
        <f t="shared" si="27"/>
        <v>0.08</v>
      </c>
      <c r="AR18" s="184">
        <f t="shared" si="27"/>
        <v>0</v>
      </c>
      <c r="AS18" s="184">
        <f t="shared" si="27"/>
        <v>0.22</v>
      </c>
      <c r="AT18" s="184">
        <f t="shared" ref="AT18:AU18" si="28">P18+AD18-AL18</f>
        <v>1</v>
      </c>
      <c r="AU18" s="184">
        <f t="shared" si="28"/>
        <v>1</v>
      </c>
      <c r="AV18" s="62"/>
      <c r="AW18" s="176">
        <v>0.47</v>
      </c>
      <c r="AX18" s="176">
        <v>0.238</v>
      </c>
      <c r="AY18" s="176">
        <v>0.1</v>
      </c>
      <c r="AZ18" s="176" t="s">
        <v>913</v>
      </c>
      <c r="BA18" s="176">
        <v>0.22</v>
      </c>
      <c r="BB18" s="176">
        <v>1.0</v>
      </c>
      <c r="BC18" s="176">
        <v>1.0</v>
      </c>
      <c r="BD18" s="79" t="s">
        <v>1178</v>
      </c>
      <c r="BE18" s="62"/>
      <c r="BF18" s="62"/>
      <c r="BG18" s="62"/>
      <c r="BH18" s="198"/>
      <c r="BI18" s="54"/>
      <c r="BJ18" s="54"/>
      <c r="BK18" s="54"/>
      <c r="BL18" s="54"/>
      <c r="BM18" s="54"/>
      <c r="BN18" s="54"/>
      <c r="BO18" s="57"/>
      <c r="BP18" s="58" t="s">
        <v>1152</v>
      </c>
      <c r="BQ18" s="57"/>
      <c r="BR18" s="57"/>
    </row>
    <row r="19">
      <c r="A19" s="176">
        <v>15.0</v>
      </c>
      <c r="B19" s="177" t="s">
        <v>1179</v>
      </c>
      <c r="C19" s="197" t="s">
        <v>41</v>
      </c>
      <c r="D19" s="50">
        <v>3.0</v>
      </c>
      <c r="E19" s="50">
        <v>0.55</v>
      </c>
      <c r="F19" s="179">
        <v>0.25</v>
      </c>
      <c r="G19" s="179">
        <v>0.2</v>
      </c>
      <c r="H19" s="179">
        <v>0.0</v>
      </c>
      <c r="I19" s="179">
        <v>0.0</v>
      </c>
      <c r="J19" s="50">
        <v>3.0</v>
      </c>
      <c r="K19" s="50">
        <v>0.55</v>
      </c>
      <c r="L19" s="50">
        <v>0.25</v>
      </c>
      <c r="M19" s="50">
        <v>0.2</v>
      </c>
      <c r="N19" s="50">
        <v>0.0</v>
      </c>
      <c r="O19" s="50">
        <v>0.0</v>
      </c>
      <c r="P19" s="180">
        <v>1.0</v>
      </c>
      <c r="Q19" s="180">
        <v>1.0</v>
      </c>
      <c r="R19" s="62"/>
      <c r="S19" s="182">
        <v>0.11</v>
      </c>
      <c r="T19" s="183">
        <v>0.02</v>
      </c>
      <c r="U19" s="183">
        <v>0.03</v>
      </c>
      <c r="V19" s="183">
        <v>0.0</v>
      </c>
      <c r="W19" s="183">
        <v>0.01</v>
      </c>
      <c r="X19" s="62"/>
      <c r="Y19" s="176">
        <v>0.0</v>
      </c>
      <c r="Z19" s="176">
        <v>0.0</v>
      </c>
      <c r="AA19" s="176">
        <v>0.0</v>
      </c>
      <c r="AB19" s="176">
        <v>0.0</v>
      </c>
      <c r="AC19" s="176">
        <v>0.0</v>
      </c>
      <c r="AD19" s="176">
        <v>0.0</v>
      </c>
      <c r="AE19" s="176">
        <v>0.0</v>
      </c>
      <c r="AF19" s="62"/>
      <c r="AG19" s="47">
        <v>0.11</v>
      </c>
      <c r="AH19" s="47">
        <v>0.02</v>
      </c>
      <c r="AI19" s="47">
        <v>0.03</v>
      </c>
      <c r="AJ19" s="47">
        <v>0.0</v>
      </c>
      <c r="AK19" s="47">
        <v>0.006</v>
      </c>
      <c r="AL19" s="54"/>
      <c r="AM19" s="54"/>
      <c r="AN19" s="62"/>
      <c r="AO19" s="184">
        <f t="shared" ref="AO19:AS19" si="29">ROUND(E19*(5/12)+K19*(5/12)+S19+Y19-AG19,2)</f>
        <v>0.46</v>
      </c>
      <c r="AP19" s="184">
        <f t="shared" si="29"/>
        <v>0.21</v>
      </c>
      <c r="AQ19" s="184">
        <f t="shared" si="29"/>
        <v>0.17</v>
      </c>
      <c r="AR19" s="184">
        <f t="shared" si="29"/>
        <v>0</v>
      </c>
      <c r="AS19" s="184">
        <f t="shared" si="29"/>
        <v>0</v>
      </c>
      <c r="AT19" s="184">
        <f t="shared" ref="AT19:AU19" si="30">P19+AD19-AL19</f>
        <v>1</v>
      </c>
      <c r="AU19" s="184">
        <f t="shared" si="30"/>
        <v>1</v>
      </c>
      <c r="AV19" s="62"/>
      <c r="AW19" s="176">
        <v>0.5</v>
      </c>
      <c r="AX19" s="176">
        <v>0.28</v>
      </c>
      <c r="AY19" s="176">
        <v>0.2</v>
      </c>
      <c r="AZ19" s="176" t="s">
        <v>913</v>
      </c>
      <c r="BA19" s="176" t="s">
        <v>913</v>
      </c>
      <c r="BB19" s="176">
        <v>1.0</v>
      </c>
      <c r="BC19" s="176">
        <v>1.0</v>
      </c>
      <c r="BD19" s="79" t="s">
        <v>1180</v>
      </c>
      <c r="BE19" s="62"/>
      <c r="BF19" s="62"/>
      <c r="BG19" s="62"/>
      <c r="BH19" s="54"/>
      <c r="BI19" s="54"/>
      <c r="BJ19" s="54"/>
      <c r="BK19" s="54"/>
      <c r="BL19" s="54"/>
      <c r="BM19" s="54"/>
      <c r="BN19" s="54"/>
      <c r="BO19" s="57"/>
      <c r="BP19" s="58" t="s">
        <v>1152</v>
      </c>
      <c r="BQ19" s="57"/>
      <c r="BR19" s="57"/>
    </row>
    <row r="20">
      <c r="A20" s="176">
        <v>16.0</v>
      </c>
      <c r="B20" s="177" t="s">
        <v>1181</v>
      </c>
      <c r="C20" s="197" t="s">
        <v>41</v>
      </c>
      <c r="D20" s="50">
        <v>2.67</v>
      </c>
      <c r="E20" s="50">
        <v>0.53</v>
      </c>
      <c r="F20" s="179">
        <v>0.25</v>
      </c>
      <c r="G20" s="179">
        <v>0.22</v>
      </c>
      <c r="H20" s="179">
        <v>0.0</v>
      </c>
      <c r="I20" s="179">
        <v>0.33</v>
      </c>
      <c r="J20" s="50">
        <v>3.0</v>
      </c>
      <c r="K20" s="50">
        <v>0.28</v>
      </c>
      <c r="L20" s="50">
        <v>0.25</v>
      </c>
      <c r="M20" s="50">
        <v>0.22</v>
      </c>
      <c r="N20" s="50">
        <v>0.25</v>
      </c>
      <c r="O20" s="50">
        <v>0.0</v>
      </c>
      <c r="P20" s="180">
        <v>1.0</v>
      </c>
      <c r="Q20" s="180">
        <v>1.0</v>
      </c>
      <c r="R20" s="62"/>
      <c r="S20" s="182">
        <v>0.14</v>
      </c>
      <c r="T20" s="183">
        <v>0.02</v>
      </c>
      <c r="U20" s="183">
        <v>0.0</v>
      </c>
      <c r="V20" s="183">
        <v>0.0</v>
      </c>
      <c r="W20" s="183">
        <v>0.01</v>
      </c>
      <c r="X20" s="62"/>
      <c r="Y20" s="176">
        <v>0.0</v>
      </c>
      <c r="Z20" s="176">
        <v>0.0</v>
      </c>
      <c r="AA20" s="176">
        <v>0.0</v>
      </c>
      <c r="AB20" s="176">
        <v>0.0</v>
      </c>
      <c r="AC20" s="176">
        <v>0.0</v>
      </c>
      <c r="AD20" s="176">
        <v>0.0</v>
      </c>
      <c r="AE20" s="176">
        <v>0.0</v>
      </c>
      <c r="AF20" s="62"/>
      <c r="AG20" s="47">
        <v>0.22</v>
      </c>
      <c r="AH20" s="47">
        <v>0.355</v>
      </c>
      <c r="AI20" s="47">
        <v>0.07</v>
      </c>
      <c r="AJ20" s="47">
        <v>0.55</v>
      </c>
      <c r="AK20" s="54"/>
      <c r="AL20" s="54"/>
      <c r="AM20" s="54"/>
      <c r="AN20" s="62"/>
      <c r="AO20" s="184">
        <f t="shared" ref="AO20:AS20" si="31">ROUND(E20*(5/12)+K20*(5/12)+S20+Y20-AG20,2)</f>
        <v>0.26</v>
      </c>
      <c r="AP20" s="184">
        <f t="shared" si="31"/>
        <v>-0.13</v>
      </c>
      <c r="AQ20" s="184">
        <f t="shared" si="31"/>
        <v>0.11</v>
      </c>
      <c r="AR20" s="184">
        <f t="shared" si="31"/>
        <v>-0.45</v>
      </c>
      <c r="AS20" s="184">
        <f t="shared" si="31"/>
        <v>0.15</v>
      </c>
      <c r="AT20" s="184">
        <f t="shared" ref="AT20:AU20" si="32">P20+AD20-AL20</f>
        <v>1</v>
      </c>
      <c r="AU20" s="184">
        <f t="shared" si="32"/>
        <v>1</v>
      </c>
      <c r="AV20" s="62"/>
      <c r="AW20" s="176">
        <v>1.0</v>
      </c>
      <c r="AX20" s="176">
        <v>0.325</v>
      </c>
      <c r="AY20" s="176">
        <v>0.004</v>
      </c>
      <c r="AZ20" s="176" t="s">
        <v>913</v>
      </c>
      <c r="BA20" s="176">
        <v>0.0</v>
      </c>
      <c r="BB20" s="176">
        <v>1.0</v>
      </c>
      <c r="BC20" s="176">
        <v>1.0</v>
      </c>
      <c r="BD20" s="180" t="s">
        <v>1182</v>
      </c>
      <c r="BE20" s="62"/>
      <c r="BF20" s="62"/>
      <c r="BG20" s="62"/>
      <c r="BH20" s="54"/>
      <c r="BI20" s="54"/>
      <c r="BJ20" s="54"/>
      <c r="BK20" s="54"/>
      <c r="BL20" s="54"/>
      <c r="BM20" s="54"/>
      <c r="BN20" s="54"/>
      <c r="BO20" s="57"/>
      <c r="BP20" s="58" t="s">
        <v>1152</v>
      </c>
      <c r="BQ20" s="58" t="s">
        <v>1183</v>
      </c>
      <c r="BR20" s="57"/>
    </row>
    <row r="21">
      <c r="A21" s="176">
        <v>17.0</v>
      </c>
      <c r="B21" s="177" t="s">
        <v>1184</v>
      </c>
      <c r="C21" s="197" t="s">
        <v>41</v>
      </c>
      <c r="D21" s="50">
        <v>3.0</v>
      </c>
      <c r="E21" s="50">
        <v>0.33</v>
      </c>
      <c r="F21" s="179">
        <v>0.25</v>
      </c>
      <c r="G21" s="179">
        <v>0.22</v>
      </c>
      <c r="H21" s="179">
        <v>0.0</v>
      </c>
      <c r="I21" s="179">
        <v>0.2</v>
      </c>
      <c r="J21" s="50">
        <v>4.0</v>
      </c>
      <c r="K21" s="50">
        <v>0.35</v>
      </c>
      <c r="L21" s="50">
        <v>0.25</v>
      </c>
      <c r="M21" s="50">
        <v>0.2</v>
      </c>
      <c r="N21" s="50">
        <v>0.0</v>
      </c>
      <c r="O21" s="50">
        <v>0.2</v>
      </c>
      <c r="P21" s="180">
        <v>1.0</v>
      </c>
      <c r="Q21" s="180">
        <v>1.0</v>
      </c>
      <c r="R21" s="62"/>
      <c r="S21" s="182">
        <v>0.13</v>
      </c>
      <c r="T21" s="183">
        <v>0.0</v>
      </c>
      <c r="U21" s="183">
        <v>0.03</v>
      </c>
      <c r="V21" s="183">
        <v>0.0</v>
      </c>
      <c r="W21" s="183">
        <v>0.0</v>
      </c>
      <c r="X21" s="62"/>
      <c r="Y21" s="176">
        <v>0.0</v>
      </c>
      <c r="Z21" s="176">
        <v>0.0</v>
      </c>
      <c r="AA21" s="176">
        <v>0.0</v>
      </c>
      <c r="AB21" s="176">
        <v>0.0</v>
      </c>
      <c r="AC21" s="176">
        <v>0.0</v>
      </c>
      <c r="AD21" s="176">
        <v>0.0</v>
      </c>
      <c r="AE21" s="176">
        <v>0.0</v>
      </c>
      <c r="AF21" s="62"/>
      <c r="AG21" s="47">
        <v>0.11</v>
      </c>
      <c r="AH21" s="47">
        <v>0.2</v>
      </c>
      <c r="AI21" s="47">
        <v>0.03</v>
      </c>
      <c r="AJ21" s="54"/>
      <c r="AK21" s="47">
        <v>0.008</v>
      </c>
      <c r="AL21" s="54"/>
      <c r="AM21" s="47"/>
      <c r="AN21" s="62"/>
      <c r="AO21" s="184">
        <f t="shared" ref="AO21:AS21" si="33">ROUND(E21*(5/12)+K21*(5/12)+S21+Y21-AG21,2)</f>
        <v>0.3</v>
      </c>
      <c r="AP21" s="184">
        <f t="shared" si="33"/>
        <v>0.01</v>
      </c>
      <c r="AQ21" s="184">
        <f t="shared" si="33"/>
        <v>0.18</v>
      </c>
      <c r="AR21" s="184">
        <f t="shared" si="33"/>
        <v>0</v>
      </c>
      <c r="AS21" s="184">
        <f t="shared" si="33"/>
        <v>0.16</v>
      </c>
      <c r="AT21" s="184">
        <f t="shared" ref="AT21:AU21" si="34">P21+AD21-AL21</f>
        <v>1</v>
      </c>
      <c r="AU21" s="184">
        <f t="shared" si="34"/>
        <v>1</v>
      </c>
      <c r="AV21" s="62"/>
      <c r="AW21" s="176">
        <v>0.42</v>
      </c>
      <c r="AX21" s="176">
        <v>0.25</v>
      </c>
      <c r="AY21" s="176">
        <v>0.18</v>
      </c>
      <c r="AZ21" s="176" t="s">
        <v>913</v>
      </c>
      <c r="BA21" s="176">
        <v>0.16</v>
      </c>
      <c r="BB21" s="176">
        <v>1.0</v>
      </c>
      <c r="BC21" s="176">
        <v>1.0</v>
      </c>
      <c r="BD21" s="196" t="s">
        <v>1185</v>
      </c>
      <c r="BE21" s="62"/>
      <c r="BF21" s="62"/>
      <c r="BG21" s="62"/>
      <c r="BH21" s="54"/>
      <c r="BI21" s="54"/>
      <c r="BJ21" s="54"/>
      <c r="BK21" s="54"/>
      <c r="BL21" s="54"/>
      <c r="BM21" s="54"/>
      <c r="BN21" s="54"/>
      <c r="BO21" s="57"/>
      <c r="BP21" s="58" t="s">
        <v>1152</v>
      </c>
      <c r="BQ21" s="57"/>
      <c r="BR21" s="58"/>
    </row>
    <row r="22">
      <c r="A22" s="176">
        <v>18.0</v>
      </c>
      <c r="B22" s="177" t="s">
        <v>1186</v>
      </c>
      <c r="C22" s="178" t="s">
        <v>41</v>
      </c>
      <c r="D22" s="50">
        <v>2.0</v>
      </c>
      <c r="E22" s="50">
        <v>0.55</v>
      </c>
      <c r="F22" s="179">
        <v>0.25</v>
      </c>
      <c r="G22" s="179">
        <v>0.2</v>
      </c>
      <c r="H22" s="179">
        <v>0.0</v>
      </c>
      <c r="I22" s="179">
        <v>0.0</v>
      </c>
      <c r="J22" s="50">
        <v>1.0</v>
      </c>
      <c r="K22" s="50">
        <v>1.55</v>
      </c>
      <c r="L22" s="50">
        <v>0.25</v>
      </c>
      <c r="M22" s="50">
        <v>0.2</v>
      </c>
      <c r="N22" s="50">
        <v>0.0</v>
      </c>
      <c r="O22" s="50">
        <v>0.0</v>
      </c>
      <c r="P22" s="180">
        <v>1.0</v>
      </c>
      <c r="Q22" s="180">
        <v>1.0</v>
      </c>
      <c r="R22" s="62"/>
      <c r="S22" s="182">
        <v>0.07</v>
      </c>
      <c r="T22" s="183">
        <v>0.02</v>
      </c>
      <c r="U22" s="183">
        <v>0.03</v>
      </c>
      <c r="V22" s="183">
        <v>0.03</v>
      </c>
      <c r="W22" s="183">
        <v>0.01</v>
      </c>
      <c r="X22" s="62"/>
      <c r="Y22" s="176">
        <v>0.0</v>
      </c>
      <c r="Z22" s="176">
        <v>0.0</v>
      </c>
      <c r="AA22" s="176">
        <v>0.0</v>
      </c>
      <c r="AB22" s="176">
        <v>0.0</v>
      </c>
      <c r="AC22" s="176">
        <v>0.0</v>
      </c>
      <c r="AD22" s="176">
        <v>0.0</v>
      </c>
      <c r="AE22" s="176">
        <v>0.0</v>
      </c>
      <c r="AF22" s="62"/>
      <c r="AG22" s="47">
        <v>0.07</v>
      </c>
      <c r="AH22" s="47">
        <v>0.02</v>
      </c>
      <c r="AI22" s="47">
        <v>0.03</v>
      </c>
      <c r="AJ22" s="47">
        <v>0.03</v>
      </c>
      <c r="AK22" s="47">
        <v>0.01</v>
      </c>
      <c r="AL22" s="54"/>
      <c r="AM22" s="54"/>
      <c r="AN22" s="62"/>
      <c r="AO22" s="184">
        <f t="shared" ref="AO22:AS22" si="35">ROUND(E22*(5/12)+K22*(5/12)+S22+Y22-AG22,2)</f>
        <v>0.88</v>
      </c>
      <c r="AP22" s="184">
        <f t="shared" si="35"/>
        <v>0.21</v>
      </c>
      <c r="AQ22" s="184">
        <f t="shared" si="35"/>
        <v>0.17</v>
      </c>
      <c r="AR22" s="184">
        <f t="shared" si="35"/>
        <v>0</v>
      </c>
      <c r="AS22" s="184">
        <f t="shared" si="35"/>
        <v>0</v>
      </c>
      <c r="AT22" s="184">
        <f t="shared" ref="AT22:AU22" si="36">P22+AD22-AL22</f>
        <v>1</v>
      </c>
      <c r="AU22" s="184">
        <f t="shared" si="36"/>
        <v>1</v>
      </c>
      <c r="AV22" s="62"/>
      <c r="AW22" s="176">
        <v>1.0</v>
      </c>
      <c r="AX22" s="176">
        <v>0.28</v>
      </c>
      <c r="AY22" s="176">
        <v>0.2</v>
      </c>
      <c r="AZ22" s="176" t="s">
        <v>913</v>
      </c>
      <c r="BA22" s="176" t="s">
        <v>913</v>
      </c>
      <c r="BB22" s="176">
        <v>1.0</v>
      </c>
      <c r="BC22" s="176">
        <v>1.0</v>
      </c>
      <c r="BD22" s="196" t="s">
        <v>1187</v>
      </c>
      <c r="BE22" s="62"/>
      <c r="BF22" s="62"/>
      <c r="BG22" s="62"/>
      <c r="BH22" s="54"/>
      <c r="BI22" s="54"/>
      <c r="BJ22" s="54"/>
      <c r="BK22" s="54"/>
      <c r="BL22" s="54"/>
      <c r="BM22" s="54"/>
      <c r="BN22" s="54"/>
      <c r="BO22" s="57"/>
      <c r="BP22" s="58" t="s">
        <v>1152</v>
      </c>
      <c r="BQ22" s="58" t="s">
        <v>1188</v>
      </c>
      <c r="BR22" s="57"/>
    </row>
    <row r="23">
      <c r="A23" s="176">
        <v>19.0</v>
      </c>
      <c r="B23" s="177" t="s">
        <v>1189</v>
      </c>
      <c r="C23" s="197" t="s">
        <v>41</v>
      </c>
      <c r="D23" s="50">
        <v>2.0</v>
      </c>
      <c r="E23" s="50">
        <v>0.4</v>
      </c>
      <c r="F23" s="179">
        <v>0.2</v>
      </c>
      <c r="G23" s="179">
        <v>0.2</v>
      </c>
      <c r="H23" s="179">
        <v>0.2</v>
      </c>
      <c r="I23" s="179">
        <v>0.0</v>
      </c>
      <c r="J23" s="50">
        <v>2.0</v>
      </c>
      <c r="K23" s="50">
        <v>0.4</v>
      </c>
      <c r="L23" s="50">
        <v>0.2</v>
      </c>
      <c r="M23" s="50">
        <v>0.2</v>
      </c>
      <c r="N23" s="50">
        <v>0.2</v>
      </c>
      <c r="O23" s="50">
        <v>0.0</v>
      </c>
      <c r="P23" s="180">
        <v>1.0</v>
      </c>
      <c r="Q23" s="180">
        <v>1.0</v>
      </c>
      <c r="R23" s="62"/>
      <c r="S23" s="182">
        <v>0.02</v>
      </c>
      <c r="T23" s="183">
        <v>0.03</v>
      </c>
      <c r="U23" s="183">
        <v>0.0</v>
      </c>
      <c r="V23" s="183">
        <v>0.05</v>
      </c>
      <c r="W23" s="183">
        <v>0.01</v>
      </c>
      <c r="X23" s="62"/>
      <c r="Y23" s="176">
        <v>0.0</v>
      </c>
      <c r="Z23" s="176">
        <v>0.0</v>
      </c>
      <c r="AA23" s="176">
        <v>0.0</v>
      </c>
      <c r="AB23" s="176">
        <v>0.0</v>
      </c>
      <c r="AC23" s="176">
        <v>0.0</v>
      </c>
      <c r="AD23" s="176">
        <v>0.0</v>
      </c>
      <c r="AE23" s="176">
        <v>0.0</v>
      </c>
      <c r="AF23" s="62"/>
      <c r="AG23" s="47">
        <v>0.02</v>
      </c>
      <c r="AH23" s="47">
        <v>0.01</v>
      </c>
      <c r="AI23" s="47">
        <v>0.0</v>
      </c>
      <c r="AJ23" s="47">
        <v>0.05</v>
      </c>
      <c r="AK23" s="54"/>
      <c r="AL23" s="54"/>
      <c r="AM23" s="54"/>
      <c r="AN23" s="62"/>
      <c r="AO23" s="184">
        <f t="shared" ref="AO23:AS23" si="37">ROUND(E23*(5/12)+K23*(5/12)+S23+Y23-AG23,2)</f>
        <v>0.33</v>
      </c>
      <c r="AP23" s="184">
        <f t="shared" si="37"/>
        <v>0.19</v>
      </c>
      <c r="AQ23" s="184">
        <f t="shared" si="37"/>
        <v>0.17</v>
      </c>
      <c r="AR23" s="184">
        <f t="shared" si="37"/>
        <v>0.17</v>
      </c>
      <c r="AS23" s="184">
        <f t="shared" si="37"/>
        <v>0.01</v>
      </c>
      <c r="AT23" s="184">
        <f t="shared" ref="AT23:AU23" si="38">P23+AD23-AL23</f>
        <v>1</v>
      </c>
      <c r="AU23" s="184">
        <f t="shared" si="38"/>
        <v>1</v>
      </c>
      <c r="AV23" s="62"/>
      <c r="AW23" s="176">
        <v>0.367</v>
      </c>
      <c r="AX23" s="176">
        <v>0.13</v>
      </c>
      <c r="AY23" s="176">
        <v>0.1</v>
      </c>
      <c r="AZ23" s="176">
        <v>0.33</v>
      </c>
      <c r="BA23" s="176">
        <v>0.0</v>
      </c>
      <c r="BB23" s="176">
        <v>1.0</v>
      </c>
      <c r="BC23" s="176">
        <v>1.0</v>
      </c>
      <c r="BD23" s="180" t="s">
        <v>1190</v>
      </c>
      <c r="BE23" s="62"/>
      <c r="BF23" s="62"/>
      <c r="BG23" s="62"/>
      <c r="BH23" s="72"/>
      <c r="BI23" s="72"/>
      <c r="BJ23" s="54"/>
      <c r="BK23" s="54"/>
      <c r="BL23" s="54"/>
      <c r="BM23" s="72"/>
      <c r="BN23" s="72"/>
      <c r="BO23" s="57"/>
      <c r="BP23" s="58" t="s">
        <v>1152</v>
      </c>
      <c r="BQ23" s="57"/>
      <c r="BR23" s="57"/>
    </row>
    <row r="24">
      <c r="A24" s="176">
        <v>20.0</v>
      </c>
      <c r="B24" s="177" t="s">
        <v>1191</v>
      </c>
      <c r="C24" s="197" t="s">
        <v>41</v>
      </c>
      <c r="D24" s="50">
        <v>3.0</v>
      </c>
      <c r="E24" s="50">
        <v>0.25</v>
      </c>
      <c r="F24" s="179">
        <v>0.25</v>
      </c>
      <c r="G24" s="179">
        <v>0.0</v>
      </c>
      <c r="H24" s="179">
        <v>0.5</v>
      </c>
      <c r="I24" s="179">
        <v>0.0</v>
      </c>
      <c r="J24" s="50">
        <v>3.0</v>
      </c>
      <c r="K24" s="50">
        <v>0.25</v>
      </c>
      <c r="L24" s="50">
        <v>0.25</v>
      </c>
      <c r="M24" s="50">
        <v>0.0</v>
      </c>
      <c r="N24" s="50">
        <v>0.5</v>
      </c>
      <c r="O24" s="50">
        <v>0.0</v>
      </c>
      <c r="P24" s="180">
        <v>1.0</v>
      </c>
      <c r="Q24" s="180">
        <v>1.0</v>
      </c>
      <c r="R24" s="62"/>
      <c r="S24" s="182">
        <v>0.08</v>
      </c>
      <c r="T24" s="183">
        <v>0.02</v>
      </c>
      <c r="U24" s="183">
        <v>0.02</v>
      </c>
      <c r="V24" s="183">
        <v>0.0</v>
      </c>
      <c r="W24" s="183">
        <v>0.01</v>
      </c>
      <c r="X24" s="62"/>
      <c r="Y24" s="176">
        <v>0.0</v>
      </c>
      <c r="Z24" s="176">
        <v>0.0</v>
      </c>
      <c r="AA24" s="176">
        <v>0.0</v>
      </c>
      <c r="AB24" s="176">
        <v>0.0</v>
      </c>
      <c r="AC24" s="176">
        <v>0.0</v>
      </c>
      <c r="AD24" s="176">
        <v>0.0</v>
      </c>
      <c r="AE24" s="176">
        <v>0.0</v>
      </c>
      <c r="AF24" s="62"/>
      <c r="AG24" s="47"/>
      <c r="AH24" s="58">
        <v>0.005</v>
      </c>
      <c r="AI24" s="58">
        <v>0.02</v>
      </c>
      <c r="AJ24" s="47"/>
      <c r="AK24" s="54"/>
      <c r="AL24" s="54"/>
      <c r="AM24" s="54"/>
      <c r="AN24" s="62"/>
      <c r="AO24" s="184">
        <f t="shared" ref="AO24:AS24" si="39">ROUND(E24*(5/12)+K24*(5/12)+S24+Y24-AG24,2)</f>
        <v>0.29</v>
      </c>
      <c r="AP24" s="184">
        <f t="shared" si="39"/>
        <v>0.22</v>
      </c>
      <c r="AQ24" s="184">
        <f t="shared" si="39"/>
        <v>0</v>
      </c>
      <c r="AR24" s="184">
        <f t="shared" si="39"/>
        <v>0.42</v>
      </c>
      <c r="AS24" s="184">
        <f t="shared" si="39"/>
        <v>0.01</v>
      </c>
      <c r="AT24" s="184">
        <f t="shared" ref="AT24:AU24" si="40">P24+AD24-AL24</f>
        <v>1</v>
      </c>
      <c r="AU24" s="184">
        <f t="shared" si="40"/>
        <v>1</v>
      </c>
      <c r="AV24" s="62"/>
      <c r="AW24" s="176">
        <v>0.5</v>
      </c>
      <c r="AX24" s="176">
        <v>0.22</v>
      </c>
      <c r="AY24" s="176">
        <v>0.05</v>
      </c>
      <c r="AZ24" s="176">
        <v>0.5</v>
      </c>
      <c r="BA24" s="176">
        <v>0.01</v>
      </c>
      <c r="BB24" s="176">
        <v>1.0</v>
      </c>
      <c r="BC24" s="176">
        <v>1.0</v>
      </c>
      <c r="BD24" s="196" t="s">
        <v>1192</v>
      </c>
      <c r="BE24" s="62"/>
      <c r="BF24" s="62"/>
      <c r="BG24" s="62"/>
      <c r="BH24" s="54"/>
      <c r="BI24" s="54"/>
      <c r="BJ24" s="54"/>
      <c r="BK24" s="54"/>
      <c r="BL24" s="54"/>
      <c r="BM24" s="54"/>
      <c r="BN24" s="54"/>
      <c r="BO24" s="57"/>
      <c r="BP24" s="58" t="s">
        <v>1152</v>
      </c>
      <c r="BQ24" s="58" t="s">
        <v>1193</v>
      </c>
      <c r="BR24" s="82"/>
    </row>
    <row r="25">
      <c r="A25" s="176">
        <v>21.0</v>
      </c>
      <c r="B25" s="177" t="s">
        <v>1194</v>
      </c>
      <c r="C25" s="197" t="s">
        <v>41</v>
      </c>
      <c r="D25" s="50">
        <v>4.0</v>
      </c>
      <c r="E25" s="50">
        <v>0.0</v>
      </c>
      <c r="F25" s="179">
        <v>0.0</v>
      </c>
      <c r="G25" s="179">
        <v>0.0</v>
      </c>
      <c r="H25" s="179">
        <v>0.0</v>
      </c>
      <c r="I25" s="179">
        <v>0.0</v>
      </c>
      <c r="J25" s="50">
        <v>3.34</v>
      </c>
      <c r="K25" s="50">
        <v>0.46</v>
      </c>
      <c r="L25" s="50">
        <v>0.0</v>
      </c>
      <c r="M25" s="50">
        <v>0.0</v>
      </c>
      <c r="N25" s="50">
        <v>0.0</v>
      </c>
      <c r="O25" s="50">
        <v>0.2</v>
      </c>
      <c r="P25" s="180">
        <v>1.0</v>
      </c>
      <c r="Q25" s="180">
        <v>1.0</v>
      </c>
      <c r="R25" s="62"/>
      <c r="S25" s="187">
        <v>0.15</v>
      </c>
      <c r="T25" s="188">
        <v>0.02</v>
      </c>
      <c r="U25" s="188">
        <v>0.0</v>
      </c>
      <c r="V25" s="188">
        <v>0.0</v>
      </c>
      <c r="W25" s="188">
        <v>0.01</v>
      </c>
      <c r="X25" s="62"/>
      <c r="Y25" s="176">
        <v>0.0</v>
      </c>
      <c r="Z25" s="176">
        <v>0.0</v>
      </c>
      <c r="AA25" s="176">
        <v>0.0</v>
      </c>
      <c r="AB25" s="176">
        <v>0.0</v>
      </c>
      <c r="AC25" s="176">
        <v>0.0</v>
      </c>
      <c r="AD25" s="176">
        <v>0.0</v>
      </c>
      <c r="AE25" s="176">
        <v>0.0</v>
      </c>
      <c r="AF25" s="62"/>
      <c r="AG25" s="47"/>
      <c r="AH25" s="54"/>
      <c r="AI25" s="54"/>
      <c r="AJ25" s="54"/>
      <c r="AK25" s="54"/>
      <c r="AL25" s="54"/>
      <c r="AM25" s="54"/>
      <c r="AN25" s="62"/>
      <c r="AO25" s="184">
        <f t="shared" ref="AO25:AS25" si="41">ROUND(E25*(5/12)+K25*(5/12)+S25+Y25-AG25,2)</f>
        <v>0.34</v>
      </c>
      <c r="AP25" s="184">
        <f t="shared" si="41"/>
        <v>0.02</v>
      </c>
      <c r="AQ25" s="184">
        <f t="shared" si="41"/>
        <v>0</v>
      </c>
      <c r="AR25" s="184">
        <f t="shared" si="41"/>
        <v>0</v>
      </c>
      <c r="AS25" s="184">
        <f t="shared" si="41"/>
        <v>0.09</v>
      </c>
      <c r="AT25" s="184">
        <f t="shared" ref="AT25:AU25" si="42">P25+AD25-AL25</f>
        <v>1</v>
      </c>
      <c r="AU25" s="184">
        <f t="shared" si="42"/>
        <v>1</v>
      </c>
      <c r="AV25" s="62"/>
      <c r="AW25" s="176">
        <v>0.0</v>
      </c>
      <c r="AX25" s="176">
        <v>0.0</v>
      </c>
      <c r="AY25" s="176" t="s">
        <v>913</v>
      </c>
      <c r="AZ25" s="176" t="s">
        <v>913</v>
      </c>
      <c r="BA25" s="176">
        <v>0.0</v>
      </c>
      <c r="BB25" s="176">
        <v>0.0</v>
      </c>
      <c r="BC25" s="176">
        <v>0.0</v>
      </c>
      <c r="BD25" s="194" t="s">
        <v>1195</v>
      </c>
      <c r="BE25" s="62"/>
      <c r="BF25" s="62"/>
      <c r="BG25" s="62"/>
      <c r="BH25" s="54"/>
      <c r="BI25" s="54"/>
      <c r="BJ25" s="54"/>
      <c r="BK25" s="54"/>
      <c r="BL25" s="54"/>
      <c r="BM25" s="54"/>
      <c r="BN25" s="54"/>
      <c r="BO25" s="57"/>
      <c r="BP25" s="58"/>
      <c r="BQ25" s="57"/>
      <c r="BR25" s="58"/>
    </row>
    <row r="26" ht="18.75" customHeight="1">
      <c r="A26" s="176">
        <v>22.0</v>
      </c>
      <c r="B26" s="177" t="s">
        <v>1196</v>
      </c>
      <c r="C26" s="197" t="s">
        <v>41</v>
      </c>
      <c r="D26" s="50">
        <v>3.0</v>
      </c>
      <c r="E26" s="50">
        <v>0.8</v>
      </c>
      <c r="F26" s="179">
        <v>0.2</v>
      </c>
      <c r="G26" s="179">
        <v>0.0</v>
      </c>
      <c r="H26" s="179">
        <v>0.0</v>
      </c>
      <c r="I26" s="179">
        <v>0.0</v>
      </c>
      <c r="J26" s="50">
        <v>3.33</v>
      </c>
      <c r="K26" s="50">
        <v>0.47</v>
      </c>
      <c r="L26" s="50">
        <v>0.2</v>
      </c>
      <c r="M26" s="50">
        <v>0.0</v>
      </c>
      <c r="N26" s="50">
        <v>0.0</v>
      </c>
      <c r="O26" s="50">
        <v>0.0</v>
      </c>
      <c r="P26" s="180">
        <v>1.0</v>
      </c>
      <c r="Q26" s="180">
        <v>1.0</v>
      </c>
      <c r="R26" s="62"/>
      <c r="S26" s="182">
        <v>0.04</v>
      </c>
      <c r="T26" s="183">
        <v>0.02</v>
      </c>
      <c r="U26" s="183">
        <v>0.0</v>
      </c>
      <c r="V26" s="183">
        <v>0.0</v>
      </c>
      <c r="W26" s="183">
        <v>0.01</v>
      </c>
      <c r="X26" s="62"/>
      <c r="Y26" s="176">
        <v>0.0</v>
      </c>
      <c r="Z26" s="176">
        <v>0.0</v>
      </c>
      <c r="AA26" s="176">
        <v>0.0</v>
      </c>
      <c r="AB26" s="176">
        <v>0.0</v>
      </c>
      <c r="AC26" s="176">
        <v>0.0</v>
      </c>
      <c r="AD26" s="176">
        <v>0.0</v>
      </c>
      <c r="AE26" s="176">
        <v>0.0</v>
      </c>
      <c r="AF26" s="62"/>
      <c r="AG26" s="54"/>
      <c r="AH26" s="47"/>
      <c r="AI26" s="47"/>
      <c r="AJ26" s="54"/>
      <c r="AK26" s="47">
        <v>0.006</v>
      </c>
      <c r="AL26" s="54"/>
      <c r="AM26" s="54"/>
      <c r="AN26" s="62"/>
      <c r="AO26" s="184">
        <f t="shared" ref="AO26:AS26" si="43">ROUND(E26*(5/12)+K26*(5/12)+S26+Y26-AG26,2)</f>
        <v>0.57</v>
      </c>
      <c r="AP26" s="184">
        <f t="shared" si="43"/>
        <v>0.19</v>
      </c>
      <c r="AQ26" s="184">
        <f t="shared" si="43"/>
        <v>0</v>
      </c>
      <c r="AR26" s="184">
        <f t="shared" si="43"/>
        <v>0</v>
      </c>
      <c r="AS26" s="184">
        <f t="shared" si="43"/>
        <v>0</v>
      </c>
      <c r="AT26" s="184">
        <f t="shared" ref="AT26:AU26" si="44">P26+AD26-AL26</f>
        <v>1</v>
      </c>
      <c r="AU26" s="184">
        <f t="shared" si="44"/>
        <v>1</v>
      </c>
      <c r="AV26" s="62"/>
      <c r="AW26" s="176">
        <v>0.2</v>
      </c>
      <c r="AX26" s="176">
        <v>0.134</v>
      </c>
      <c r="AY26" s="176" t="s">
        <v>913</v>
      </c>
      <c r="AZ26" s="176" t="s">
        <v>913</v>
      </c>
      <c r="BA26" s="176" t="s">
        <v>913</v>
      </c>
      <c r="BB26" s="176">
        <v>1.0</v>
      </c>
      <c r="BC26" s="176">
        <v>1.0</v>
      </c>
      <c r="BD26" s="194" t="s">
        <v>1197</v>
      </c>
      <c r="BE26" s="62"/>
      <c r="BF26" s="62"/>
      <c r="BG26" s="62"/>
      <c r="BH26" s="54"/>
      <c r="BI26" s="54"/>
      <c r="BJ26" s="54"/>
      <c r="BK26" s="54"/>
      <c r="BL26" s="54"/>
      <c r="BM26" s="54"/>
      <c r="BN26" s="54"/>
      <c r="BO26" s="57"/>
      <c r="BP26" s="58" t="s">
        <v>1152</v>
      </c>
      <c r="BQ26" s="58"/>
      <c r="BR26" s="84"/>
    </row>
    <row r="27" ht="15.0" customHeight="1">
      <c r="A27" s="176">
        <v>23.0</v>
      </c>
      <c r="B27" s="177" t="s">
        <v>1198</v>
      </c>
      <c r="C27" s="197" t="s">
        <v>41</v>
      </c>
      <c r="D27" s="50">
        <v>4.0</v>
      </c>
      <c r="E27" s="50">
        <v>0.0</v>
      </c>
      <c r="F27" s="50">
        <v>0.0</v>
      </c>
      <c r="G27" s="179">
        <v>0.0</v>
      </c>
      <c r="H27" s="179">
        <v>0.0</v>
      </c>
      <c r="I27" s="179">
        <v>0.0</v>
      </c>
      <c r="J27" s="50">
        <v>4.0</v>
      </c>
      <c r="K27" s="50">
        <v>0.0</v>
      </c>
      <c r="L27" s="50">
        <v>0.0</v>
      </c>
      <c r="M27" s="50">
        <v>0.0</v>
      </c>
      <c r="N27" s="50">
        <v>0.0</v>
      </c>
      <c r="O27" s="50">
        <v>0.0</v>
      </c>
      <c r="P27" s="180">
        <v>1.0</v>
      </c>
      <c r="Q27" s="180">
        <v>1.0</v>
      </c>
      <c r="R27" s="62"/>
      <c r="S27" s="187">
        <v>0.04</v>
      </c>
      <c r="T27" s="188">
        <v>0.02</v>
      </c>
      <c r="U27" s="188">
        <v>0.0</v>
      </c>
      <c r="V27" s="188">
        <v>0.0</v>
      </c>
      <c r="W27" s="188">
        <v>0.01</v>
      </c>
      <c r="X27" s="62"/>
      <c r="Y27" s="176">
        <v>0.0</v>
      </c>
      <c r="Z27" s="176">
        <v>0.0</v>
      </c>
      <c r="AA27" s="176">
        <v>0.0</v>
      </c>
      <c r="AB27" s="176">
        <v>0.0</v>
      </c>
      <c r="AC27" s="176">
        <v>0.0</v>
      </c>
      <c r="AD27" s="176">
        <v>0.0</v>
      </c>
      <c r="AE27" s="176">
        <v>0.0</v>
      </c>
      <c r="AF27" s="62"/>
      <c r="AG27" s="54"/>
      <c r="AH27" s="54"/>
      <c r="AI27" s="54"/>
      <c r="AJ27" s="54"/>
      <c r="AK27" s="54"/>
      <c r="AL27" s="47"/>
      <c r="AM27" s="47"/>
      <c r="AN27" s="62"/>
      <c r="AO27" s="184">
        <f t="shared" ref="AO27:AS27" si="45">ROUND(E27*(5/12)+K27*(5/12)+S27+Y27-AG27,2)</f>
        <v>0.04</v>
      </c>
      <c r="AP27" s="184">
        <f t="shared" si="45"/>
        <v>0.02</v>
      </c>
      <c r="AQ27" s="184">
        <f t="shared" si="45"/>
        <v>0</v>
      </c>
      <c r="AR27" s="184">
        <f t="shared" si="45"/>
        <v>0</v>
      </c>
      <c r="AS27" s="184">
        <f t="shared" si="45"/>
        <v>0.01</v>
      </c>
      <c r="AT27" s="184">
        <f t="shared" ref="AT27:AU27" si="46">P27+AD27-AL27</f>
        <v>1</v>
      </c>
      <c r="AU27" s="184">
        <f t="shared" si="46"/>
        <v>1</v>
      </c>
      <c r="AV27" s="62"/>
      <c r="AW27" s="176">
        <v>0.0</v>
      </c>
      <c r="AX27" s="176">
        <v>0.02</v>
      </c>
      <c r="AY27" s="176" t="s">
        <v>913</v>
      </c>
      <c r="AZ27" s="176" t="s">
        <v>913</v>
      </c>
      <c r="BA27" s="176">
        <v>0.0</v>
      </c>
      <c r="BB27" s="176">
        <v>1.0</v>
      </c>
      <c r="BC27" s="176">
        <v>1.0</v>
      </c>
      <c r="BD27" s="194" t="s">
        <v>1199</v>
      </c>
      <c r="BE27" s="62"/>
      <c r="BF27" s="62"/>
      <c r="BG27" s="62"/>
      <c r="BH27" s="74"/>
      <c r="BI27" s="74"/>
      <c r="BJ27" s="54"/>
      <c r="BK27" s="54"/>
      <c r="BL27" s="54"/>
      <c r="BM27" s="54"/>
      <c r="BN27" s="54"/>
      <c r="BO27" s="57"/>
      <c r="BP27" s="58" t="s">
        <v>1152</v>
      </c>
      <c r="BQ27" s="57"/>
      <c r="BR27" s="57"/>
    </row>
    <row r="28" ht="17.25" customHeight="1">
      <c r="A28" s="176">
        <v>24.0</v>
      </c>
      <c r="B28" s="199" t="s">
        <v>1200</v>
      </c>
      <c r="C28" s="197" t="s">
        <v>41</v>
      </c>
      <c r="D28" s="50">
        <v>3.67</v>
      </c>
      <c r="E28" s="50">
        <v>0.33</v>
      </c>
      <c r="F28" s="50">
        <v>0.0</v>
      </c>
      <c r="G28" s="179">
        <v>0.0</v>
      </c>
      <c r="H28" s="179">
        <v>0.0</v>
      </c>
      <c r="I28" s="179">
        <v>0.0</v>
      </c>
      <c r="J28" s="200"/>
      <c r="K28" s="200"/>
      <c r="L28" s="200"/>
      <c r="M28" s="200"/>
      <c r="N28" s="200"/>
      <c r="O28" s="201"/>
      <c r="P28" s="180">
        <v>1.0</v>
      </c>
      <c r="Q28" s="180">
        <v>1.0</v>
      </c>
      <c r="R28" s="62"/>
      <c r="S28" s="187">
        <v>0.04</v>
      </c>
      <c r="T28" s="188">
        <v>0.02</v>
      </c>
      <c r="U28" s="188">
        <v>0.0</v>
      </c>
      <c r="V28" s="188">
        <v>0.0</v>
      </c>
      <c r="W28" s="188">
        <v>0.01</v>
      </c>
      <c r="X28" s="62"/>
      <c r="Y28" s="176">
        <v>0.0</v>
      </c>
      <c r="Z28" s="176">
        <v>0.0</v>
      </c>
      <c r="AA28" s="176">
        <v>0.0</v>
      </c>
      <c r="AB28" s="176">
        <v>0.0</v>
      </c>
      <c r="AC28" s="176">
        <v>0.0</v>
      </c>
      <c r="AD28" s="176">
        <v>0.0</v>
      </c>
      <c r="AE28" s="176">
        <v>0.0</v>
      </c>
      <c r="AF28" s="62"/>
      <c r="AG28" s="47">
        <v>0.33</v>
      </c>
      <c r="AH28" s="47"/>
      <c r="AI28" s="47"/>
      <c r="AJ28" s="54"/>
      <c r="AK28" s="47">
        <v>0.006</v>
      </c>
      <c r="AL28" s="47"/>
      <c r="AM28" s="47"/>
      <c r="AN28" s="62"/>
      <c r="AO28" s="184">
        <f t="shared" ref="AO28:AS28" si="47">ROUND(E28*(5/12)+K28*(5/12)+S28+Y28-AG28,2)</f>
        <v>-0.15</v>
      </c>
      <c r="AP28" s="184">
        <f t="shared" si="47"/>
        <v>0.02</v>
      </c>
      <c r="AQ28" s="184">
        <f t="shared" si="47"/>
        <v>0</v>
      </c>
      <c r="AR28" s="184">
        <f t="shared" si="47"/>
        <v>0</v>
      </c>
      <c r="AS28" s="184">
        <f t="shared" si="47"/>
        <v>0</v>
      </c>
      <c r="AT28" s="184">
        <f t="shared" ref="AT28:AU28" si="48">P28+AD28-AL28</f>
        <v>1</v>
      </c>
      <c r="AU28" s="184">
        <f t="shared" si="48"/>
        <v>1</v>
      </c>
      <c r="AV28" s="62"/>
      <c r="AW28" s="202"/>
      <c r="AX28" s="202"/>
      <c r="AY28" s="202"/>
      <c r="AZ28" s="202"/>
      <c r="BA28" s="202"/>
      <c r="BB28" s="202"/>
      <c r="BC28" s="202"/>
      <c r="BD28" s="203"/>
      <c r="BE28" s="62"/>
      <c r="BF28" s="62"/>
      <c r="BG28" s="62"/>
      <c r="BH28" s="72"/>
      <c r="BI28" s="77"/>
      <c r="BJ28" s="77"/>
      <c r="BK28" s="77"/>
      <c r="BL28" s="59"/>
      <c r="BM28" s="72"/>
      <c r="BN28" s="54"/>
      <c r="BO28" s="58"/>
      <c r="BP28" s="58"/>
      <c r="BQ28" s="57"/>
      <c r="BR28" s="57"/>
    </row>
    <row r="29">
      <c r="A29" s="176">
        <v>25.0</v>
      </c>
      <c r="B29" s="177" t="s">
        <v>1201</v>
      </c>
      <c r="C29" s="197" t="s">
        <v>41</v>
      </c>
      <c r="D29" s="50">
        <v>3.67</v>
      </c>
      <c r="E29" s="50">
        <v>0.33</v>
      </c>
      <c r="F29" s="50">
        <v>0.0</v>
      </c>
      <c r="G29" s="179">
        <v>0.0</v>
      </c>
      <c r="H29" s="179">
        <v>0.0</v>
      </c>
      <c r="I29" s="179">
        <v>0.0</v>
      </c>
      <c r="J29" s="50">
        <v>4.0</v>
      </c>
      <c r="K29" s="50">
        <v>0.0</v>
      </c>
      <c r="L29" s="50">
        <v>0.0</v>
      </c>
      <c r="M29" s="50">
        <v>0.0</v>
      </c>
      <c r="N29" s="50">
        <v>0.0</v>
      </c>
      <c r="O29" s="50">
        <v>0.0</v>
      </c>
      <c r="P29" s="180">
        <v>1.0</v>
      </c>
      <c r="Q29" s="180">
        <v>1.0</v>
      </c>
      <c r="R29" s="62"/>
      <c r="S29" s="187">
        <v>0.15</v>
      </c>
      <c r="T29" s="188">
        <v>0.02</v>
      </c>
      <c r="U29" s="188">
        <v>0.0</v>
      </c>
      <c r="V29" s="188">
        <v>0.0</v>
      </c>
      <c r="W29" s="188">
        <v>0.01</v>
      </c>
      <c r="X29" s="62"/>
      <c r="Y29" s="176">
        <v>0.0</v>
      </c>
      <c r="Z29" s="176">
        <v>0.0</v>
      </c>
      <c r="AA29" s="176">
        <v>0.0</v>
      </c>
      <c r="AB29" s="176">
        <v>0.0</v>
      </c>
      <c r="AC29" s="176">
        <v>0.0</v>
      </c>
      <c r="AD29" s="176">
        <v>0.0</v>
      </c>
      <c r="AE29" s="176">
        <v>0.0</v>
      </c>
      <c r="AF29" s="62"/>
      <c r="AG29" s="47">
        <v>0.15</v>
      </c>
      <c r="AH29" s="47"/>
      <c r="AI29" s="47"/>
      <c r="AJ29" s="54"/>
      <c r="AK29" s="54"/>
      <c r="AL29" s="54"/>
      <c r="AM29" s="54"/>
      <c r="AN29" s="62"/>
      <c r="AO29" s="184">
        <f t="shared" ref="AO29:AS29" si="49">ROUND(E29*(5/12)+K29*(5/12)+S29+Y29-AG29,2)</f>
        <v>0.14</v>
      </c>
      <c r="AP29" s="184">
        <f t="shared" si="49"/>
        <v>0.02</v>
      </c>
      <c r="AQ29" s="184">
        <f t="shared" si="49"/>
        <v>0</v>
      </c>
      <c r="AR29" s="184">
        <f t="shared" si="49"/>
        <v>0</v>
      </c>
      <c r="AS29" s="184">
        <f t="shared" si="49"/>
        <v>0.01</v>
      </c>
      <c r="AT29" s="184">
        <f t="shared" ref="AT29:AU29" si="50">P29+AD29-AL29</f>
        <v>1</v>
      </c>
      <c r="AU29" s="184">
        <f t="shared" si="50"/>
        <v>1</v>
      </c>
      <c r="AV29" s="62"/>
      <c r="AW29" s="176">
        <v>0.7</v>
      </c>
      <c r="AX29" s="176">
        <v>0.02</v>
      </c>
      <c r="AY29" s="176" t="s">
        <v>913</v>
      </c>
      <c r="AZ29" s="176" t="s">
        <v>913</v>
      </c>
      <c r="BA29" s="176">
        <v>0.0</v>
      </c>
      <c r="BB29" s="176">
        <v>1.0</v>
      </c>
      <c r="BC29" s="176">
        <v>2.0</v>
      </c>
      <c r="BD29" s="180" t="s">
        <v>1202</v>
      </c>
      <c r="BE29" s="62"/>
      <c r="BF29" s="62"/>
      <c r="BG29" s="62"/>
      <c r="BH29" s="54"/>
      <c r="BI29" s="54"/>
      <c r="BJ29" s="54"/>
      <c r="BK29" s="54"/>
      <c r="BL29" s="54"/>
      <c r="BM29" s="54"/>
      <c r="BN29" s="54"/>
      <c r="BO29" s="57"/>
      <c r="BP29" s="58" t="s">
        <v>1152</v>
      </c>
      <c r="BQ29" s="57"/>
      <c r="BR29" s="57"/>
    </row>
    <row r="30">
      <c r="A30" s="176">
        <v>26.0</v>
      </c>
      <c r="B30" s="177" t="s">
        <v>1203</v>
      </c>
      <c r="C30" s="197" t="s">
        <v>41</v>
      </c>
      <c r="D30" s="179">
        <v>4.0</v>
      </c>
      <c r="E30" s="179">
        <v>0.0</v>
      </c>
      <c r="F30" s="50">
        <v>0.0</v>
      </c>
      <c r="G30" s="179">
        <v>0.0</v>
      </c>
      <c r="H30" s="179">
        <v>0.0</v>
      </c>
      <c r="I30" s="179">
        <v>0.0</v>
      </c>
      <c r="J30" s="50">
        <v>4.0</v>
      </c>
      <c r="K30" s="50">
        <v>0.0</v>
      </c>
      <c r="L30" s="50">
        <v>0.0</v>
      </c>
      <c r="M30" s="50">
        <v>0.0</v>
      </c>
      <c r="N30" s="50">
        <v>0.0</v>
      </c>
      <c r="O30" s="50">
        <v>0.0</v>
      </c>
      <c r="P30" s="180">
        <v>1.0</v>
      </c>
      <c r="Q30" s="180">
        <v>1.0</v>
      </c>
      <c r="R30" s="62"/>
      <c r="S30" s="187">
        <v>0.15</v>
      </c>
      <c r="T30" s="188">
        <v>0.02</v>
      </c>
      <c r="U30" s="188">
        <v>0.0</v>
      </c>
      <c r="V30" s="188">
        <v>0.0</v>
      </c>
      <c r="W30" s="188">
        <v>0.01</v>
      </c>
      <c r="X30" s="62"/>
      <c r="Y30" s="176">
        <v>0.0</v>
      </c>
      <c r="Z30" s="176">
        <v>0.0</v>
      </c>
      <c r="AA30" s="176">
        <v>0.0</v>
      </c>
      <c r="AB30" s="176">
        <v>0.0</v>
      </c>
      <c r="AC30" s="176">
        <v>0.0</v>
      </c>
      <c r="AD30" s="176">
        <v>0.0</v>
      </c>
      <c r="AE30" s="176">
        <v>0.0</v>
      </c>
      <c r="AF30" s="62"/>
      <c r="AG30" s="47"/>
      <c r="AH30" s="54"/>
      <c r="AI30" s="54"/>
      <c r="AJ30" s="54"/>
      <c r="AK30" s="54"/>
      <c r="AL30" s="47"/>
      <c r="AM30" s="47"/>
      <c r="AN30" s="62"/>
      <c r="AO30" s="184">
        <f t="shared" ref="AO30:AS30" si="51">ROUND(E30*(5/12)+K30*(5/12)+S30+Y30-AG30,2)</f>
        <v>0.15</v>
      </c>
      <c r="AP30" s="184">
        <f t="shared" si="51"/>
        <v>0.02</v>
      </c>
      <c r="AQ30" s="184">
        <f t="shared" si="51"/>
        <v>0</v>
      </c>
      <c r="AR30" s="184">
        <f t="shared" si="51"/>
        <v>0</v>
      </c>
      <c r="AS30" s="184">
        <f t="shared" si="51"/>
        <v>0.01</v>
      </c>
      <c r="AT30" s="184">
        <f t="shared" ref="AT30:AU30" si="52">P30+AD30-AL30</f>
        <v>1</v>
      </c>
      <c r="AU30" s="184">
        <f t="shared" si="52"/>
        <v>1</v>
      </c>
      <c r="AV30" s="62"/>
      <c r="AW30" s="176">
        <v>0.0</v>
      </c>
      <c r="AX30" s="176">
        <v>0.01</v>
      </c>
      <c r="AY30" s="176" t="s">
        <v>913</v>
      </c>
      <c r="AZ30" s="176" t="s">
        <v>913</v>
      </c>
      <c r="BA30" s="176">
        <v>0.01</v>
      </c>
      <c r="BB30" s="176">
        <v>1.0</v>
      </c>
      <c r="BC30" s="176">
        <v>1.0</v>
      </c>
      <c r="BD30" s="194" t="s">
        <v>1204</v>
      </c>
      <c r="BE30" s="62"/>
      <c r="BF30" s="62"/>
      <c r="BG30" s="62"/>
      <c r="BH30" s="54"/>
      <c r="BI30" s="54"/>
      <c r="BJ30" s="54"/>
      <c r="BK30" s="54"/>
      <c r="BL30" s="54"/>
      <c r="BM30" s="54"/>
      <c r="BN30" s="54"/>
      <c r="BO30" s="57"/>
      <c r="BP30" s="58" t="s">
        <v>1152</v>
      </c>
      <c r="BQ30" s="57"/>
      <c r="BR30" s="57"/>
    </row>
    <row r="31">
      <c r="A31" s="176">
        <v>27.0</v>
      </c>
      <c r="B31" s="177" t="s">
        <v>1205</v>
      </c>
      <c r="C31" s="197" t="s">
        <v>41</v>
      </c>
      <c r="D31" s="179">
        <v>3.67</v>
      </c>
      <c r="E31" s="179">
        <v>0.33</v>
      </c>
      <c r="F31" s="50">
        <v>0.0</v>
      </c>
      <c r="G31" s="179">
        <v>0.0</v>
      </c>
      <c r="H31" s="179">
        <v>0.0</v>
      </c>
      <c r="I31" s="179">
        <v>0.0</v>
      </c>
      <c r="J31" s="50">
        <v>3.0</v>
      </c>
      <c r="K31" s="50">
        <v>1.0</v>
      </c>
      <c r="L31" s="50">
        <v>0.0</v>
      </c>
      <c r="M31" s="50">
        <v>0.0</v>
      </c>
      <c r="N31" s="50">
        <v>0.0</v>
      </c>
      <c r="O31" s="50">
        <v>0.0</v>
      </c>
      <c r="P31" s="180">
        <v>1.0</v>
      </c>
      <c r="Q31" s="180">
        <v>1.0</v>
      </c>
      <c r="R31" s="62"/>
      <c r="S31" s="187">
        <v>0.04</v>
      </c>
      <c r="T31" s="188">
        <v>0.02</v>
      </c>
      <c r="U31" s="188">
        <v>0.0</v>
      </c>
      <c r="V31" s="188">
        <v>0.0</v>
      </c>
      <c r="W31" s="188">
        <v>0.01</v>
      </c>
      <c r="X31" s="62"/>
      <c r="Y31" s="176">
        <v>0.0</v>
      </c>
      <c r="Z31" s="176">
        <v>0.0</v>
      </c>
      <c r="AA31" s="176">
        <v>0.0</v>
      </c>
      <c r="AB31" s="176">
        <v>0.0</v>
      </c>
      <c r="AC31" s="176">
        <v>0.0</v>
      </c>
      <c r="AD31" s="176">
        <v>0.0</v>
      </c>
      <c r="AE31" s="176">
        <v>0.0</v>
      </c>
      <c r="AF31" s="62"/>
      <c r="AG31" s="47"/>
      <c r="AH31" s="54"/>
      <c r="AI31" s="54"/>
      <c r="AJ31" s="54"/>
      <c r="AK31" s="54"/>
      <c r="AL31" s="54"/>
      <c r="AM31" s="47">
        <v>1.0</v>
      </c>
      <c r="AN31" s="62"/>
      <c r="AO31" s="184">
        <f t="shared" ref="AO31:AS31" si="53">ROUND(E31*(5/12)+K31*(5/12)+S31+Y31-AG31,2)</f>
        <v>0.59</v>
      </c>
      <c r="AP31" s="184">
        <f t="shared" si="53"/>
        <v>0.02</v>
      </c>
      <c r="AQ31" s="184">
        <f t="shared" si="53"/>
        <v>0</v>
      </c>
      <c r="AR31" s="184">
        <f t="shared" si="53"/>
        <v>0</v>
      </c>
      <c r="AS31" s="184">
        <f t="shared" si="53"/>
        <v>0.01</v>
      </c>
      <c r="AT31" s="184">
        <f t="shared" ref="AT31:AU31" si="54">P31+AD31-AL31</f>
        <v>1</v>
      </c>
      <c r="AU31" s="184">
        <f t="shared" si="54"/>
        <v>0</v>
      </c>
      <c r="AV31" s="62"/>
      <c r="AW31" s="176">
        <v>0.75</v>
      </c>
      <c r="AX31" s="176">
        <v>0.02</v>
      </c>
      <c r="AY31" s="176" t="s">
        <v>913</v>
      </c>
      <c r="AZ31" s="176" t="s">
        <v>913</v>
      </c>
      <c r="BA31" s="176">
        <v>0.01</v>
      </c>
      <c r="BB31" s="176">
        <v>1.0</v>
      </c>
      <c r="BC31" s="176">
        <v>0.0</v>
      </c>
      <c r="BD31" s="196" t="s">
        <v>1206</v>
      </c>
      <c r="BE31" s="62"/>
      <c r="BF31" s="62"/>
      <c r="BG31" s="62"/>
      <c r="BH31" s="54"/>
      <c r="BI31" s="54"/>
      <c r="BJ31" s="54"/>
      <c r="BK31" s="54"/>
      <c r="BL31" s="54"/>
      <c r="BM31" s="54"/>
      <c r="BN31" s="54"/>
      <c r="BO31" s="57"/>
      <c r="BP31" s="58" t="s">
        <v>1152</v>
      </c>
      <c r="BQ31" s="57"/>
      <c r="BR31" s="57"/>
    </row>
    <row r="32">
      <c r="A32" s="176">
        <v>28.0</v>
      </c>
      <c r="B32" s="177" t="s">
        <v>1207</v>
      </c>
      <c r="C32" s="197" t="s">
        <v>41</v>
      </c>
      <c r="D32" s="179">
        <v>3.0</v>
      </c>
      <c r="E32" s="179">
        <v>1.0</v>
      </c>
      <c r="F32" s="50">
        <v>0.0</v>
      </c>
      <c r="G32" s="179">
        <v>0.0</v>
      </c>
      <c r="H32" s="179">
        <v>0.0</v>
      </c>
      <c r="I32" s="179">
        <v>0.0</v>
      </c>
      <c r="J32" s="50">
        <v>3.0</v>
      </c>
      <c r="K32" s="50">
        <v>1.0</v>
      </c>
      <c r="L32" s="50">
        <v>0.0</v>
      </c>
      <c r="M32" s="50">
        <v>0.0</v>
      </c>
      <c r="N32" s="50">
        <v>0.0</v>
      </c>
      <c r="O32" s="50">
        <v>0.0</v>
      </c>
      <c r="P32" s="180">
        <v>1.0</v>
      </c>
      <c r="Q32" s="180">
        <v>1.0</v>
      </c>
      <c r="R32" s="62"/>
      <c r="S32" s="187">
        <v>0.09</v>
      </c>
      <c r="T32" s="188">
        <v>0.02</v>
      </c>
      <c r="U32" s="188">
        <v>0.0</v>
      </c>
      <c r="V32" s="188">
        <v>0.0</v>
      </c>
      <c r="W32" s="188">
        <v>0.01</v>
      </c>
      <c r="X32" s="62"/>
      <c r="Y32" s="176">
        <v>0.0</v>
      </c>
      <c r="Z32" s="176">
        <v>0.0</v>
      </c>
      <c r="AA32" s="176">
        <v>0.0</v>
      </c>
      <c r="AB32" s="176">
        <v>0.0</v>
      </c>
      <c r="AC32" s="176">
        <v>0.0</v>
      </c>
      <c r="AD32" s="176">
        <v>0.0</v>
      </c>
      <c r="AE32" s="176">
        <v>0.0</v>
      </c>
      <c r="AF32" s="62"/>
      <c r="AG32" s="47">
        <v>0.22</v>
      </c>
      <c r="AH32" s="54"/>
      <c r="AI32" s="54"/>
      <c r="AJ32" s="54"/>
      <c r="AK32" s="54"/>
      <c r="AL32" s="54"/>
      <c r="AM32" s="54"/>
      <c r="AN32" s="62"/>
      <c r="AO32" s="184">
        <f t="shared" ref="AO32:AS32" si="55">ROUND(E32*(5/12)+K32*(5/12)+S32+Y32-AG32,2)</f>
        <v>0.7</v>
      </c>
      <c r="AP32" s="184">
        <f t="shared" si="55"/>
        <v>0.02</v>
      </c>
      <c r="AQ32" s="184">
        <f t="shared" si="55"/>
        <v>0</v>
      </c>
      <c r="AR32" s="184">
        <f t="shared" si="55"/>
        <v>0</v>
      </c>
      <c r="AS32" s="184">
        <f t="shared" si="55"/>
        <v>0.01</v>
      </c>
      <c r="AT32" s="184">
        <f t="shared" ref="AT32:AU32" si="56">P32+AD32-AL32</f>
        <v>1</v>
      </c>
      <c r="AU32" s="184">
        <f t="shared" si="56"/>
        <v>1</v>
      </c>
      <c r="AV32" s="62"/>
      <c r="AW32" s="176">
        <v>0.78</v>
      </c>
      <c r="AX32" s="176">
        <v>0.0</v>
      </c>
      <c r="AY32" s="176" t="s">
        <v>913</v>
      </c>
      <c r="AZ32" s="176" t="s">
        <v>913</v>
      </c>
      <c r="BA32" s="176">
        <v>0.0</v>
      </c>
      <c r="BB32" s="176">
        <v>1.0</v>
      </c>
      <c r="BC32" s="176">
        <v>1.0</v>
      </c>
      <c r="BD32" s="196" t="s">
        <v>1208</v>
      </c>
      <c r="BE32" s="62"/>
      <c r="BF32" s="62"/>
      <c r="BG32" s="62"/>
      <c r="BH32" s="54"/>
      <c r="BI32" s="54"/>
      <c r="BJ32" s="54"/>
      <c r="BK32" s="54"/>
      <c r="BL32" s="54"/>
      <c r="BM32" s="54"/>
      <c r="BN32" s="54"/>
      <c r="BO32" s="57"/>
      <c r="BP32" s="58" t="s">
        <v>1152</v>
      </c>
      <c r="BQ32" s="57"/>
      <c r="BR32" s="58" t="s">
        <v>1209</v>
      </c>
    </row>
    <row r="33">
      <c r="A33" s="176">
        <v>29.0</v>
      </c>
      <c r="B33" s="177" t="s">
        <v>1210</v>
      </c>
      <c r="C33" s="197" t="s">
        <v>41</v>
      </c>
      <c r="D33" s="179">
        <v>3.33</v>
      </c>
      <c r="E33" s="179">
        <v>0.42</v>
      </c>
      <c r="F33" s="179">
        <v>0.25</v>
      </c>
      <c r="G33" s="179">
        <v>0.0</v>
      </c>
      <c r="H33" s="179">
        <v>0.0</v>
      </c>
      <c r="I33" s="179">
        <v>0.0</v>
      </c>
      <c r="J33" s="50">
        <v>3.0</v>
      </c>
      <c r="K33" s="50">
        <v>0.75</v>
      </c>
      <c r="L33" s="50">
        <v>0.25</v>
      </c>
      <c r="M33" s="50">
        <v>0.0</v>
      </c>
      <c r="N33" s="50">
        <v>0.0</v>
      </c>
      <c r="O33" s="50">
        <v>0.0</v>
      </c>
      <c r="P33" s="180">
        <v>1.0</v>
      </c>
      <c r="Q33" s="180">
        <v>1.0</v>
      </c>
      <c r="R33" s="62"/>
      <c r="S33" s="187">
        <v>0.04</v>
      </c>
      <c r="T33" s="188">
        <v>0.02</v>
      </c>
      <c r="U33" s="188">
        <v>0.0</v>
      </c>
      <c r="V33" s="188">
        <v>0.0</v>
      </c>
      <c r="W33" s="188">
        <v>0.01</v>
      </c>
      <c r="X33" s="62"/>
      <c r="Y33" s="176">
        <v>0.0</v>
      </c>
      <c r="Z33" s="176">
        <v>0.0</v>
      </c>
      <c r="AA33" s="176">
        <v>0.0</v>
      </c>
      <c r="AB33" s="176">
        <v>0.0</v>
      </c>
      <c r="AC33" s="176">
        <v>0.0</v>
      </c>
      <c r="AD33" s="176">
        <v>0.0</v>
      </c>
      <c r="AE33" s="204">
        <v>1.0</v>
      </c>
      <c r="AF33" s="62"/>
      <c r="AG33" s="54"/>
      <c r="AH33" s="47">
        <v>0.02</v>
      </c>
      <c r="AI33" s="54"/>
      <c r="AJ33" s="47">
        <v>0.03</v>
      </c>
      <c r="AK33" s="54"/>
      <c r="AL33" s="54"/>
      <c r="AM33" s="54"/>
      <c r="AN33" s="62"/>
      <c r="AO33" s="184">
        <f t="shared" ref="AO33:AS33" si="57">ROUND(E33*(5/12)+K33*(5/12)+S33+Y33-AG33,2)</f>
        <v>0.53</v>
      </c>
      <c r="AP33" s="184">
        <f t="shared" si="57"/>
        <v>0.21</v>
      </c>
      <c r="AQ33" s="184">
        <f t="shared" si="57"/>
        <v>0</v>
      </c>
      <c r="AR33" s="184">
        <f t="shared" si="57"/>
        <v>-0.03</v>
      </c>
      <c r="AS33" s="184">
        <f t="shared" si="57"/>
        <v>0.01</v>
      </c>
      <c r="AT33" s="184">
        <f t="shared" ref="AT33:AU33" si="58">P33+AD33-AL33</f>
        <v>1</v>
      </c>
      <c r="AU33" s="184">
        <f t="shared" si="58"/>
        <v>2</v>
      </c>
      <c r="AV33" s="62"/>
      <c r="AW33" s="176">
        <v>0.0</v>
      </c>
      <c r="AX33" s="176">
        <v>0.23</v>
      </c>
      <c r="AY33" s="176" t="s">
        <v>913</v>
      </c>
      <c r="AZ33" s="176" t="s">
        <v>913</v>
      </c>
      <c r="BA33" s="176">
        <v>0.0</v>
      </c>
      <c r="BB33" s="176">
        <v>0.0</v>
      </c>
      <c r="BC33" s="176">
        <v>2.0</v>
      </c>
      <c r="BD33" s="205" t="s">
        <v>1211</v>
      </c>
      <c r="BE33" s="62"/>
      <c r="BF33" s="62"/>
      <c r="BG33" s="62"/>
      <c r="BH33" s="54"/>
      <c r="BI33" s="54"/>
      <c r="BJ33" s="54"/>
      <c r="BK33" s="54"/>
      <c r="BL33" s="54"/>
      <c r="BM33" s="72"/>
      <c r="BN33" s="54"/>
      <c r="BO33" s="57"/>
      <c r="BP33" s="58" t="s">
        <v>1152</v>
      </c>
      <c r="BQ33" s="57"/>
      <c r="BR33" s="57"/>
    </row>
    <row r="34">
      <c r="A34" s="176">
        <v>30.0</v>
      </c>
      <c r="B34" s="177" t="s">
        <v>1212</v>
      </c>
      <c r="C34" s="197" t="s">
        <v>41</v>
      </c>
      <c r="D34" s="50">
        <v>3.33</v>
      </c>
      <c r="E34" s="50">
        <v>0.22</v>
      </c>
      <c r="F34" s="179">
        <v>0.25</v>
      </c>
      <c r="G34" s="179">
        <v>0.2</v>
      </c>
      <c r="H34" s="179">
        <v>0.0</v>
      </c>
      <c r="I34" s="179">
        <v>0.0</v>
      </c>
      <c r="J34" s="50">
        <v>3.0</v>
      </c>
      <c r="K34" s="50">
        <v>0.55</v>
      </c>
      <c r="L34" s="50">
        <v>0.25</v>
      </c>
      <c r="M34" s="50">
        <v>0.2</v>
      </c>
      <c r="N34" s="50">
        <v>0.0</v>
      </c>
      <c r="O34" s="50">
        <v>0.0</v>
      </c>
      <c r="P34" s="180">
        <v>1.0</v>
      </c>
      <c r="Q34" s="180">
        <v>1.0</v>
      </c>
      <c r="R34" s="62"/>
      <c r="S34" s="182">
        <v>0.08</v>
      </c>
      <c r="T34" s="183">
        <v>0.02</v>
      </c>
      <c r="U34" s="183">
        <v>0.02</v>
      </c>
      <c r="V34" s="183">
        <v>0.0</v>
      </c>
      <c r="W34" s="183">
        <v>0.01</v>
      </c>
      <c r="X34" s="62"/>
      <c r="Y34" s="176">
        <v>0.0</v>
      </c>
      <c r="Z34" s="176">
        <v>0.0</v>
      </c>
      <c r="AA34" s="176">
        <v>0.0</v>
      </c>
      <c r="AB34" s="176">
        <v>0.0</v>
      </c>
      <c r="AC34" s="176">
        <v>0.0</v>
      </c>
      <c r="AD34" s="176">
        <v>0.0</v>
      </c>
      <c r="AE34" s="176">
        <v>0.0</v>
      </c>
      <c r="AF34" s="62"/>
      <c r="AG34" s="47">
        <v>0.08</v>
      </c>
      <c r="AH34" s="47">
        <v>0.02</v>
      </c>
      <c r="AI34" s="47">
        <v>0.02</v>
      </c>
      <c r="AJ34" s="47">
        <v>0.0</v>
      </c>
      <c r="AK34" s="47">
        <v>0.006</v>
      </c>
      <c r="AL34" s="54"/>
      <c r="AM34" s="47"/>
      <c r="AN34" s="62"/>
      <c r="AO34" s="184">
        <f t="shared" ref="AO34:AS34" si="59">ROUND(E34*(5/12)+K34*(5/12)+S34+Y34-AG34,2)</f>
        <v>0.32</v>
      </c>
      <c r="AP34" s="184">
        <f t="shared" si="59"/>
        <v>0.21</v>
      </c>
      <c r="AQ34" s="184">
        <f t="shared" si="59"/>
        <v>0.17</v>
      </c>
      <c r="AR34" s="184">
        <f t="shared" si="59"/>
        <v>0</v>
      </c>
      <c r="AS34" s="184">
        <f t="shared" si="59"/>
        <v>0</v>
      </c>
      <c r="AT34" s="184">
        <f t="shared" ref="AT34:AU34" si="60">P34+AD34-AL34</f>
        <v>1</v>
      </c>
      <c r="AU34" s="184">
        <f t="shared" si="60"/>
        <v>1</v>
      </c>
      <c r="AV34" s="62"/>
      <c r="AW34" s="176">
        <v>0.5</v>
      </c>
      <c r="AX34" s="176">
        <v>0.23</v>
      </c>
      <c r="AY34" s="176">
        <v>0.17</v>
      </c>
      <c r="AZ34" s="176" t="s">
        <v>913</v>
      </c>
      <c r="BA34" s="176" t="s">
        <v>913</v>
      </c>
      <c r="BB34" s="176">
        <v>1.0</v>
      </c>
      <c r="BC34" s="176">
        <v>1.0</v>
      </c>
      <c r="BD34" s="205" t="s">
        <v>1213</v>
      </c>
      <c r="BE34" s="62"/>
      <c r="BF34" s="62"/>
      <c r="BG34" s="62"/>
      <c r="BH34" s="54"/>
      <c r="BI34" s="54"/>
      <c r="BJ34" s="54"/>
      <c r="BK34" s="54"/>
      <c r="BL34" s="54"/>
      <c r="BM34" s="72"/>
      <c r="BN34" s="54"/>
      <c r="BO34" s="57"/>
      <c r="BP34" s="58" t="s">
        <v>1152</v>
      </c>
      <c r="BQ34" s="57"/>
      <c r="BR34" s="57"/>
    </row>
    <row r="35">
      <c r="A35" s="176">
        <v>31.0</v>
      </c>
      <c r="B35" s="177" t="s">
        <v>1214</v>
      </c>
      <c r="C35" s="197" t="s">
        <v>41</v>
      </c>
      <c r="D35" s="50">
        <v>3.0</v>
      </c>
      <c r="E35" s="50">
        <v>0.67</v>
      </c>
      <c r="F35" s="179">
        <v>0.0</v>
      </c>
      <c r="G35" s="179">
        <v>0.0</v>
      </c>
      <c r="H35" s="179">
        <v>0.0</v>
      </c>
      <c r="I35" s="179">
        <v>0.33</v>
      </c>
      <c r="J35" s="50">
        <v>3.0</v>
      </c>
      <c r="K35" s="50">
        <v>0.8</v>
      </c>
      <c r="L35" s="50">
        <v>0.0</v>
      </c>
      <c r="M35" s="50">
        <v>0.0</v>
      </c>
      <c r="N35" s="50">
        <v>0.0</v>
      </c>
      <c r="O35" s="50">
        <v>0.2</v>
      </c>
      <c r="P35" s="180">
        <v>1.0</v>
      </c>
      <c r="Q35" s="180">
        <v>1.0</v>
      </c>
      <c r="R35" s="62"/>
      <c r="S35" s="182">
        <v>0.09</v>
      </c>
      <c r="T35" s="183">
        <v>0.02</v>
      </c>
      <c r="U35" s="183">
        <v>0.0</v>
      </c>
      <c r="V35" s="183">
        <v>0.0</v>
      </c>
      <c r="W35" s="183">
        <v>0.01</v>
      </c>
      <c r="X35" s="62"/>
      <c r="Y35" s="176">
        <v>0.0</v>
      </c>
      <c r="Z35" s="176">
        <v>0.0</v>
      </c>
      <c r="AA35" s="176">
        <v>0.0</v>
      </c>
      <c r="AB35" s="176">
        <v>0.0</v>
      </c>
      <c r="AC35" s="176">
        <v>0.0</v>
      </c>
      <c r="AD35" s="176">
        <v>0.0</v>
      </c>
      <c r="AE35" s="176">
        <v>0.0</v>
      </c>
      <c r="AF35" s="62"/>
      <c r="AG35" s="47">
        <v>0.13</v>
      </c>
      <c r="AH35" s="47"/>
      <c r="AI35" s="47"/>
      <c r="AJ35" s="54"/>
      <c r="AK35" s="47">
        <v>0.018</v>
      </c>
      <c r="AL35" s="54"/>
      <c r="AM35" s="54"/>
      <c r="AN35" s="62"/>
      <c r="AO35" s="184">
        <f t="shared" ref="AO35:AS35" si="61">ROUND(E35*(5/12)+K35*(5/12)+S35+Y35-AG35,2)</f>
        <v>0.57</v>
      </c>
      <c r="AP35" s="184">
        <f t="shared" si="61"/>
        <v>0.02</v>
      </c>
      <c r="AQ35" s="184">
        <f t="shared" si="61"/>
        <v>0</v>
      </c>
      <c r="AR35" s="184">
        <f t="shared" si="61"/>
        <v>0</v>
      </c>
      <c r="AS35" s="184">
        <f t="shared" si="61"/>
        <v>0.21</v>
      </c>
      <c r="AT35" s="184">
        <f t="shared" ref="AT35:AU35" si="62">P35+AD35-AL35</f>
        <v>1</v>
      </c>
      <c r="AU35" s="184">
        <f t="shared" si="62"/>
        <v>1</v>
      </c>
      <c r="AV35" s="62"/>
      <c r="AW35" s="176">
        <v>0.58</v>
      </c>
      <c r="AX35" s="176">
        <v>0.02</v>
      </c>
      <c r="AY35" s="176" t="s">
        <v>913</v>
      </c>
      <c r="AZ35" s="176" t="s">
        <v>913</v>
      </c>
      <c r="BA35" s="176">
        <v>0.21</v>
      </c>
      <c r="BB35" s="176">
        <v>1.0</v>
      </c>
      <c r="BC35" s="176">
        <v>1.0</v>
      </c>
      <c r="BD35" s="191" t="s">
        <v>1215</v>
      </c>
      <c r="BE35" s="62"/>
      <c r="BF35" s="62"/>
      <c r="BG35" s="62"/>
      <c r="BH35" s="54"/>
      <c r="BI35" s="54"/>
      <c r="BJ35" s="54"/>
      <c r="BK35" s="54"/>
      <c r="BL35" s="54"/>
      <c r="BM35" s="54"/>
      <c r="BN35" s="54"/>
      <c r="BO35" s="57"/>
      <c r="BP35" s="58" t="s">
        <v>1152</v>
      </c>
      <c r="BQ35" s="57"/>
      <c r="BR35" s="58"/>
    </row>
    <row r="36">
      <c r="A36" s="176">
        <v>32.0</v>
      </c>
      <c r="B36" s="177" t="s">
        <v>1216</v>
      </c>
      <c r="C36" s="197" t="s">
        <v>41</v>
      </c>
      <c r="D36" s="179">
        <v>1.33</v>
      </c>
      <c r="E36" s="179">
        <v>0.47</v>
      </c>
      <c r="F36" s="179">
        <v>0.0</v>
      </c>
      <c r="G36" s="179">
        <v>0.2</v>
      </c>
      <c r="H36" s="179">
        <v>0.0</v>
      </c>
      <c r="I36" s="179">
        <v>0.0</v>
      </c>
      <c r="J36" s="50">
        <v>2.0</v>
      </c>
      <c r="K36" s="50">
        <v>1.8</v>
      </c>
      <c r="L36" s="50">
        <v>0.0</v>
      </c>
      <c r="M36" s="50">
        <v>0.2</v>
      </c>
      <c r="N36" s="50">
        <v>0.0</v>
      </c>
      <c r="O36" s="50">
        <v>0.0</v>
      </c>
      <c r="P36" s="180">
        <v>1.0</v>
      </c>
      <c r="Q36" s="180">
        <v>1.0</v>
      </c>
      <c r="R36" s="62"/>
      <c r="S36" s="182">
        <v>0.17</v>
      </c>
      <c r="T36" s="183">
        <v>0.0</v>
      </c>
      <c r="U36" s="183">
        <v>0.0</v>
      </c>
      <c r="V36" s="183">
        <v>0.0</v>
      </c>
      <c r="W36" s="183">
        <v>0.0</v>
      </c>
      <c r="X36" s="62"/>
      <c r="Y36" s="176">
        <v>0.0</v>
      </c>
      <c r="Z36" s="176">
        <v>0.0</v>
      </c>
      <c r="AA36" s="176">
        <v>0.0</v>
      </c>
      <c r="AB36" s="176">
        <v>0.0</v>
      </c>
      <c r="AC36" s="176">
        <v>0.0</v>
      </c>
      <c r="AD36" s="176">
        <v>0.0</v>
      </c>
      <c r="AE36" s="176">
        <v>0.0</v>
      </c>
      <c r="AF36" s="62"/>
      <c r="AG36" s="47">
        <v>0.09</v>
      </c>
      <c r="AH36" s="54"/>
      <c r="AI36" s="54"/>
      <c r="AJ36" s="54"/>
      <c r="AK36" s="54"/>
      <c r="AL36" s="54"/>
      <c r="AM36" s="54"/>
      <c r="AN36" s="62"/>
      <c r="AO36" s="184">
        <f t="shared" ref="AO36:AS36" si="63">ROUND(E36*(5/12)+K36*(5/12)+S36+Y36-AG36,2)</f>
        <v>1.03</v>
      </c>
      <c r="AP36" s="184">
        <f t="shared" si="63"/>
        <v>0</v>
      </c>
      <c r="AQ36" s="184">
        <f t="shared" si="63"/>
        <v>0.17</v>
      </c>
      <c r="AR36" s="184">
        <f t="shared" si="63"/>
        <v>0</v>
      </c>
      <c r="AS36" s="184">
        <f t="shared" si="63"/>
        <v>0</v>
      </c>
      <c r="AT36" s="184">
        <f t="shared" ref="AT36:AU36" si="64">P36+AD36-AL36</f>
        <v>1</v>
      </c>
      <c r="AU36" s="184">
        <f t="shared" si="64"/>
        <v>1</v>
      </c>
      <c r="AV36" s="62"/>
      <c r="AW36" s="202"/>
      <c r="AX36" s="202"/>
      <c r="AY36" s="202"/>
      <c r="AZ36" s="202"/>
      <c r="BA36" s="202"/>
      <c r="BB36" s="202"/>
      <c r="BC36" s="202"/>
      <c r="BD36" s="203" t="s">
        <v>1217</v>
      </c>
      <c r="BE36" s="62"/>
      <c r="BF36" s="62"/>
      <c r="BG36" s="62"/>
      <c r="BH36" s="63"/>
      <c r="BI36" s="63"/>
      <c r="BJ36" s="54"/>
      <c r="BK36" s="54"/>
      <c r="BL36" s="54"/>
      <c r="BM36" s="54"/>
      <c r="BN36" s="54"/>
      <c r="BO36" s="58"/>
      <c r="BP36" s="58"/>
      <c r="BQ36" s="58" t="s">
        <v>1218</v>
      </c>
      <c r="BR36" s="57"/>
    </row>
    <row r="37">
      <c r="A37" s="176">
        <v>33.0</v>
      </c>
      <c r="B37" s="177" t="s">
        <v>1219</v>
      </c>
      <c r="C37" s="197" t="s">
        <v>41</v>
      </c>
      <c r="D37" s="179">
        <v>3.67</v>
      </c>
      <c r="E37" s="179">
        <v>0.33</v>
      </c>
      <c r="F37" s="179">
        <v>0.0</v>
      </c>
      <c r="G37" s="179">
        <v>0.0</v>
      </c>
      <c r="H37" s="179">
        <v>0.0</v>
      </c>
      <c r="I37" s="179">
        <v>0.0</v>
      </c>
      <c r="J37" s="50">
        <v>3.33</v>
      </c>
      <c r="K37" s="50">
        <v>0.67</v>
      </c>
      <c r="L37" s="50">
        <v>0.0</v>
      </c>
      <c r="M37" s="50">
        <v>0.0</v>
      </c>
      <c r="N37" s="50">
        <v>0.0</v>
      </c>
      <c r="O37" s="50">
        <v>0.0</v>
      </c>
      <c r="P37" s="180">
        <v>1.0</v>
      </c>
      <c r="Q37" s="180">
        <v>1.0</v>
      </c>
      <c r="R37" s="62"/>
      <c r="S37" s="187">
        <v>0.09</v>
      </c>
      <c r="T37" s="188">
        <v>0.02</v>
      </c>
      <c r="U37" s="188">
        <v>0.0</v>
      </c>
      <c r="V37" s="188">
        <v>0.0</v>
      </c>
      <c r="W37" s="188">
        <v>0.01</v>
      </c>
      <c r="X37" s="62"/>
      <c r="Y37" s="176">
        <v>0.0</v>
      </c>
      <c r="Z37" s="176">
        <v>0.0</v>
      </c>
      <c r="AA37" s="176">
        <v>0.0</v>
      </c>
      <c r="AB37" s="176">
        <v>0.0</v>
      </c>
      <c r="AC37" s="176">
        <v>0.0</v>
      </c>
      <c r="AD37" s="176">
        <v>0.0</v>
      </c>
      <c r="AE37" s="176">
        <v>0.0</v>
      </c>
      <c r="AF37" s="62"/>
      <c r="AG37" s="47">
        <v>0.09</v>
      </c>
      <c r="AH37" s="47">
        <v>0.02</v>
      </c>
      <c r="AI37" s="54"/>
      <c r="AJ37" s="54"/>
      <c r="AK37" s="47">
        <v>0.006</v>
      </c>
      <c r="AL37" s="54"/>
      <c r="AM37" s="54"/>
      <c r="AN37" s="62"/>
      <c r="AO37" s="184">
        <f t="shared" ref="AO37:AS37" si="65">ROUND(E37*(5/12)+K37*(5/12)+S37+Y37-AG37,2)</f>
        <v>0.42</v>
      </c>
      <c r="AP37" s="184">
        <f t="shared" si="65"/>
        <v>0</v>
      </c>
      <c r="AQ37" s="184">
        <f t="shared" si="65"/>
        <v>0</v>
      </c>
      <c r="AR37" s="184">
        <f t="shared" si="65"/>
        <v>0</v>
      </c>
      <c r="AS37" s="184">
        <f t="shared" si="65"/>
        <v>0</v>
      </c>
      <c r="AT37" s="184">
        <f t="shared" ref="AT37:AU37" si="66">P37+AD37-AL37</f>
        <v>1</v>
      </c>
      <c r="AU37" s="184">
        <f t="shared" si="66"/>
        <v>1</v>
      </c>
      <c r="AV37" s="62"/>
      <c r="AW37" s="176">
        <v>0.5</v>
      </c>
      <c r="AX37" s="176">
        <v>0.006</v>
      </c>
      <c r="AY37" s="176" t="s">
        <v>913</v>
      </c>
      <c r="AZ37" s="176" t="s">
        <v>913</v>
      </c>
      <c r="BA37" s="176" t="s">
        <v>913</v>
      </c>
      <c r="BB37" s="176">
        <v>1.0</v>
      </c>
      <c r="BC37" s="176">
        <v>1.0</v>
      </c>
      <c r="BD37" s="196" t="s">
        <v>1220</v>
      </c>
      <c r="BE37" s="62"/>
      <c r="BF37" s="62"/>
      <c r="BG37" s="62"/>
      <c r="BH37" s="54"/>
      <c r="BI37" s="54"/>
      <c r="BJ37" s="54"/>
      <c r="BK37" s="54"/>
      <c r="BL37" s="54"/>
      <c r="BM37" s="63"/>
      <c r="BN37" s="54"/>
      <c r="BO37" s="58"/>
      <c r="BP37" s="58" t="s">
        <v>1152</v>
      </c>
      <c r="BQ37" s="57"/>
      <c r="BR37" s="57"/>
    </row>
    <row r="38">
      <c r="A38" s="176">
        <v>34.0</v>
      </c>
      <c r="B38" s="177" t="s">
        <v>1221</v>
      </c>
      <c r="C38" s="197" t="s">
        <v>41</v>
      </c>
      <c r="D38" s="179">
        <v>3.33</v>
      </c>
      <c r="E38" s="179">
        <v>0.67</v>
      </c>
      <c r="F38" s="179">
        <v>0.0</v>
      </c>
      <c r="G38" s="179">
        <v>0.0</v>
      </c>
      <c r="H38" s="179">
        <v>0.0</v>
      </c>
      <c r="I38" s="179">
        <v>0.0</v>
      </c>
      <c r="J38" s="50">
        <v>3.0</v>
      </c>
      <c r="K38" s="50">
        <v>1.0</v>
      </c>
      <c r="L38" s="50">
        <v>0.0</v>
      </c>
      <c r="M38" s="50">
        <v>0.0</v>
      </c>
      <c r="N38" s="50">
        <v>0.0</v>
      </c>
      <c r="O38" s="50">
        <v>0.0</v>
      </c>
      <c r="P38" s="180">
        <v>1.0</v>
      </c>
      <c r="Q38" s="180">
        <v>1.0</v>
      </c>
      <c r="R38" s="62"/>
      <c r="S38" s="187">
        <v>0.04</v>
      </c>
      <c r="T38" s="188">
        <v>0.02</v>
      </c>
      <c r="U38" s="188">
        <v>0.0</v>
      </c>
      <c r="V38" s="188">
        <v>0.0</v>
      </c>
      <c r="W38" s="188">
        <v>0.01</v>
      </c>
      <c r="X38" s="62"/>
      <c r="Y38" s="176">
        <v>0.0</v>
      </c>
      <c r="Z38" s="176">
        <v>0.0</v>
      </c>
      <c r="AA38" s="176">
        <v>0.0</v>
      </c>
      <c r="AB38" s="176">
        <v>0.0</v>
      </c>
      <c r="AC38" s="176">
        <v>0.0</v>
      </c>
      <c r="AD38" s="176">
        <v>0.0</v>
      </c>
      <c r="AE38" s="176">
        <v>0.0</v>
      </c>
      <c r="AF38" s="62"/>
      <c r="AG38" s="47">
        <v>0.17</v>
      </c>
      <c r="AH38" s="47"/>
      <c r="AI38" s="54"/>
      <c r="AJ38" s="47">
        <v>0.03</v>
      </c>
      <c r="AK38" s="47">
        <v>0.003</v>
      </c>
      <c r="AL38" s="54"/>
      <c r="AM38" s="54"/>
      <c r="AN38" s="62"/>
      <c r="AO38" s="184">
        <f t="shared" ref="AO38:AS38" si="67">ROUND(E38*(5/12)+K38*(5/12)+S38+Y38-AG38,2)</f>
        <v>0.57</v>
      </c>
      <c r="AP38" s="184">
        <f t="shared" si="67"/>
        <v>0.02</v>
      </c>
      <c r="AQ38" s="184">
        <f t="shared" si="67"/>
        <v>0</v>
      </c>
      <c r="AR38" s="184">
        <f t="shared" si="67"/>
        <v>-0.03</v>
      </c>
      <c r="AS38" s="184">
        <f t="shared" si="67"/>
        <v>0.01</v>
      </c>
      <c r="AT38" s="184">
        <f t="shared" ref="AT38:AU38" si="68">P38+AD38-AL38</f>
        <v>1</v>
      </c>
      <c r="AU38" s="184">
        <f t="shared" si="68"/>
        <v>1</v>
      </c>
      <c r="AV38" s="62"/>
      <c r="AW38" s="176">
        <v>1.0</v>
      </c>
      <c r="AX38" s="176">
        <v>0.02</v>
      </c>
      <c r="AY38" s="176" t="s">
        <v>913</v>
      </c>
      <c r="AZ38" s="176">
        <v>0.03</v>
      </c>
      <c r="BA38" s="176">
        <v>0.01</v>
      </c>
      <c r="BB38" s="176">
        <v>1.0</v>
      </c>
      <c r="BC38" s="176">
        <v>1.0</v>
      </c>
      <c r="BD38" s="196" t="s">
        <v>1222</v>
      </c>
      <c r="BE38" s="62"/>
      <c r="BF38" s="62"/>
      <c r="BG38" s="62"/>
      <c r="BH38" s="54"/>
      <c r="BI38" s="54"/>
      <c r="BJ38" s="54"/>
      <c r="BK38" s="54"/>
      <c r="BL38" s="54"/>
      <c r="BM38" s="54"/>
      <c r="BN38" s="54"/>
      <c r="BO38" s="57"/>
      <c r="BP38" s="58" t="s">
        <v>1152</v>
      </c>
      <c r="BQ38" s="57"/>
      <c r="BR38" s="57"/>
    </row>
    <row r="39">
      <c r="A39" s="176">
        <v>35.0</v>
      </c>
      <c r="B39" s="177" t="s">
        <v>1223</v>
      </c>
      <c r="C39" s="197" t="s">
        <v>41</v>
      </c>
      <c r="D39" s="50">
        <v>4.0</v>
      </c>
      <c r="E39" s="50">
        <v>0.0</v>
      </c>
      <c r="F39" s="179">
        <v>0.0</v>
      </c>
      <c r="G39" s="179">
        <v>0.0</v>
      </c>
      <c r="H39" s="179">
        <v>0.0</v>
      </c>
      <c r="I39" s="179">
        <v>0.0</v>
      </c>
      <c r="J39" s="50">
        <v>3.34</v>
      </c>
      <c r="K39" s="50">
        <v>0.66</v>
      </c>
      <c r="L39" s="50">
        <v>0.0</v>
      </c>
      <c r="M39" s="50">
        <v>0.0</v>
      </c>
      <c r="N39" s="50">
        <v>0.0</v>
      </c>
      <c r="O39" s="50">
        <v>0.0</v>
      </c>
      <c r="P39" s="180">
        <v>1.0</v>
      </c>
      <c r="Q39" s="180">
        <v>1.0</v>
      </c>
      <c r="R39" s="62"/>
      <c r="S39" s="187">
        <v>0.09</v>
      </c>
      <c r="T39" s="188">
        <v>0.02</v>
      </c>
      <c r="U39" s="188">
        <v>0.0</v>
      </c>
      <c r="V39" s="188">
        <v>0.0</v>
      </c>
      <c r="W39" s="188">
        <v>0.01</v>
      </c>
      <c r="X39" s="62"/>
      <c r="Y39" s="176">
        <v>0.0</v>
      </c>
      <c r="Z39" s="176">
        <v>0.0</v>
      </c>
      <c r="AA39" s="176">
        <v>0.0</v>
      </c>
      <c r="AB39" s="176">
        <v>0.0</v>
      </c>
      <c r="AC39" s="176">
        <v>0.0</v>
      </c>
      <c r="AD39" s="176">
        <v>0.0</v>
      </c>
      <c r="AE39" s="176">
        <v>0.0</v>
      </c>
      <c r="AF39" s="62"/>
      <c r="AG39" s="47">
        <v>0.24</v>
      </c>
      <c r="AH39" s="47">
        <v>0.034</v>
      </c>
      <c r="AI39" s="54"/>
      <c r="AJ39" s="54"/>
      <c r="AK39" s="54"/>
      <c r="AL39" s="54"/>
      <c r="AM39" s="47">
        <v>0.2</v>
      </c>
      <c r="AN39" s="62"/>
      <c r="AO39" s="184">
        <f t="shared" ref="AO39:AS39" si="69">ROUND(E39*(5/12)+K39*(5/12)+S39+Y39-AG39,2)</f>
        <v>0.13</v>
      </c>
      <c r="AP39" s="184">
        <f t="shared" si="69"/>
        <v>-0.01</v>
      </c>
      <c r="AQ39" s="184">
        <f t="shared" si="69"/>
        <v>0</v>
      </c>
      <c r="AR39" s="184">
        <f t="shared" si="69"/>
        <v>0</v>
      </c>
      <c r="AS39" s="184">
        <f t="shared" si="69"/>
        <v>0.01</v>
      </c>
      <c r="AT39" s="184">
        <f t="shared" ref="AT39:AU39" si="70">P39+AD39-AL39</f>
        <v>1</v>
      </c>
      <c r="AU39" s="184">
        <f t="shared" si="70"/>
        <v>0.8</v>
      </c>
      <c r="AV39" s="62"/>
      <c r="AW39" s="176">
        <v>0.75</v>
      </c>
      <c r="AX39" s="176" t="s">
        <v>913</v>
      </c>
      <c r="AY39" s="176" t="s">
        <v>913</v>
      </c>
      <c r="AZ39" s="176" t="s">
        <v>913</v>
      </c>
      <c r="BA39" s="176">
        <v>0.01</v>
      </c>
      <c r="BB39" s="176">
        <v>1.0</v>
      </c>
      <c r="BC39" s="176">
        <v>1.0</v>
      </c>
      <c r="BD39" s="191" t="s">
        <v>1224</v>
      </c>
      <c r="BE39" s="62"/>
      <c r="BF39" s="62"/>
      <c r="BG39" s="62"/>
      <c r="BH39" s="54"/>
      <c r="BI39" s="54"/>
      <c r="BJ39" s="54"/>
      <c r="BK39" s="54"/>
      <c r="BL39" s="54"/>
      <c r="BM39" s="54"/>
      <c r="BN39" s="54"/>
      <c r="BO39" s="57"/>
      <c r="BP39" s="58" t="s">
        <v>1152</v>
      </c>
      <c r="BQ39" s="57"/>
      <c r="BR39" s="57"/>
    </row>
    <row r="40">
      <c r="A40" s="176">
        <v>36.0</v>
      </c>
      <c r="B40" s="177" t="s">
        <v>1225</v>
      </c>
      <c r="C40" s="197" t="s">
        <v>41</v>
      </c>
      <c r="D40" s="179">
        <v>4.0</v>
      </c>
      <c r="E40" s="179">
        <v>0.0</v>
      </c>
      <c r="F40" s="179">
        <v>0.0</v>
      </c>
      <c r="G40" s="179">
        <v>0.0</v>
      </c>
      <c r="H40" s="179">
        <v>0.0</v>
      </c>
      <c r="I40" s="179">
        <v>0.0</v>
      </c>
      <c r="J40" s="50">
        <v>4.0</v>
      </c>
      <c r="K40" s="50">
        <v>0.0</v>
      </c>
      <c r="L40" s="50">
        <v>0.0</v>
      </c>
      <c r="M40" s="50">
        <v>0.0</v>
      </c>
      <c r="N40" s="50">
        <v>0.0</v>
      </c>
      <c r="O40" s="50">
        <v>0.0</v>
      </c>
      <c r="P40" s="180">
        <v>1.0</v>
      </c>
      <c r="Q40" s="180">
        <v>1.0</v>
      </c>
      <c r="R40" s="62"/>
      <c r="S40" s="182">
        <v>0.04</v>
      </c>
      <c r="T40" s="183">
        <v>0.02</v>
      </c>
      <c r="U40" s="183">
        <v>0.0</v>
      </c>
      <c r="V40" s="183">
        <v>0.0</v>
      </c>
      <c r="W40" s="183">
        <v>0.01</v>
      </c>
      <c r="X40" s="62"/>
      <c r="Y40" s="176">
        <v>0.0</v>
      </c>
      <c r="Z40" s="176">
        <v>0.0</v>
      </c>
      <c r="AA40" s="176">
        <v>0.0</v>
      </c>
      <c r="AB40" s="176">
        <v>0.0</v>
      </c>
      <c r="AC40" s="176">
        <v>0.0</v>
      </c>
      <c r="AD40" s="176">
        <v>0.0</v>
      </c>
      <c r="AE40" s="176">
        <v>0.0</v>
      </c>
      <c r="AF40" s="62"/>
      <c r="AG40" s="47"/>
      <c r="AH40" s="54"/>
      <c r="AI40" s="54"/>
      <c r="AJ40" s="54"/>
      <c r="AK40" s="54"/>
      <c r="AL40" s="54"/>
      <c r="AM40" s="54"/>
      <c r="AN40" s="62"/>
      <c r="AO40" s="184">
        <f t="shared" ref="AO40:AS40" si="71">ROUND(E40*(5/12)+K40*(5/12)+S40+Y40-AG40,2)</f>
        <v>0.04</v>
      </c>
      <c r="AP40" s="184">
        <f t="shared" si="71"/>
        <v>0.02</v>
      </c>
      <c r="AQ40" s="184">
        <f t="shared" si="71"/>
        <v>0</v>
      </c>
      <c r="AR40" s="184">
        <f t="shared" si="71"/>
        <v>0</v>
      </c>
      <c r="AS40" s="184">
        <f t="shared" si="71"/>
        <v>0.01</v>
      </c>
      <c r="AT40" s="184">
        <f t="shared" ref="AT40:AU40" si="72">P40+AD40-AL40</f>
        <v>1</v>
      </c>
      <c r="AU40" s="184">
        <f t="shared" si="72"/>
        <v>1</v>
      </c>
      <c r="AV40" s="62"/>
      <c r="AW40" s="176">
        <v>0.0</v>
      </c>
      <c r="AX40" s="176">
        <v>0.01</v>
      </c>
      <c r="AY40" s="176" t="s">
        <v>913</v>
      </c>
      <c r="AZ40" s="176" t="s">
        <v>913</v>
      </c>
      <c r="BA40" s="176">
        <v>0.0</v>
      </c>
      <c r="BB40" s="176">
        <v>0.0</v>
      </c>
      <c r="BC40" s="176">
        <v>1.0</v>
      </c>
      <c r="BD40" s="195" t="s">
        <v>1226</v>
      </c>
      <c r="BE40" s="62"/>
      <c r="BF40" s="62"/>
      <c r="BG40" s="62"/>
      <c r="BH40" s="54"/>
      <c r="BI40" s="54"/>
      <c r="BJ40" s="54"/>
      <c r="BK40" s="54"/>
      <c r="BL40" s="54"/>
      <c r="BM40" s="54"/>
      <c r="BN40" s="54"/>
      <c r="BO40" s="57"/>
      <c r="BP40" s="58" t="s">
        <v>1152</v>
      </c>
      <c r="BQ40" s="57"/>
      <c r="BR40" s="57"/>
    </row>
    <row r="41">
      <c r="A41" s="176">
        <v>37.0</v>
      </c>
      <c r="B41" s="177" t="s">
        <v>1227</v>
      </c>
      <c r="C41" s="197" t="s">
        <v>41</v>
      </c>
      <c r="D41" s="179">
        <v>2.67</v>
      </c>
      <c r="E41" s="179">
        <v>0.8</v>
      </c>
      <c r="F41" s="179">
        <v>0.2</v>
      </c>
      <c r="G41" s="179">
        <v>0.0</v>
      </c>
      <c r="H41" s="179">
        <v>0.0</v>
      </c>
      <c r="I41" s="179">
        <v>0.33</v>
      </c>
      <c r="J41" s="50">
        <v>2.67</v>
      </c>
      <c r="K41" s="50">
        <v>0.88</v>
      </c>
      <c r="L41" s="50">
        <v>0.2</v>
      </c>
      <c r="M41" s="50">
        <v>0.0</v>
      </c>
      <c r="N41" s="50">
        <v>0.0</v>
      </c>
      <c r="O41" s="50">
        <v>0.25</v>
      </c>
      <c r="P41" s="180">
        <v>1.0</v>
      </c>
      <c r="Q41" s="180">
        <v>1.0</v>
      </c>
      <c r="R41" s="62"/>
      <c r="S41" s="187">
        <v>0.2</v>
      </c>
      <c r="T41" s="188">
        <v>0.02</v>
      </c>
      <c r="U41" s="188">
        <v>0.0</v>
      </c>
      <c r="V41" s="188">
        <v>0.0</v>
      </c>
      <c r="W41" s="188">
        <v>0.01</v>
      </c>
      <c r="X41" s="62"/>
      <c r="Y41" s="176">
        <v>0.0</v>
      </c>
      <c r="Z41" s="176">
        <v>0.0</v>
      </c>
      <c r="AA41" s="176">
        <v>0.0</v>
      </c>
      <c r="AB41" s="176">
        <v>0.0</v>
      </c>
      <c r="AC41" s="176">
        <v>0.0</v>
      </c>
      <c r="AD41" s="176">
        <v>0.0</v>
      </c>
      <c r="AE41" s="176">
        <v>0.0</v>
      </c>
      <c r="AF41" s="62"/>
      <c r="AG41" s="47">
        <v>0.5</v>
      </c>
      <c r="AH41" s="47">
        <v>0.004</v>
      </c>
      <c r="AI41" s="47">
        <v>0.02</v>
      </c>
      <c r="AJ41" s="54"/>
      <c r="AK41" s="54"/>
      <c r="AL41" s="54"/>
      <c r="AM41" s="54"/>
      <c r="AN41" s="62"/>
      <c r="AO41" s="184">
        <f t="shared" ref="AO41:AS41" si="73">ROUND(E41*(5/12)+K41*(5/12)+S41+Y41-AG41,2)</f>
        <v>0.4</v>
      </c>
      <c r="AP41" s="184">
        <f t="shared" si="73"/>
        <v>0.18</v>
      </c>
      <c r="AQ41" s="184">
        <f t="shared" si="73"/>
        <v>-0.02</v>
      </c>
      <c r="AR41" s="184">
        <f t="shared" si="73"/>
        <v>0</v>
      </c>
      <c r="AS41" s="184">
        <f t="shared" si="73"/>
        <v>0.25</v>
      </c>
      <c r="AT41" s="184">
        <f t="shared" ref="AT41:AU41" si="74">P41+AD41-AL41</f>
        <v>1</v>
      </c>
      <c r="AU41" s="184">
        <f t="shared" si="74"/>
        <v>1</v>
      </c>
      <c r="AV41" s="62"/>
      <c r="AW41" s="176">
        <v>0.5</v>
      </c>
      <c r="AX41" s="176">
        <v>0.13</v>
      </c>
      <c r="AY41" s="176" t="s">
        <v>913</v>
      </c>
      <c r="AZ41" s="176" t="s">
        <v>913</v>
      </c>
      <c r="BA41" s="176">
        <v>0.047</v>
      </c>
      <c r="BB41" s="176">
        <v>1.0</v>
      </c>
      <c r="BC41" s="176">
        <v>1.0</v>
      </c>
      <c r="BD41" s="180" t="s">
        <v>1228</v>
      </c>
      <c r="BE41" s="62"/>
      <c r="BF41" s="62"/>
      <c r="BG41" s="62"/>
      <c r="BH41" s="192"/>
      <c r="BI41" s="54"/>
      <c r="BJ41" s="54"/>
      <c r="BK41" s="54"/>
      <c r="BL41" s="54"/>
      <c r="BM41" s="206"/>
      <c r="BN41" s="206"/>
      <c r="BO41" s="57"/>
      <c r="BP41" s="58" t="s">
        <v>1152</v>
      </c>
      <c r="BQ41" s="57"/>
      <c r="BR41" s="57"/>
    </row>
    <row r="42">
      <c r="A42" s="176">
        <v>38.0</v>
      </c>
      <c r="B42" s="177" t="s">
        <v>1229</v>
      </c>
      <c r="C42" s="197" t="s">
        <v>41</v>
      </c>
      <c r="D42" s="179">
        <v>2.0</v>
      </c>
      <c r="E42" s="179">
        <v>1.1</v>
      </c>
      <c r="F42" s="179">
        <v>0.0</v>
      </c>
      <c r="G42" s="179">
        <v>0.5</v>
      </c>
      <c r="H42" s="179">
        <v>0.2</v>
      </c>
      <c r="I42" s="179">
        <v>0.2</v>
      </c>
      <c r="J42" s="50">
        <v>2.0</v>
      </c>
      <c r="K42" s="50">
        <v>1.45</v>
      </c>
      <c r="L42" s="50">
        <v>0.0</v>
      </c>
      <c r="M42" s="50">
        <v>0.3</v>
      </c>
      <c r="N42" s="50">
        <v>0.0</v>
      </c>
      <c r="O42" s="50">
        <v>0.25</v>
      </c>
      <c r="P42" s="180">
        <v>1.0</v>
      </c>
      <c r="Q42" s="180">
        <v>1.0</v>
      </c>
      <c r="R42" s="62"/>
      <c r="S42" s="187">
        <v>0.06</v>
      </c>
      <c r="T42" s="188">
        <v>0.02</v>
      </c>
      <c r="U42" s="188">
        <v>0.05</v>
      </c>
      <c r="V42" s="188">
        <v>0.04</v>
      </c>
      <c r="W42" s="188">
        <v>0.01</v>
      </c>
      <c r="X42" s="62"/>
      <c r="Y42" s="176">
        <v>0.0</v>
      </c>
      <c r="Z42" s="176">
        <v>0.0</v>
      </c>
      <c r="AA42" s="176">
        <v>0.0</v>
      </c>
      <c r="AB42" s="176">
        <v>0.0</v>
      </c>
      <c r="AC42" s="176">
        <v>0.0</v>
      </c>
      <c r="AD42" s="176">
        <v>0.0</v>
      </c>
      <c r="AE42" s="176">
        <v>0.0</v>
      </c>
      <c r="AF42" s="62"/>
      <c r="AG42" s="47">
        <v>0.06</v>
      </c>
      <c r="AH42" s="47">
        <v>0.003</v>
      </c>
      <c r="AI42" s="47">
        <v>0.05</v>
      </c>
      <c r="AJ42" s="47">
        <v>0.04</v>
      </c>
      <c r="AK42" s="47">
        <v>0.008</v>
      </c>
      <c r="AL42" s="54"/>
      <c r="AM42" s="54"/>
      <c r="AN42" s="62"/>
      <c r="AO42" s="184">
        <f t="shared" ref="AO42:AS42" si="75">ROUND(E42*(5/12)+K42*(5/12)+S42+Y42-AG42,2)</f>
        <v>1.06</v>
      </c>
      <c r="AP42" s="184">
        <f t="shared" si="75"/>
        <v>0.02</v>
      </c>
      <c r="AQ42" s="184">
        <f t="shared" si="75"/>
        <v>0.33</v>
      </c>
      <c r="AR42" s="184">
        <f t="shared" si="75"/>
        <v>0.08</v>
      </c>
      <c r="AS42" s="184">
        <f t="shared" si="75"/>
        <v>0.19</v>
      </c>
      <c r="AT42" s="184">
        <f t="shared" ref="AT42:AU42" si="76">P42+AD42-AL42</f>
        <v>1</v>
      </c>
      <c r="AU42" s="184">
        <f t="shared" si="76"/>
        <v>1</v>
      </c>
      <c r="AV42" s="62"/>
      <c r="AW42" s="176">
        <v>1.5</v>
      </c>
      <c r="AX42" s="176">
        <v>0.04</v>
      </c>
      <c r="AY42" s="176">
        <v>0.35</v>
      </c>
      <c r="AZ42" s="176">
        <v>0.33</v>
      </c>
      <c r="BA42" s="176">
        <v>0.19</v>
      </c>
      <c r="BB42" s="176">
        <v>1.0</v>
      </c>
      <c r="BC42" s="176">
        <v>1.0</v>
      </c>
      <c r="BD42" s="207" t="s">
        <v>1230</v>
      </c>
      <c r="BE42" s="62"/>
      <c r="BF42" s="62"/>
      <c r="BG42" s="62"/>
      <c r="BH42" s="54"/>
      <c r="BI42" s="54"/>
      <c r="BJ42" s="54"/>
      <c r="BK42" s="54"/>
      <c r="BL42" s="54"/>
      <c r="BM42" s="54"/>
      <c r="BN42" s="54"/>
      <c r="BO42" s="57"/>
      <c r="BP42" s="58" t="s">
        <v>1152</v>
      </c>
      <c r="BQ42" s="58"/>
      <c r="BR42" s="58" t="s">
        <v>1231</v>
      </c>
    </row>
    <row r="43">
      <c r="A43" s="176">
        <v>39.0</v>
      </c>
      <c r="B43" s="177" t="s">
        <v>1232</v>
      </c>
      <c r="C43" s="197" t="s">
        <v>41</v>
      </c>
      <c r="D43" s="179">
        <v>2.33</v>
      </c>
      <c r="E43" s="179">
        <v>0.67</v>
      </c>
      <c r="F43" s="179">
        <v>0.2</v>
      </c>
      <c r="G43" s="179">
        <v>0.8</v>
      </c>
      <c r="H43" s="179">
        <v>0.0</v>
      </c>
      <c r="I43" s="179">
        <v>0.0</v>
      </c>
      <c r="J43" s="50">
        <v>2.0</v>
      </c>
      <c r="K43" s="50">
        <v>1.0</v>
      </c>
      <c r="L43" s="50">
        <v>0.2</v>
      </c>
      <c r="M43" s="50">
        <v>0.8</v>
      </c>
      <c r="N43" s="50">
        <v>0.0</v>
      </c>
      <c r="O43" s="50">
        <v>0.0</v>
      </c>
      <c r="P43" s="180">
        <v>1.0</v>
      </c>
      <c r="Q43" s="180">
        <v>1.0</v>
      </c>
      <c r="R43" s="62"/>
      <c r="S43" s="187">
        <v>0.16</v>
      </c>
      <c r="T43" s="188">
        <v>0.02</v>
      </c>
      <c r="U43" s="188">
        <v>0.15</v>
      </c>
      <c r="V43" s="188">
        <v>0.0</v>
      </c>
      <c r="W43" s="188">
        <v>0.01</v>
      </c>
      <c r="X43" s="62"/>
      <c r="Y43" s="176">
        <v>0.0</v>
      </c>
      <c r="Z43" s="176">
        <v>0.0</v>
      </c>
      <c r="AA43" s="176">
        <v>0.0</v>
      </c>
      <c r="AB43" s="176">
        <v>0.0</v>
      </c>
      <c r="AC43" s="176">
        <v>0.0</v>
      </c>
      <c r="AD43" s="176">
        <v>0.0</v>
      </c>
      <c r="AE43" s="176">
        <v>0.0</v>
      </c>
      <c r="AF43" s="62"/>
      <c r="AG43" s="47">
        <v>0.81</v>
      </c>
      <c r="AH43" s="47">
        <v>0.003</v>
      </c>
      <c r="AI43" s="54"/>
      <c r="AJ43" s="54"/>
      <c r="AK43" s="47">
        <v>0.008</v>
      </c>
      <c r="AL43" s="54"/>
      <c r="AM43" s="54"/>
      <c r="AN43" s="62"/>
      <c r="AO43" s="184">
        <f t="shared" ref="AO43:AS43" si="77">ROUND(E43*(5/12)+K43*(5/12)+S43+Y43-AG43,2)</f>
        <v>0.05</v>
      </c>
      <c r="AP43" s="184">
        <f t="shared" si="77"/>
        <v>0.18</v>
      </c>
      <c r="AQ43" s="184">
        <f t="shared" si="77"/>
        <v>0.82</v>
      </c>
      <c r="AR43" s="184">
        <f t="shared" si="77"/>
        <v>0</v>
      </c>
      <c r="AS43" s="184">
        <f t="shared" si="77"/>
        <v>0</v>
      </c>
      <c r="AT43" s="184">
        <f t="shared" ref="AT43:AU43" si="78">P43+AD43-AL43</f>
        <v>1</v>
      </c>
      <c r="AU43" s="184">
        <f t="shared" si="78"/>
        <v>1</v>
      </c>
      <c r="AV43" s="62"/>
      <c r="AW43" s="176">
        <v>0.5</v>
      </c>
      <c r="AX43" s="176">
        <v>0.2</v>
      </c>
      <c r="AY43" s="176">
        <v>0.85</v>
      </c>
      <c r="AZ43" s="176" t="s">
        <v>913</v>
      </c>
      <c r="BA43" s="176" t="s">
        <v>913</v>
      </c>
      <c r="BB43" s="176">
        <v>1.0</v>
      </c>
      <c r="BC43" s="176">
        <v>1.0</v>
      </c>
      <c r="BD43" s="180" t="s">
        <v>1233</v>
      </c>
      <c r="BE43" s="62"/>
      <c r="BF43" s="62"/>
      <c r="BG43" s="62"/>
      <c r="BH43" s="54"/>
      <c r="BI43" s="54"/>
      <c r="BJ43" s="54"/>
      <c r="BK43" s="54"/>
      <c r="BL43" s="54"/>
      <c r="BM43" s="54"/>
      <c r="BN43" s="54"/>
      <c r="BO43" s="57"/>
      <c r="BP43" s="58" t="s">
        <v>1152</v>
      </c>
      <c r="BQ43" s="57"/>
      <c r="BR43" s="57"/>
    </row>
    <row r="44">
      <c r="A44" s="176">
        <v>40.0</v>
      </c>
      <c r="B44" s="208" t="s">
        <v>72</v>
      </c>
      <c r="C44" s="209" t="s">
        <v>41</v>
      </c>
      <c r="D44" s="179">
        <v>2.67</v>
      </c>
      <c r="E44" s="179">
        <v>0.93</v>
      </c>
      <c r="F44" s="179">
        <v>0.2</v>
      </c>
      <c r="G44" s="179">
        <v>0.0</v>
      </c>
      <c r="H44" s="179">
        <v>0.0</v>
      </c>
      <c r="I44" s="179">
        <v>0.2</v>
      </c>
      <c r="J44" s="50">
        <v>3.0</v>
      </c>
      <c r="K44" s="50">
        <v>0.55</v>
      </c>
      <c r="L44" s="50">
        <v>0.2</v>
      </c>
      <c r="M44" s="50">
        <v>0.0</v>
      </c>
      <c r="N44" s="50">
        <v>0.0</v>
      </c>
      <c r="O44" s="50">
        <v>0.25</v>
      </c>
      <c r="P44" s="180">
        <v>1.0</v>
      </c>
      <c r="Q44" s="180">
        <v>1.0</v>
      </c>
      <c r="R44" s="62"/>
      <c r="S44" s="187">
        <v>0.13</v>
      </c>
      <c r="T44" s="188">
        <v>0.02</v>
      </c>
      <c r="U44" s="188">
        <v>0.02</v>
      </c>
      <c r="V44" s="188">
        <v>0.0</v>
      </c>
      <c r="W44" s="188">
        <v>0.01</v>
      </c>
      <c r="X44" s="62"/>
      <c r="Y44" s="176">
        <v>0.0</v>
      </c>
      <c r="Z44" s="176">
        <v>0.0</v>
      </c>
      <c r="AA44" s="176">
        <v>0.0</v>
      </c>
      <c r="AB44" s="176">
        <v>0.0</v>
      </c>
      <c r="AC44" s="176">
        <v>0.0</v>
      </c>
      <c r="AD44" s="176">
        <v>0.0</v>
      </c>
      <c r="AE44" s="176">
        <v>0.0</v>
      </c>
      <c r="AF44" s="62"/>
      <c r="AG44" s="47">
        <v>0.13</v>
      </c>
      <c r="AH44" s="47">
        <v>0.02</v>
      </c>
      <c r="AI44" s="47">
        <v>0.02</v>
      </c>
      <c r="AJ44" s="47">
        <v>0.0</v>
      </c>
      <c r="AK44" s="47">
        <v>0.006</v>
      </c>
      <c r="AL44" s="54"/>
      <c r="AM44" s="54"/>
      <c r="AN44" s="62"/>
      <c r="AO44" s="184">
        <f t="shared" ref="AO44:AS44" si="79">ROUND(E44*(5/12)+K44*(5/12)+S44+Y44-AG44,2)</f>
        <v>0.62</v>
      </c>
      <c r="AP44" s="184">
        <f t="shared" si="79"/>
        <v>0.17</v>
      </c>
      <c r="AQ44" s="184">
        <f t="shared" si="79"/>
        <v>0</v>
      </c>
      <c r="AR44" s="184">
        <f t="shared" si="79"/>
        <v>0</v>
      </c>
      <c r="AS44" s="184">
        <f t="shared" si="79"/>
        <v>0.19</v>
      </c>
      <c r="AT44" s="184">
        <f t="shared" ref="AT44:AU44" si="80">P44+AD44-AL44</f>
        <v>1</v>
      </c>
      <c r="AU44" s="184">
        <f t="shared" si="80"/>
        <v>1</v>
      </c>
      <c r="AV44" s="62"/>
      <c r="AW44" s="176">
        <v>1.0</v>
      </c>
      <c r="AX44" s="176">
        <v>0.17</v>
      </c>
      <c r="AY44" s="176" t="s">
        <v>913</v>
      </c>
      <c r="AZ44" s="176" t="s">
        <v>913</v>
      </c>
      <c r="BA44" s="176">
        <v>0.19</v>
      </c>
      <c r="BB44" s="176">
        <v>1.0</v>
      </c>
      <c r="BC44" s="176">
        <v>1.0</v>
      </c>
      <c r="BD44" s="194" t="s">
        <v>1234</v>
      </c>
      <c r="BE44" s="62"/>
      <c r="BF44" s="62"/>
      <c r="BG44" s="62"/>
      <c r="BH44" s="54"/>
      <c r="BI44" s="54"/>
      <c r="BJ44" s="54"/>
      <c r="BK44" s="54"/>
      <c r="BL44" s="54"/>
      <c r="BM44" s="54"/>
      <c r="BN44" s="54"/>
      <c r="BO44" s="57"/>
      <c r="BP44" s="58" t="s">
        <v>1152</v>
      </c>
      <c r="BQ44" s="57"/>
      <c r="BR44" s="57"/>
    </row>
    <row r="45">
      <c r="A45" s="176">
        <v>41.0</v>
      </c>
      <c r="B45" s="208" t="s">
        <v>1235</v>
      </c>
      <c r="C45" s="197" t="s">
        <v>41</v>
      </c>
      <c r="D45" s="179">
        <v>3.33</v>
      </c>
      <c r="E45" s="179">
        <v>0.27</v>
      </c>
      <c r="F45" s="179">
        <v>0.2</v>
      </c>
      <c r="G45" s="179">
        <v>0.2</v>
      </c>
      <c r="H45" s="179">
        <v>0.0</v>
      </c>
      <c r="I45" s="179">
        <v>0.0</v>
      </c>
      <c r="J45" s="50">
        <v>3.0</v>
      </c>
      <c r="K45" s="50">
        <v>0.6</v>
      </c>
      <c r="L45" s="50">
        <v>0.2</v>
      </c>
      <c r="M45" s="50">
        <v>0.2</v>
      </c>
      <c r="N45" s="50">
        <v>0.0</v>
      </c>
      <c r="O45" s="50">
        <v>0.0</v>
      </c>
      <c r="P45" s="180">
        <v>1.0</v>
      </c>
      <c r="Q45" s="180">
        <v>1.0</v>
      </c>
      <c r="R45" s="62"/>
      <c r="S45" s="210">
        <v>0.02</v>
      </c>
      <c r="T45" s="211">
        <v>0.02</v>
      </c>
      <c r="U45" s="211">
        <v>0.02</v>
      </c>
      <c r="V45" s="211">
        <v>0.0</v>
      </c>
      <c r="W45" s="211">
        <v>0.01</v>
      </c>
      <c r="X45" s="62"/>
      <c r="Y45" s="176">
        <v>0.0</v>
      </c>
      <c r="Z45" s="176">
        <v>0.0</v>
      </c>
      <c r="AA45" s="176">
        <v>0.0</v>
      </c>
      <c r="AB45" s="176">
        <v>0.0</v>
      </c>
      <c r="AC45" s="176">
        <v>0.0</v>
      </c>
      <c r="AD45" s="176">
        <v>0.0</v>
      </c>
      <c r="AE45" s="176">
        <v>0.0</v>
      </c>
      <c r="AF45" s="62"/>
      <c r="AG45" s="47"/>
      <c r="AH45" s="54"/>
      <c r="AI45" s="54"/>
      <c r="AJ45" s="54"/>
      <c r="AK45" s="54"/>
      <c r="AL45" s="47">
        <v>0.25</v>
      </c>
      <c r="AM45" s="47">
        <v>0.25</v>
      </c>
      <c r="AN45" s="62"/>
      <c r="AO45" s="184">
        <f t="shared" ref="AO45:AS45" si="81">ROUND(E45*(5/12)+K45*(5/12)+S45+Y45-AG45,2)</f>
        <v>0.38</v>
      </c>
      <c r="AP45" s="184">
        <f t="shared" si="81"/>
        <v>0.19</v>
      </c>
      <c r="AQ45" s="184">
        <f t="shared" si="81"/>
        <v>0.19</v>
      </c>
      <c r="AR45" s="184">
        <f t="shared" si="81"/>
        <v>0</v>
      </c>
      <c r="AS45" s="184">
        <f t="shared" si="81"/>
        <v>0.01</v>
      </c>
      <c r="AT45" s="184">
        <f t="shared" ref="AT45:AU45" si="82">P45+AD45-AL45</f>
        <v>0.75</v>
      </c>
      <c r="AU45" s="184">
        <f t="shared" si="82"/>
        <v>0.75</v>
      </c>
      <c r="AV45" s="62"/>
      <c r="AW45" s="176">
        <v>0.5</v>
      </c>
      <c r="AX45" s="176">
        <v>0.19</v>
      </c>
      <c r="AY45" s="176">
        <v>0.1</v>
      </c>
      <c r="AZ45" s="176" t="s">
        <v>913</v>
      </c>
      <c r="BA45" s="176">
        <v>0.01</v>
      </c>
      <c r="BB45" s="176">
        <v>1.0</v>
      </c>
      <c r="BC45" s="176">
        <v>1.0</v>
      </c>
      <c r="BD45" s="180" t="s">
        <v>1236</v>
      </c>
      <c r="BE45" s="62"/>
      <c r="BF45" s="62"/>
      <c r="BG45" s="62"/>
      <c r="BH45" s="87">
        <v>0.5</v>
      </c>
      <c r="BI45" s="72"/>
      <c r="BJ45" s="54"/>
      <c r="BK45" s="54"/>
      <c r="BL45" s="54"/>
      <c r="BM45" s="54"/>
      <c r="BN45" s="54"/>
      <c r="BO45" s="58"/>
      <c r="BP45" s="58" t="s">
        <v>1152</v>
      </c>
      <c r="BQ45" s="57"/>
      <c r="BR45" s="57"/>
    </row>
    <row r="46">
      <c r="A46" s="176">
        <v>42.0</v>
      </c>
      <c r="B46" s="177" t="s">
        <v>1237</v>
      </c>
      <c r="C46" s="178" t="s">
        <v>41</v>
      </c>
      <c r="D46" s="212">
        <v>3.33</v>
      </c>
      <c r="E46" s="212">
        <v>0.67</v>
      </c>
      <c r="F46" s="212">
        <v>0.0</v>
      </c>
      <c r="G46" s="212">
        <v>0.0</v>
      </c>
      <c r="H46" s="179">
        <v>0.0</v>
      </c>
      <c r="I46" s="179">
        <v>0.0</v>
      </c>
      <c r="J46" s="50">
        <v>3.67</v>
      </c>
      <c r="K46" s="50">
        <v>0.33</v>
      </c>
      <c r="L46" s="50">
        <v>0.0</v>
      </c>
      <c r="M46" s="50">
        <v>0.0</v>
      </c>
      <c r="N46" s="50">
        <v>0.0</v>
      </c>
      <c r="O46" s="50">
        <v>0.0</v>
      </c>
      <c r="P46" s="180">
        <v>1.0</v>
      </c>
      <c r="Q46" s="180">
        <v>1.0</v>
      </c>
      <c r="R46" s="62"/>
      <c r="S46" s="182">
        <v>0.04</v>
      </c>
      <c r="T46" s="183">
        <v>0.02</v>
      </c>
      <c r="U46" s="183">
        <v>0.0</v>
      </c>
      <c r="V46" s="183">
        <v>0.0</v>
      </c>
      <c r="W46" s="183">
        <v>0.01</v>
      </c>
      <c r="X46" s="62"/>
      <c r="Y46" s="176">
        <v>0.0</v>
      </c>
      <c r="Z46" s="176">
        <v>0.0</v>
      </c>
      <c r="AA46" s="176">
        <v>0.0</v>
      </c>
      <c r="AB46" s="176">
        <v>0.0</v>
      </c>
      <c r="AC46" s="176">
        <v>0.0</v>
      </c>
      <c r="AD46" s="176">
        <v>0.0</v>
      </c>
      <c r="AE46" s="176">
        <v>0.0</v>
      </c>
      <c r="AF46" s="62"/>
      <c r="AG46" s="47">
        <v>0.3</v>
      </c>
      <c r="AH46" s="47">
        <v>0.02</v>
      </c>
      <c r="AI46" s="54"/>
      <c r="AJ46" s="54"/>
      <c r="AK46" s="47">
        <v>0.037</v>
      </c>
      <c r="AL46" s="54"/>
      <c r="AM46" s="54"/>
      <c r="AN46" s="62"/>
      <c r="AO46" s="184">
        <f t="shared" ref="AO46:AS46" si="83">ROUND(E46*(5/12)+K46*(5/12)+S46+Y46-AG46,2)</f>
        <v>0.16</v>
      </c>
      <c r="AP46" s="184">
        <f t="shared" si="83"/>
        <v>0</v>
      </c>
      <c r="AQ46" s="184">
        <f t="shared" si="83"/>
        <v>0</v>
      </c>
      <c r="AR46" s="184">
        <f t="shared" si="83"/>
        <v>0</v>
      </c>
      <c r="AS46" s="184">
        <f t="shared" si="83"/>
        <v>-0.03</v>
      </c>
      <c r="AT46" s="184">
        <f t="shared" ref="AT46:AU46" si="84">P46+AD46-AL46</f>
        <v>1</v>
      </c>
      <c r="AU46" s="184">
        <f t="shared" si="84"/>
        <v>1</v>
      </c>
      <c r="AV46" s="62"/>
      <c r="AW46" s="213">
        <v>0.5</v>
      </c>
      <c r="AX46" s="214" t="s">
        <v>913</v>
      </c>
      <c r="AY46" s="176" t="s">
        <v>913</v>
      </c>
      <c r="AZ46" s="213" t="s">
        <v>913</v>
      </c>
      <c r="BA46" s="213">
        <v>0.03</v>
      </c>
      <c r="BB46" s="213">
        <v>1.0</v>
      </c>
      <c r="BC46" s="213">
        <v>1.0</v>
      </c>
      <c r="BD46" s="207" t="s">
        <v>1238</v>
      </c>
      <c r="BE46" s="62"/>
      <c r="BF46" s="62"/>
      <c r="BG46" s="62"/>
      <c r="BH46" s="192"/>
      <c r="BI46" s="54"/>
      <c r="BJ46" s="54"/>
      <c r="BK46" s="54"/>
      <c r="BL46" s="54"/>
      <c r="BM46" s="54"/>
      <c r="BN46" s="192"/>
      <c r="BO46" s="57"/>
      <c r="BP46" s="58" t="s">
        <v>1152</v>
      </c>
      <c r="BQ46" s="58" t="s">
        <v>1239</v>
      </c>
      <c r="BR46" s="57"/>
    </row>
    <row r="47">
      <c r="A47" s="176">
        <v>43.0</v>
      </c>
      <c r="B47" s="177" t="s">
        <v>1240</v>
      </c>
      <c r="C47" s="178" t="s">
        <v>41</v>
      </c>
      <c r="D47" s="212">
        <v>4.0</v>
      </c>
      <c r="E47" s="212">
        <v>0.0</v>
      </c>
      <c r="F47" s="212">
        <v>0.0</v>
      </c>
      <c r="G47" s="212">
        <v>0.0</v>
      </c>
      <c r="H47" s="179">
        <v>0.0</v>
      </c>
      <c r="I47" s="179">
        <v>0.0</v>
      </c>
      <c r="J47" s="50">
        <v>3.42</v>
      </c>
      <c r="K47" s="50">
        <v>0.58</v>
      </c>
      <c r="L47" s="50">
        <v>0.0</v>
      </c>
      <c r="M47" s="50">
        <v>0.0</v>
      </c>
      <c r="N47" s="50">
        <v>0.0</v>
      </c>
      <c r="O47" s="50">
        <v>0.0</v>
      </c>
      <c r="P47" s="180">
        <v>1.0</v>
      </c>
      <c r="Q47" s="180">
        <v>1.0</v>
      </c>
      <c r="R47" s="62"/>
      <c r="S47" s="187">
        <v>0.04</v>
      </c>
      <c r="T47" s="188">
        <v>0.02</v>
      </c>
      <c r="U47" s="188">
        <v>0.0</v>
      </c>
      <c r="V47" s="188">
        <v>0.0</v>
      </c>
      <c r="W47" s="188">
        <v>0.01</v>
      </c>
      <c r="X47" s="62"/>
      <c r="Y47" s="176">
        <v>0.0</v>
      </c>
      <c r="Z47" s="176">
        <v>0.0</v>
      </c>
      <c r="AA47" s="176">
        <v>0.0</v>
      </c>
      <c r="AB47" s="176">
        <v>0.0</v>
      </c>
      <c r="AC47" s="176">
        <v>0.0</v>
      </c>
      <c r="AD47" s="176">
        <v>0.0</v>
      </c>
      <c r="AE47" s="176">
        <v>0.0</v>
      </c>
      <c r="AF47" s="62"/>
      <c r="AG47" s="47">
        <v>0.38</v>
      </c>
      <c r="AH47" s="47"/>
      <c r="AI47" s="54"/>
      <c r="AJ47" s="54"/>
      <c r="AK47" s="47">
        <v>0.002</v>
      </c>
      <c r="AL47" s="54"/>
      <c r="AM47" s="47">
        <v>0.5</v>
      </c>
      <c r="AN47" s="62"/>
      <c r="AO47" s="184">
        <f t="shared" ref="AO47:AS47" si="85">ROUND(E47*(5/12)+K47*(5/12)+S47+Y47-AG47,2)</f>
        <v>-0.1</v>
      </c>
      <c r="AP47" s="184">
        <f t="shared" si="85"/>
        <v>0.02</v>
      </c>
      <c r="AQ47" s="184">
        <f t="shared" si="85"/>
        <v>0</v>
      </c>
      <c r="AR47" s="184">
        <f t="shared" si="85"/>
        <v>0</v>
      </c>
      <c r="AS47" s="184">
        <f t="shared" si="85"/>
        <v>0.01</v>
      </c>
      <c r="AT47" s="184">
        <f t="shared" ref="AT47:AU47" si="86">P47+AD47-AL47</f>
        <v>1</v>
      </c>
      <c r="AU47" s="184">
        <f t="shared" si="86"/>
        <v>0.5</v>
      </c>
      <c r="AV47" s="62"/>
      <c r="AW47" s="213">
        <v>0.0</v>
      </c>
      <c r="AX47" s="213">
        <v>0.03</v>
      </c>
      <c r="AY47" s="213" t="s">
        <v>913</v>
      </c>
      <c r="AZ47" s="213" t="s">
        <v>913</v>
      </c>
      <c r="BA47" s="213">
        <v>0.01</v>
      </c>
      <c r="BB47" s="213">
        <v>1.0</v>
      </c>
      <c r="BC47" s="213">
        <v>1.0</v>
      </c>
      <c r="BD47" s="215" t="s">
        <v>1241</v>
      </c>
      <c r="BE47" s="62"/>
      <c r="BF47" s="62"/>
      <c r="BG47" s="62"/>
      <c r="BH47" s="54"/>
      <c r="BI47" s="54"/>
      <c r="BJ47" s="54"/>
      <c r="BK47" s="54"/>
      <c r="BL47" s="54"/>
      <c r="BM47" s="54"/>
      <c r="BN47" s="54"/>
      <c r="BO47" s="57"/>
      <c r="BP47" s="58" t="s">
        <v>1152</v>
      </c>
      <c r="BQ47" s="58" t="s">
        <v>1242</v>
      </c>
      <c r="BR47" s="57"/>
    </row>
    <row r="48">
      <c r="A48" s="176">
        <v>44.0</v>
      </c>
      <c r="B48" s="177" t="s">
        <v>76</v>
      </c>
      <c r="C48" s="178" t="s">
        <v>41</v>
      </c>
      <c r="D48" s="212">
        <v>3.67</v>
      </c>
      <c r="E48" s="212">
        <v>0.33</v>
      </c>
      <c r="F48" s="212">
        <v>0.0</v>
      </c>
      <c r="G48" s="212">
        <v>0.0</v>
      </c>
      <c r="H48" s="179">
        <v>0.0</v>
      </c>
      <c r="I48" s="179">
        <v>0.0</v>
      </c>
      <c r="J48" s="50">
        <v>3.33</v>
      </c>
      <c r="K48" s="50">
        <v>0.67</v>
      </c>
      <c r="L48" s="50">
        <v>0.0</v>
      </c>
      <c r="M48" s="50">
        <v>0.0</v>
      </c>
      <c r="N48" s="50">
        <v>0.0</v>
      </c>
      <c r="O48" s="50">
        <v>0.0</v>
      </c>
      <c r="P48" s="180">
        <v>1.0</v>
      </c>
      <c r="Q48" s="180">
        <v>1.0</v>
      </c>
      <c r="R48" s="62"/>
      <c r="S48" s="213">
        <v>0.0</v>
      </c>
      <c r="T48" s="213">
        <v>0.0</v>
      </c>
      <c r="U48" s="213">
        <v>0.0</v>
      </c>
      <c r="V48" s="213">
        <v>0.0</v>
      </c>
      <c r="W48" s="213">
        <v>0.0</v>
      </c>
      <c r="X48" s="62"/>
      <c r="Y48" s="176">
        <v>0.0</v>
      </c>
      <c r="Z48" s="176">
        <v>0.0</v>
      </c>
      <c r="AA48" s="176">
        <v>0.0</v>
      </c>
      <c r="AB48" s="176">
        <v>0.0</v>
      </c>
      <c r="AC48" s="176">
        <v>0.0</v>
      </c>
      <c r="AD48" s="176">
        <v>0.0</v>
      </c>
      <c r="AE48" s="176">
        <v>0.0</v>
      </c>
      <c r="AF48" s="62"/>
      <c r="AG48" s="47"/>
      <c r="AH48" s="54"/>
      <c r="AI48" s="54"/>
      <c r="AJ48" s="54"/>
      <c r="AK48" s="54"/>
      <c r="AL48" s="54"/>
      <c r="AM48" s="54"/>
      <c r="AN48" s="62"/>
      <c r="AO48" s="184">
        <f t="shared" ref="AO48:AS48" si="87">ROUND(E48*(5/12)+K48*(5/12)+S48+Y48-AG48,2)</f>
        <v>0.42</v>
      </c>
      <c r="AP48" s="184">
        <f t="shared" si="87"/>
        <v>0</v>
      </c>
      <c r="AQ48" s="184">
        <f t="shared" si="87"/>
        <v>0</v>
      </c>
      <c r="AR48" s="184">
        <f t="shared" si="87"/>
        <v>0</v>
      </c>
      <c r="AS48" s="184">
        <f t="shared" si="87"/>
        <v>0</v>
      </c>
      <c r="AT48" s="184">
        <f t="shared" ref="AT48:AU48" si="88">P48+AD48-AL48</f>
        <v>1</v>
      </c>
      <c r="AU48" s="184">
        <f t="shared" si="88"/>
        <v>1</v>
      </c>
      <c r="AV48" s="62"/>
      <c r="AW48" s="213">
        <v>0.0</v>
      </c>
      <c r="AX48" s="213" t="s">
        <v>913</v>
      </c>
      <c r="AY48" s="213" t="s">
        <v>913</v>
      </c>
      <c r="AZ48" s="213" t="s">
        <v>913</v>
      </c>
      <c r="BA48" s="213" t="s">
        <v>913</v>
      </c>
      <c r="BB48" s="213">
        <v>1.0</v>
      </c>
      <c r="BC48" s="213">
        <v>1.0</v>
      </c>
      <c r="BD48" s="216" t="s">
        <v>1243</v>
      </c>
      <c r="BE48" s="62"/>
      <c r="BF48" s="62"/>
      <c r="BG48" s="62"/>
      <c r="BH48" s="54"/>
      <c r="BI48" s="54"/>
      <c r="BJ48" s="54"/>
      <c r="BK48" s="54"/>
      <c r="BL48" s="54"/>
      <c r="BM48" s="54"/>
      <c r="BN48" s="54"/>
      <c r="BO48" s="57"/>
      <c r="BP48" s="58" t="s">
        <v>1152</v>
      </c>
      <c r="BQ48" s="57"/>
      <c r="BR48" s="57"/>
    </row>
    <row r="49">
      <c r="A49" s="176">
        <v>45.0</v>
      </c>
      <c r="B49" s="177" t="s">
        <v>54</v>
      </c>
      <c r="C49" s="178" t="s">
        <v>41</v>
      </c>
      <c r="D49" s="212">
        <v>3.0</v>
      </c>
      <c r="E49" s="212">
        <v>0.43</v>
      </c>
      <c r="F49" s="212">
        <v>0.0</v>
      </c>
      <c r="G49" s="212">
        <v>0.37</v>
      </c>
      <c r="H49" s="212">
        <v>0.2</v>
      </c>
      <c r="I49" s="179">
        <v>0.0</v>
      </c>
      <c r="J49" s="50">
        <v>2.33</v>
      </c>
      <c r="K49" s="50">
        <v>1.1</v>
      </c>
      <c r="L49" s="50">
        <v>0.0</v>
      </c>
      <c r="M49" s="50">
        <v>0.37</v>
      </c>
      <c r="N49" s="50">
        <v>0.2</v>
      </c>
      <c r="O49" s="50">
        <v>0.0</v>
      </c>
      <c r="P49" s="180">
        <v>1.0</v>
      </c>
      <c r="Q49" s="180">
        <v>1.0</v>
      </c>
      <c r="R49" s="62"/>
      <c r="S49" s="213">
        <v>0.0</v>
      </c>
      <c r="T49" s="213">
        <v>0.0</v>
      </c>
      <c r="U49" s="213">
        <v>0.0</v>
      </c>
      <c r="V49" s="213">
        <v>0.0</v>
      </c>
      <c r="W49" s="213">
        <v>0.0</v>
      </c>
      <c r="X49" s="62"/>
      <c r="Y49" s="176">
        <v>0.0</v>
      </c>
      <c r="Z49" s="176">
        <v>0.0</v>
      </c>
      <c r="AA49" s="176">
        <v>0.0</v>
      </c>
      <c r="AB49" s="176">
        <v>0.0</v>
      </c>
      <c r="AC49" s="176">
        <v>0.0</v>
      </c>
      <c r="AD49" s="176">
        <v>0.0</v>
      </c>
      <c r="AE49" s="176">
        <v>0.0</v>
      </c>
      <c r="AF49" s="62"/>
      <c r="AG49" s="54"/>
      <c r="AH49" s="54"/>
      <c r="AI49" s="54"/>
      <c r="AJ49" s="54"/>
      <c r="AK49" s="54"/>
      <c r="AL49" s="54"/>
      <c r="AM49" s="54"/>
      <c r="AN49" s="62"/>
      <c r="AO49" s="184">
        <f t="shared" ref="AO49:AS49" si="89">ROUND(E49*(5/12)+K49*(5/12)+S49+Y49-AG49,2)</f>
        <v>0.64</v>
      </c>
      <c r="AP49" s="184">
        <f t="shared" si="89"/>
        <v>0</v>
      </c>
      <c r="AQ49" s="184">
        <f t="shared" si="89"/>
        <v>0.31</v>
      </c>
      <c r="AR49" s="184">
        <f t="shared" si="89"/>
        <v>0.17</v>
      </c>
      <c r="AS49" s="184">
        <f t="shared" si="89"/>
        <v>0</v>
      </c>
      <c r="AT49" s="184">
        <f t="shared" ref="AT49:AU49" si="90">P49+AD49-AL49</f>
        <v>1</v>
      </c>
      <c r="AU49" s="184">
        <f t="shared" si="90"/>
        <v>1</v>
      </c>
      <c r="AV49" s="62"/>
      <c r="AW49" s="213">
        <v>1.0</v>
      </c>
      <c r="AX49" s="213" t="s">
        <v>913</v>
      </c>
      <c r="AY49" s="213">
        <v>0.4</v>
      </c>
      <c r="AZ49" s="213">
        <v>0.33</v>
      </c>
      <c r="BA49" s="213" t="s">
        <v>913</v>
      </c>
      <c r="BB49" s="213">
        <v>1.0</v>
      </c>
      <c r="BC49" s="213">
        <v>1.0</v>
      </c>
      <c r="BD49" s="205" t="s">
        <v>1244</v>
      </c>
      <c r="BE49" s="62"/>
      <c r="BF49" s="62"/>
      <c r="BG49" s="62"/>
      <c r="BH49" s="54"/>
      <c r="BI49" s="54"/>
      <c r="BJ49" s="54"/>
      <c r="BK49" s="54"/>
      <c r="BL49" s="54"/>
      <c r="BM49" s="54"/>
      <c r="BN49" s="54"/>
      <c r="BO49" s="57"/>
      <c r="BP49" s="58" t="s">
        <v>1152</v>
      </c>
      <c r="BQ49" s="57"/>
      <c r="BR49" s="58" t="s">
        <v>1245</v>
      </c>
    </row>
    <row r="50">
      <c r="A50" s="176">
        <v>46.0</v>
      </c>
      <c r="B50" s="177" t="s">
        <v>77</v>
      </c>
      <c r="C50" s="178" t="s">
        <v>41</v>
      </c>
      <c r="D50" s="212">
        <v>4.42</v>
      </c>
      <c r="E50" s="212">
        <v>0.33</v>
      </c>
      <c r="F50" s="212">
        <v>0.0</v>
      </c>
      <c r="G50" s="212">
        <v>0.0</v>
      </c>
      <c r="H50" s="212">
        <v>0.0</v>
      </c>
      <c r="I50" s="179">
        <v>0.0</v>
      </c>
      <c r="J50" s="50">
        <v>3.67</v>
      </c>
      <c r="K50" s="50">
        <v>0.33</v>
      </c>
      <c r="L50" s="50">
        <v>0.0</v>
      </c>
      <c r="M50" s="50">
        <v>0.0</v>
      </c>
      <c r="N50" s="50">
        <v>0.0</v>
      </c>
      <c r="O50" s="50">
        <v>0.0</v>
      </c>
      <c r="P50" s="180">
        <v>1.0</v>
      </c>
      <c r="Q50" s="180">
        <v>1.0</v>
      </c>
      <c r="R50" s="62"/>
      <c r="S50" s="213">
        <v>0.0</v>
      </c>
      <c r="T50" s="213">
        <v>0.0</v>
      </c>
      <c r="U50" s="213">
        <v>0.0</v>
      </c>
      <c r="V50" s="213">
        <v>0.0</v>
      </c>
      <c r="W50" s="213">
        <v>0.0</v>
      </c>
      <c r="X50" s="62"/>
      <c r="Y50" s="176">
        <v>0.0</v>
      </c>
      <c r="Z50" s="176">
        <v>0.0</v>
      </c>
      <c r="AA50" s="176">
        <v>0.0</v>
      </c>
      <c r="AB50" s="176">
        <v>0.0</v>
      </c>
      <c r="AC50" s="176">
        <v>0.0</v>
      </c>
      <c r="AD50" s="176">
        <v>0.0</v>
      </c>
      <c r="AE50" s="176">
        <v>0.0</v>
      </c>
      <c r="AF50" s="62"/>
      <c r="AG50" s="54"/>
      <c r="AH50" s="54"/>
      <c r="AI50" s="54"/>
      <c r="AJ50" s="54"/>
      <c r="AK50" s="54"/>
      <c r="AL50" s="54"/>
      <c r="AM50" s="54"/>
      <c r="AN50" s="62"/>
      <c r="AO50" s="184">
        <f t="shared" ref="AO50:AS50" si="91">ROUND(E50*(5/12)+K50*(5/12)+S50+Y50-AG50,2)</f>
        <v>0.28</v>
      </c>
      <c r="AP50" s="184">
        <f t="shared" si="91"/>
        <v>0</v>
      </c>
      <c r="AQ50" s="184">
        <f t="shared" si="91"/>
        <v>0</v>
      </c>
      <c r="AR50" s="184">
        <f t="shared" si="91"/>
        <v>0</v>
      </c>
      <c r="AS50" s="184">
        <f t="shared" si="91"/>
        <v>0</v>
      </c>
      <c r="AT50" s="184">
        <f t="shared" ref="AT50:AU50" si="92">P50+AD50-AL50</f>
        <v>1</v>
      </c>
      <c r="AU50" s="184">
        <f t="shared" si="92"/>
        <v>1</v>
      </c>
      <c r="AV50" s="62"/>
      <c r="AW50" s="213">
        <v>0.5</v>
      </c>
      <c r="AX50" s="213" t="s">
        <v>913</v>
      </c>
      <c r="AY50" s="213" t="s">
        <v>913</v>
      </c>
      <c r="AZ50" s="213" t="s">
        <v>913</v>
      </c>
      <c r="BA50" s="213" t="s">
        <v>913</v>
      </c>
      <c r="BB50" s="213">
        <v>1.0</v>
      </c>
      <c r="BC50" s="213">
        <v>1.0</v>
      </c>
      <c r="BD50" s="207" t="s">
        <v>1246</v>
      </c>
      <c r="BE50" s="62"/>
      <c r="BF50" s="62"/>
      <c r="BG50" s="62"/>
      <c r="BH50" s="54"/>
      <c r="BI50" s="54"/>
      <c r="BJ50" s="54"/>
      <c r="BK50" s="54"/>
      <c r="BL50" s="54"/>
      <c r="BM50" s="54"/>
      <c r="BN50" s="54"/>
      <c r="BO50" s="57"/>
      <c r="BP50" s="58" t="s">
        <v>1152</v>
      </c>
      <c r="BQ50" s="57"/>
      <c r="BR50" s="57"/>
    </row>
    <row r="51">
      <c r="A51" s="176">
        <v>47.0</v>
      </c>
      <c r="B51" s="177" t="s">
        <v>78</v>
      </c>
      <c r="C51" s="178" t="s">
        <v>41</v>
      </c>
      <c r="D51" s="212">
        <v>3.66</v>
      </c>
      <c r="E51" s="212">
        <v>0.34</v>
      </c>
      <c r="F51" s="212">
        <v>0.0</v>
      </c>
      <c r="G51" s="212">
        <v>0.0</v>
      </c>
      <c r="H51" s="212">
        <v>0.0</v>
      </c>
      <c r="I51" s="179">
        <v>0.0</v>
      </c>
      <c r="J51" s="50">
        <v>3.34</v>
      </c>
      <c r="K51" s="50">
        <v>0.66</v>
      </c>
      <c r="L51" s="50">
        <v>0.0</v>
      </c>
      <c r="M51" s="50">
        <v>0.0</v>
      </c>
      <c r="N51" s="50">
        <v>0.0</v>
      </c>
      <c r="O51" s="50">
        <v>0.0</v>
      </c>
      <c r="P51" s="180">
        <v>1.0</v>
      </c>
      <c r="Q51" s="180">
        <v>1.0</v>
      </c>
      <c r="R51" s="62"/>
      <c r="S51" s="213">
        <v>0.0</v>
      </c>
      <c r="T51" s="213">
        <v>0.0</v>
      </c>
      <c r="U51" s="213">
        <v>0.0</v>
      </c>
      <c r="V51" s="213">
        <v>0.0</v>
      </c>
      <c r="W51" s="213">
        <v>0.0</v>
      </c>
      <c r="X51" s="62"/>
      <c r="Y51" s="176">
        <v>0.0</v>
      </c>
      <c r="Z51" s="176">
        <v>0.0</v>
      </c>
      <c r="AA51" s="176">
        <v>0.0</v>
      </c>
      <c r="AB51" s="176">
        <v>0.0</v>
      </c>
      <c r="AC51" s="176">
        <v>0.0</v>
      </c>
      <c r="AD51" s="176">
        <v>0.0</v>
      </c>
      <c r="AE51" s="176">
        <v>0.0</v>
      </c>
      <c r="AF51" s="62"/>
      <c r="AG51" s="54"/>
      <c r="AH51" s="54"/>
      <c r="AI51" s="54"/>
      <c r="AJ51" s="54"/>
      <c r="AK51" s="54"/>
      <c r="AL51" s="54"/>
      <c r="AM51" s="54"/>
      <c r="AN51" s="62"/>
      <c r="AO51" s="184">
        <f t="shared" ref="AO51:AS51" si="93">ROUND(E51*(5/12)+K51*(5/12)+S51+Y51-AG51,2)</f>
        <v>0.42</v>
      </c>
      <c r="AP51" s="184">
        <f t="shared" si="93"/>
        <v>0</v>
      </c>
      <c r="AQ51" s="184">
        <f t="shared" si="93"/>
        <v>0</v>
      </c>
      <c r="AR51" s="184">
        <f t="shared" si="93"/>
        <v>0</v>
      </c>
      <c r="AS51" s="184">
        <f t="shared" si="93"/>
        <v>0</v>
      </c>
      <c r="AT51" s="184">
        <f t="shared" ref="AT51:AU51" si="94">P51+AD51-AL51</f>
        <v>1</v>
      </c>
      <c r="AU51" s="184">
        <f t="shared" si="94"/>
        <v>1</v>
      </c>
      <c r="AV51" s="62"/>
      <c r="AW51" s="213">
        <v>0.0</v>
      </c>
      <c r="AX51" s="213" t="s">
        <v>913</v>
      </c>
      <c r="AY51" s="213" t="s">
        <v>913</v>
      </c>
      <c r="AZ51" s="213" t="s">
        <v>913</v>
      </c>
      <c r="BA51" s="213" t="s">
        <v>913</v>
      </c>
      <c r="BB51" s="213">
        <v>0.0</v>
      </c>
      <c r="BC51" s="213">
        <v>1.0</v>
      </c>
      <c r="BD51" s="205" t="s">
        <v>1247</v>
      </c>
      <c r="BE51" s="62"/>
      <c r="BF51" s="62"/>
      <c r="BG51" s="62"/>
      <c r="BH51" s="54"/>
      <c r="BI51" s="54"/>
      <c r="BJ51" s="54"/>
      <c r="BK51" s="54"/>
      <c r="BL51" s="54"/>
      <c r="BM51" s="54"/>
      <c r="BN51" s="54"/>
      <c r="BO51" s="57"/>
      <c r="BP51" s="58"/>
      <c r="BQ51" s="57"/>
      <c r="BR51" s="57"/>
    </row>
    <row r="52">
      <c r="A52" s="176">
        <v>48.0</v>
      </c>
      <c r="B52" s="101" t="s">
        <v>1248</v>
      </c>
      <c r="C52" s="178" t="s">
        <v>41</v>
      </c>
      <c r="D52" s="212">
        <v>4.0</v>
      </c>
      <c r="E52" s="212">
        <v>0.0</v>
      </c>
      <c r="F52" s="212">
        <v>0.0</v>
      </c>
      <c r="G52" s="212">
        <v>0.0</v>
      </c>
      <c r="H52" s="212">
        <v>0.0</v>
      </c>
      <c r="I52" s="179">
        <v>0.0</v>
      </c>
      <c r="J52" s="50">
        <v>2.33</v>
      </c>
      <c r="K52" s="50">
        <v>1.47</v>
      </c>
      <c r="L52" s="50">
        <v>0.0</v>
      </c>
      <c r="M52" s="50">
        <v>0.2</v>
      </c>
      <c r="N52" s="50">
        <v>0.0</v>
      </c>
      <c r="O52" s="50">
        <v>0.0</v>
      </c>
      <c r="P52" s="180">
        <v>1.0</v>
      </c>
      <c r="Q52" s="180">
        <v>1.0</v>
      </c>
      <c r="R52" s="62"/>
      <c r="S52" s="213">
        <v>0.0</v>
      </c>
      <c r="T52" s="213">
        <v>0.0</v>
      </c>
      <c r="U52" s="213">
        <v>0.0</v>
      </c>
      <c r="V52" s="213">
        <v>0.0</v>
      </c>
      <c r="W52" s="213">
        <v>0.0</v>
      </c>
      <c r="X52" s="62"/>
      <c r="Y52" s="176">
        <v>0.0</v>
      </c>
      <c r="Z52" s="176">
        <v>0.0</v>
      </c>
      <c r="AA52" s="176">
        <v>0.0</v>
      </c>
      <c r="AB52" s="176">
        <v>0.0</v>
      </c>
      <c r="AC52" s="176">
        <v>0.0</v>
      </c>
      <c r="AD52" s="176">
        <v>0.0</v>
      </c>
      <c r="AE52" s="176">
        <v>0.0</v>
      </c>
      <c r="AF52" s="62"/>
      <c r="AG52" s="54"/>
      <c r="AH52" s="54"/>
      <c r="AI52" s="54"/>
      <c r="AJ52" s="54"/>
      <c r="AK52" s="54"/>
      <c r="AL52" s="54"/>
      <c r="AM52" s="54"/>
      <c r="AN52" s="62"/>
      <c r="AO52" s="184">
        <f t="shared" ref="AO52:AS52" si="95">ROUND(E52*(5/12)+K52*(5/12)+S52+Y52-AG52,2)</f>
        <v>0.61</v>
      </c>
      <c r="AP52" s="184">
        <f t="shared" si="95"/>
        <v>0</v>
      </c>
      <c r="AQ52" s="184">
        <f t="shared" si="95"/>
        <v>0.08</v>
      </c>
      <c r="AR52" s="184">
        <f t="shared" si="95"/>
        <v>0</v>
      </c>
      <c r="AS52" s="184">
        <f t="shared" si="95"/>
        <v>0</v>
      </c>
      <c r="AT52" s="184">
        <f t="shared" ref="AT52:AU52" si="96">P52+AD52-AL52</f>
        <v>1</v>
      </c>
      <c r="AU52" s="184">
        <f t="shared" si="96"/>
        <v>1</v>
      </c>
      <c r="AV52" s="62"/>
      <c r="AW52" s="213">
        <v>1.0</v>
      </c>
      <c r="AX52" s="213" t="s">
        <v>913</v>
      </c>
      <c r="AY52" s="213">
        <v>0.1</v>
      </c>
      <c r="AZ52" s="213" t="s">
        <v>913</v>
      </c>
      <c r="BA52" s="213" t="s">
        <v>913</v>
      </c>
      <c r="BB52" s="213">
        <v>1.0</v>
      </c>
      <c r="BC52" s="213">
        <v>1.0</v>
      </c>
      <c r="BD52" s="207" t="s">
        <v>1249</v>
      </c>
      <c r="BE52" s="62"/>
      <c r="BF52" s="62"/>
      <c r="BG52" s="62"/>
      <c r="BH52" s="54"/>
      <c r="BI52" s="54"/>
      <c r="BJ52" s="54"/>
      <c r="BK52" s="54"/>
      <c r="BL52" s="54"/>
      <c r="BM52" s="54"/>
      <c r="BN52" s="54"/>
      <c r="BO52" s="57"/>
      <c r="BP52" s="57"/>
      <c r="BQ52" s="57"/>
      <c r="BR52" s="58" t="s">
        <v>1250</v>
      </c>
    </row>
    <row r="53">
      <c r="A53" s="176">
        <v>49.0</v>
      </c>
      <c r="B53" s="217" t="s">
        <v>1251</v>
      </c>
      <c r="C53" s="218" t="s">
        <v>41</v>
      </c>
      <c r="D53" s="219"/>
      <c r="E53" s="219"/>
      <c r="F53" s="219"/>
      <c r="G53" s="219"/>
      <c r="H53" s="219"/>
      <c r="I53" s="219"/>
      <c r="J53" s="220">
        <v>4.0</v>
      </c>
      <c r="K53" s="220">
        <v>0.0</v>
      </c>
      <c r="L53" s="220">
        <v>0.0</v>
      </c>
      <c r="M53" s="220">
        <v>0.0</v>
      </c>
      <c r="N53" s="220">
        <v>0.0</v>
      </c>
      <c r="O53" s="220">
        <v>0.0</v>
      </c>
      <c r="P53" s="203">
        <v>0.4</v>
      </c>
      <c r="Q53" s="203">
        <v>0.4</v>
      </c>
      <c r="R53" s="62"/>
      <c r="S53" s="221">
        <v>0.0</v>
      </c>
      <c r="T53" s="222">
        <v>0.0</v>
      </c>
      <c r="U53" s="222">
        <v>0.0</v>
      </c>
      <c r="V53" s="222">
        <v>0.0</v>
      </c>
      <c r="W53" s="222">
        <v>0.0</v>
      </c>
      <c r="X53" s="62"/>
      <c r="Y53" s="202">
        <v>0.0</v>
      </c>
      <c r="Z53" s="202">
        <v>0.0</v>
      </c>
      <c r="AA53" s="202">
        <v>0.0</v>
      </c>
      <c r="AB53" s="202">
        <v>0.0</v>
      </c>
      <c r="AC53" s="202">
        <v>0.0</v>
      </c>
      <c r="AD53" s="202">
        <v>0.0</v>
      </c>
      <c r="AE53" s="202">
        <v>0.0</v>
      </c>
      <c r="AF53" s="62"/>
      <c r="AG53" s="202"/>
      <c r="AH53" s="202"/>
      <c r="AI53" s="202"/>
      <c r="AJ53" s="202"/>
      <c r="AK53" s="202"/>
      <c r="AL53" s="223"/>
      <c r="AM53" s="223"/>
      <c r="AN53" s="62"/>
      <c r="AO53" s="223">
        <f t="shared" ref="AO53:AS53" si="97">ROUND(E53*(5/12)+K53*(5/12)+S53+Y53-AG53,2)</f>
        <v>0</v>
      </c>
      <c r="AP53" s="223">
        <f t="shared" si="97"/>
        <v>0</v>
      </c>
      <c r="AQ53" s="223">
        <f t="shared" si="97"/>
        <v>0</v>
      </c>
      <c r="AR53" s="223">
        <f t="shared" si="97"/>
        <v>0</v>
      </c>
      <c r="AS53" s="223">
        <f t="shared" si="97"/>
        <v>0</v>
      </c>
      <c r="AT53" s="223">
        <f t="shared" ref="AT53:AU53" si="98">P53+AD53-AL53</f>
        <v>0.4</v>
      </c>
      <c r="AU53" s="223">
        <f t="shared" si="98"/>
        <v>0.4</v>
      </c>
      <c r="AV53" s="62"/>
      <c r="AW53" s="202"/>
      <c r="AX53" s="202"/>
      <c r="AY53" s="202"/>
      <c r="AZ53" s="202"/>
      <c r="BA53" s="202"/>
      <c r="BB53" s="202"/>
      <c r="BC53" s="202"/>
      <c r="BD53" s="203"/>
      <c r="BE53" s="62"/>
      <c r="BF53" s="62"/>
      <c r="BG53" s="62"/>
      <c r="BH53" s="224"/>
      <c r="BI53" s="223"/>
      <c r="BJ53" s="223"/>
      <c r="BK53" s="223"/>
      <c r="BL53" s="223"/>
      <c r="BM53" s="225"/>
      <c r="BN53" s="225"/>
      <c r="BO53" s="219"/>
      <c r="BP53" s="226"/>
      <c r="BQ53" s="219"/>
      <c r="BR53" s="219"/>
    </row>
    <row r="54">
      <c r="A54" s="176">
        <v>50.0</v>
      </c>
      <c r="B54" s="227" t="s">
        <v>1252</v>
      </c>
      <c r="C54" s="178" t="s">
        <v>93</v>
      </c>
      <c r="D54" s="212">
        <v>1.0</v>
      </c>
      <c r="E54" s="212">
        <v>0.0</v>
      </c>
      <c r="F54" s="212">
        <v>0.0</v>
      </c>
      <c r="G54" s="212">
        <v>0.0</v>
      </c>
      <c r="H54" s="212">
        <v>0.0</v>
      </c>
      <c r="I54" s="179">
        <v>1.0</v>
      </c>
      <c r="J54" s="50">
        <v>0.0</v>
      </c>
      <c r="K54" s="50">
        <v>0.0</v>
      </c>
      <c r="L54" s="50">
        <v>0.0</v>
      </c>
      <c r="M54" s="50">
        <v>0.0</v>
      </c>
      <c r="N54" s="50">
        <v>0.0</v>
      </c>
      <c r="O54" s="50">
        <v>1.0</v>
      </c>
      <c r="P54" s="180">
        <v>1.0</v>
      </c>
      <c r="Q54" s="180">
        <v>1.0</v>
      </c>
      <c r="R54" s="62"/>
      <c r="S54" s="182">
        <v>0.14</v>
      </c>
      <c r="T54" s="183">
        <v>0.05</v>
      </c>
      <c r="U54" s="183">
        <v>0.05</v>
      </c>
      <c r="V54" s="183">
        <v>0.03</v>
      </c>
      <c r="W54" s="183">
        <v>0.06</v>
      </c>
      <c r="X54" s="62"/>
      <c r="Y54" s="176">
        <v>0.0</v>
      </c>
      <c r="Z54" s="176">
        <v>0.0</v>
      </c>
      <c r="AA54" s="176">
        <v>0.0</v>
      </c>
      <c r="AB54" s="176">
        <v>0.0</v>
      </c>
      <c r="AC54" s="176">
        <v>0.0</v>
      </c>
      <c r="AD54" s="176">
        <v>0.0</v>
      </c>
      <c r="AE54" s="176">
        <v>0.0</v>
      </c>
      <c r="AF54" s="62"/>
      <c r="AG54" s="47">
        <v>0.14</v>
      </c>
      <c r="AH54" s="47">
        <v>0.05</v>
      </c>
      <c r="AI54" s="47">
        <v>0.04</v>
      </c>
      <c r="AJ54" s="47">
        <v>0.03</v>
      </c>
      <c r="AK54" s="47">
        <v>0.003</v>
      </c>
      <c r="AL54" s="54"/>
      <c r="AM54" s="54"/>
      <c r="AN54" s="62"/>
      <c r="AO54" s="184">
        <f t="shared" ref="AO54:AS54" si="99">ROUND(E54*(5/12)+K54*(5/12)+S54+Y54-AG54,2)</f>
        <v>0</v>
      </c>
      <c r="AP54" s="184">
        <f t="shared" si="99"/>
        <v>0</v>
      </c>
      <c r="AQ54" s="184">
        <f t="shared" si="99"/>
        <v>0.01</v>
      </c>
      <c r="AR54" s="184">
        <f t="shared" si="99"/>
        <v>0</v>
      </c>
      <c r="AS54" s="184">
        <f t="shared" si="99"/>
        <v>0.89</v>
      </c>
      <c r="AT54" s="184">
        <f t="shared" ref="AT54:AU54" si="100">P54+AD54-AL54</f>
        <v>1</v>
      </c>
      <c r="AU54" s="184">
        <f t="shared" si="100"/>
        <v>1</v>
      </c>
      <c r="AV54" s="62"/>
      <c r="AW54" s="213" t="s">
        <v>913</v>
      </c>
      <c r="AX54" s="213" t="s">
        <v>913</v>
      </c>
      <c r="AY54" s="213">
        <v>0.0</v>
      </c>
      <c r="AZ54" s="213" t="s">
        <v>913</v>
      </c>
      <c r="BA54" s="213">
        <v>0.0</v>
      </c>
      <c r="BB54" s="213">
        <v>0.0</v>
      </c>
      <c r="BC54" s="213">
        <v>0.0</v>
      </c>
      <c r="BD54" s="216" t="s">
        <v>1253</v>
      </c>
      <c r="BE54" s="62"/>
      <c r="BF54" s="62"/>
      <c r="BG54" s="62"/>
      <c r="BH54" s="192"/>
      <c r="BI54" s="54"/>
      <c r="BJ54" s="54"/>
      <c r="BK54" s="54"/>
      <c r="BL54" s="54"/>
      <c r="BM54" s="206"/>
      <c r="BN54" s="206"/>
      <c r="BO54" s="57"/>
      <c r="BP54" s="58"/>
      <c r="BQ54" s="57"/>
      <c r="BR54" s="57"/>
    </row>
    <row r="55">
      <c r="A55" s="176">
        <v>51.0</v>
      </c>
      <c r="B55" s="199" t="s">
        <v>1254</v>
      </c>
      <c r="C55" s="178" t="s">
        <v>93</v>
      </c>
      <c r="D55" s="212">
        <v>3.0</v>
      </c>
      <c r="E55" s="212">
        <v>0.5</v>
      </c>
      <c r="F55" s="212">
        <v>0.5</v>
      </c>
      <c r="G55" s="212">
        <v>0.0</v>
      </c>
      <c r="H55" s="212">
        <v>0.0</v>
      </c>
      <c r="I55" s="212">
        <v>0.0</v>
      </c>
      <c r="J55" s="200"/>
      <c r="K55" s="200"/>
      <c r="L55" s="201"/>
      <c r="M55" s="201"/>
      <c r="N55" s="201"/>
      <c r="O55" s="201"/>
      <c r="P55" s="180">
        <v>1.0</v>
      </c>
      <c r="Q55" s="180">
        <v>1.0</v>
      </c>
      <c r="R55" s="62"/>
      <c r="S55" s="213">
        <v>0.0</v>
      </c>
      <c r="T55" s="213">
        <v>0.0</v>
      </c>
      <c r="U55" s="213">
        <v>0.0</v>
      </c>
      <c r="V55" s="213">
        <v>0.0</v>
      </c>
      <c r="W55" s="213">
        <v>0.0</v>
      </c>
      <c r="X55" s="62"/>
      <c r="Y55" s="176">
        <v>0.0</v>
      </c>
      <c r="Z55" s="176">
        <v>0.0</v>
      </c>
      <c r="AA55" s="176">
        <v>0.0</v>
      </c>
      <c r="AB55" s="176">
        <v>0.0</v>
      </c>
      <c r="AC55" s="176">
        <v>0.0</v>
      </c>
      <c r="AD55" s="176">
        <v>0.0</v>
      </c>
      <c r="AE55" s="176">
        <v>0.0</v>
      </c>
      <c r="AF55" s="62"/>
      <c r="AG55" s="223"/>
      <c r="AH55" s="223"/>
      <c r="AI55" s="223"/>
      <c r="AJ55" s="223"/>
      <c r="AK55" s="223"/>
      <c r="AL55" s="223"/>
      <c r="AM55" s="54"/>
      <c r="AN55" s="62"/>
      <c r="AO55" s="184">
        <f t="shared" ref="AO55:AS55" si="101">ROUND(E55*(5/12)+K55*(5/12)+S55+Y55-AG55,2)</f>
        <v>0.21</v>
      </c>
      <c r="AP55" s="184">
        <f t="shared" si="101"/>
        <v>0.21</v>
      </c>
      <c r="AQ55" s="184">
        <f t="shared" si="101"/>
        <v>0</v>
      </c>
      <c r="AR55" s="184">
        <f t="shared" si="101"/>
        <v>0</v>
      </c>
      <c r="AS55" s="184">
        <f t="shared" si="101"/>
        <v>0</v>
      </c>
      <c r="AT55" s="184">
        <f t="shared" ref="AT55:AU55" si="102">P55+AD55-AL55</f>
        <v>1</v>
      </c>
      <c r="AU55" s="184">
        <f t="shared" si="102"/>
        <v>1</v>
      </c>
      <c r="AV55" s="62"/>
      <c r="AW55" s="202"/>
      <c r="AX55" s="202"/>
      <c r="AY55" s="202"/>
      <c r="AZ55" s="202"/>
      <c r="BA55" s="202"/>
      <c r="BB55" s="202"/>
      <c r="BC55" s="202"/>
      <c r="BD55" s="228"/>
      <c r="BE55" s="62"/>
      <c r="BF55" s="62"/>
      <c r="BG55" s="62"/>
      <c r="BH55" s="54"/>
      <c r="BI55" s="54"/>
      <c r="BJ55" s="54"/>
      <c r="BK55" s="54"/>
      <c r="BL55" s="54"/>
      <c r="BM55" s="54"/>
      <c r="BN55" s="54"/>
      <c r="BO55" s="57"/>
      <c r="BP55" s="58"/>
      <c r="BQ55" s="57"/>
      <c r="BR55" s="57"/>
    </row>
    <row r="56">
      <c r="A56" s="176">
        <v>52.0</v>
      </c>
      <c r="B56" s="229" t="s">
        <v>1255</v>
      </c>
      <c r="C56" s="178" t="s">
        <v>93</v>
      </c>
      <c r="D56" s="212">
        <v>1.0</v>
      </c>
      <c r="E56" s="212">
        <v>1.0</v>
      </c>
      <c r="F56" s="212">
        <v>0.7</v>
      </c>
      <c r="G56" s="212">
        <v>0.7</v>
      </c>
      <c r="H56" s="212">
        <v>0.6</v>
      </c>
      <c r="I56" s="212">
        <v>0.0</v>
      </c>
      <c r="J56" s="200"/>
      <c r="K56" s="200"/>
      <c r="L56" s="201"/>
      <c r="M56" s="201"/>
      <c r="N56" s="201"/>
      <c r="O56" s="201"/>
      <c r="P56" s="180">
        <v>1.0</v>
      </c>
      <c r="Q56" s="180">
        <v>1.0</v>
      </c>
      <c r="R56" s="62"/>
      <c r="S56" s="182">
        <v>0.06</v>
      </c>
      <c r="T56" s="183">
        <v>0.06</v>
      </c>
      <c r="U56" s="183">
        <v>0.05</v>
      </c>
      <c r="V56" s="183">
        <v>0.0</v>
      </c>
      <c r="W56" s="183">
        <v>0.0</v>
      </c>
      <c r="X56" s="62"/>
      <c r="Y56" s="176">
        <v>0.0</v>
      </c>
      <c r="Z56" s="176">
        <v>0.0</v>
      </c>
      <c r="AA56" s="176">
        <v>0.0</v>
      </c>
      <c r="AB56" s="176">
        <v>0.0</v>
      </c>
      <c r="AC56" s="176">
        <v>0.0</v>
      </c>
      <c r="AD56" s="176">
        <v>0.0</v>
      </c>
      <c r="AE56" s="176">
        <v>0.0</v>
      </c>
      <c r="AF56" s="62"/>
      <c r="AG56" s="47">
        <v>0.51</v>
      </c>
      <c r="AH56" s="54"/>
      <c r="AI56" s="54"/>
      <c r="AJ56" s="54"/>
      <c r="AK56" s="54"/>
      <c r="AL56" s="54"/>
      <c r="AM56" s="54"/>
      <c r="AN56" s="62"/>
      <c r="AO56" s="184">
        <f t="shared" ref="AO56:AS56" si="103">ROUND(E56*(5/12)+K56*(5/12)+S56+Y56-AG56,2)</f>
        <v>-0.03</v>
      </c>
      <c r="AP56" s="184">
        <f t="shared" si="103"/>
        <v>0.35</v>
      </c>
      <c r="AQ56" s="184">
        <f t="shared" si="103"/>
        <v>0.34</v>
      </c>
      <c r="AR56" s="184">
        <f t="shared" si="103"/>
        <v>0.25</v>
      </c>
      <c r="AS56" s="184">
        <f t="shared" si="103"/>
        <v>0</v>
      </c>
      <c r="AT56" s="184">
        <f t="shared" ref="AT56:AU56" si="104">P56+AD56-AL56</f>
        <v>1</v>
      </c>
      <c r="AU56" s="184">
        <f t="shared" si="104"/>
        <v>1</v>
      </c>
      <c r="AV56" s="62"/>
      <c r="AW56" s="202"/>
      <c r="AX56" s="202"/>
      <c r="AY56" s="202"/>
      <c r="AZ56" s="202"/>
      <c r="BA56" s="202"/>
      <c r="BB56" s="202"/>
      <c r="BC56" s="202"/>
      <c r="BD56" s="228"/>
      <c r="BE56" s="62"/>
      <c r="BF56" s="62"/>
      <c r="BG56" s="62"/>
      <c r="BH56" s="54"/>
      <c r="BI56" s="54"/>
      <c r="BJ56" s="54"/>
      <c r="BK56" s="54"/>
      <c r="BL56" s="54"/>
      <c r="BM56" s="54"/>
      <c r="BN56" s="54"/>
      <c r="BO56" s="57"/>
      <c r="BP56" s="58"/>
      <c r="BQ56" s="57"/>
      <c r="BR56" s="57"/>
    </row>
    <row r="57">
      <c r="A57" s="176">
        <v>53.0</v>
      </c>
      <c r="B57" s="227" t="s">
        <v>1256</v>
      </c>
      <c r="C57" s="178" t="s">
        <v>93</v>
      </c>
      <c r="D57" s="179">
        <v>4.0</v>
      </c>
      <c r="E57" s="179">
        <v>0.3</v>
      </c>
      <c r="F57" s="179">
        <v>0.3</v>
      </c>
      <c r="G57" s="179">
        <v>0.4</v>
      </c>
      <c r="H57" s="179">
        <v>0.0</v>
      </c>
      <c r="I57" s="179">
        <v>0.0</v>
      </c>
      <c r="J57" s="50">
        <v>2.0</v>
      </c>
      <c r="K57" s="50">
        <v>1.3</v>
      </c>
      <c r="L57" s="50">
        <v>0.3</v>
      </c>
      <c r="M57" s="50">
        <v>0.4</v>
      </c>
      <c r="N57" s="50">
        <v>0.0</v>
      </c>
      <c r="O57" s="50">
        <v>0.0</v>
      </c>
      <c r="P57" s="180">
        <v>1.0</v>
      </c>
      <c r="Q57" s="180">
        <v>1.0</v>
      </c>
      <c r="R57" s="62"/>
      <c r="S57" s="182">
        <v>0.08</v>
      </c>
      <c r="T57" s="183">
        <v>0.03</v>
      </c>
      <c r="U57" s="183">
        <v>0.05</v>
      </c>
      <c r="V57" s="183">
        <v>0.0</v>
      </c>
      <c r="W57" s="183">
        <v>0.0</v>
      </c>
      <c r="X57" s="62"/>
      <c r="Y57" s="176">
        <v>0.0</v>
      </c>
      <c r="Z57" s="176">
        <v>0.0</v>
      </c>
      <c r="AA57" s="176">
        <v>0.0</v>
      </c>
      <c r="AB57" s="176">
        <v>0.0</v>
      </c>
      <c r="AC57" s="176">
        <v>0.0</v>
      </c>
      <c r="AD57" s="176">
        <v>0.0</v>
      </c>
      <c r="AE57" s="176">
        <v>0.0</v>
      </c>
      <c r="AF57" s="62"/>
      <c r="AG57" s="47">
        <v>0.08</v>
      </c>
      <c r="AH57" s="47"/>
      <c r="AI57" s="47"/>
      <c r="AJ57" s="47"/>
      <c r="AK57" s="54"/>
      <c r="AL57" s="47"/>
      <c r="AM57" s="47"/>
      <c r="AN57" s="62"/>
      <c r="AO57" s="184">
        <f t="shared" ref="AO57:AS57" si="105">ROUND(E57*(5/12)+K57*(5/12)+S57+Y57-AG57,2)</f>
        <v>0.67</v>
      </c>
      <c r="AP57" s="184">
        <f t="shared" si="105"/>
        <v>0.28</v>
      </c>
      <c r="AQ57" s="184">
        <f t="shared" si="105"/>
        <v>0.38</v>
      </c>
      <c r="AR57" s="184">
        <f t="shared" si="105"/>
        <v>0</v>
      </c>
      <c r="AS57" s="184">
        <f t="shared" si="105"/>
        <v>0</v>
      </c>
      <c r="AT57" s="184">
        <f t="shared" ref="AT57:AU57" si="106">P57+AD57-AL57</f>
        <v>1</v>
      </c>
      <c r="AU57" s="184">
        <f t="shared" si="106"/>
        <v>1</v>
      </c>
      <c r="AV57" s="62"/>
      <c r="AW57" s="176">
        <v>0.5</v>
      </c>
      <c r="AX57" s="176">
        <v>0.28</v>
      </c>
      <c r="AY57" s="176">
        <v>0.05</v>
      </c>
      <c r="AZ57" s="176" t="s">
        <v>913</v>
      </c>
      <c r="BA57" s="176" t="s">
        <v>913</v>
      </c>
      <c r="BB57" s="176">
        <v>1.0</v>
      </c>
      <c r="BC57" s="176">
        <v>1.0</v>
      </c>
      <c r="BD57" s="180" t="s">
        <v>1257</v>
      </c>
      <c r="BE57" s="62"/>
      <c r="BF57" s="62"/>
      <c r="BG57" s="62"/>
      <c r="BH57" s="54"/>
      <c r="BI57" s="54"/>
      <c r="BJ57" s="54"/>
      <c r="BK57" s="54"/>
      <c r="BL57" s="54"/>
      <c r="BM57" s="72"/>
      <c r="BN57" s="54"/>
      <c r="BO57" s="58"/>
      <c r="BP57" s="58" t="s">
        <v>1152</v>
      </c>
      <c r="BQ57" s="58" t="s">
        <v>1258</v>
      </c>
      <c r="BR57" s="58" t="s">
        <v>1259</v>
      </c>
    </row>
    <row r="58">
      <c r="A58" s="176">
        <v>54.0</v>
      </c>
      <c r="B58" s="177" t="s">
        <v>1260</v>
      </c>
      <c r="C58" s="178" t="s">
        <v>93</v>
      </c>
      <c r="D58" s="179">
        <v>3.0</v>
      </c>
      <c r="E58" s="179">
        <v>0.8</v>
      </c>
      <c r="F58" s="179">
        <v>0.3</v>
      </c>
      <c r="G58" s="179">
        <v>0.7</v>
      </c>
      <c r="H58" s="179">
        <v>0.0</v>
      </c>
      <c r="I58" s="179">
        <v>0.2</v>
      </c>
      <c r="J58" s="50">
        <v>2.0</v>
      </c>
      <c r="K58" s="50">
        <v>0.8</v>
      </c>
      <c r="L58" s="50">
        <v>0.3</v>
      </c>
      <c r="M58" s="50">
        <v>0.7</v>
      </c>
      <c r="N58" s="50">
        <v>0.0</v>
      </c>
      <c r="O58" s="50">
        <v>0.2</v>
      </c>
      <c r="P58" s="180">
        <v>1.0</v>
      </c>
      <c r="Q58" s="180">
        <v>1.0</v>
      </c>
      <c r="R58" s="62"/>
      <c r="S58" s="187">
        <v>0.21</v>
      </c>
      <c r="T58" s="188">
        <v>0.03</v>
      </c>
      <c r="U58" s="188">
        <v>0.07</v>
      </c>
      <c r="V58" s="188">
        <v>0.0</v>
      </c>
      <c r="W58" s="188">
        <v>0.03</v>
      </c>
      <c r="X58" s="62"/>
      <c r="Y58" s="176">
        <v>0.0</v>
      </c>
      <c r="Z58" s="176">
        <v>0.0</v>
      </c>
      <c r="AA58" s="176">
        <v>0.0</v>
      </c>
      <c r="AB58" s="176">
        <v>0.0</v>
      </c>
      <c r="AC58" s="176">
        <v>0.0</v>
      </c>
      <c r="AD58" s="176">
        <v>0.0</v>
      </c>
      <c r="AE58" s="176">
        <v>0.0</v>
      </c>
      <c r="AF58" s="62"/>
      <c r="AG58" s="47">
        <v>0.21</v>
      </c>
      <c r="AH58" s="47"/>
      <c r="AI58" s="47">
        <v>0.065</v>
      </c>
      <c r="AJ58" s="54"/>
      <c r="AK58" s="54"/>
      <c r="AL58" s="47"/>
      <c r="AM58" s="47"/>
      <c r="AN58" s="62"/>
      <c r="AO58" s="184">
        <f t="shared" ref="AO58:AS58" si="107">ROUND(E58*(5/12)+K58*(5/12)+S58+Y58-AG58,2)</f>
        <v>0.67</v>
      </c>
      <c r="AP58" s="184">
        <f t="shared" si="107"/>
        <v>0.28</v>
      </c>
      <c r="AQ58" s="184">
        <f t="shared" si="107"/>
        <v>0.59</v>
      </c>
      <c r="AR58" s="184">
        <f t="shared" si="107"/>
        <v>0</v>
      </c>
      <c r="AS58" s="184">
        <f t="shared" si="107"/>
        <v>0.2</v>
      </c>
      <c r="AT58" s="184">
        <f t="shared" ref="AT58:AU58" si="108">P58+AD58-AL58</f>
        <v>1</v>
      </c>
      <c r="AU58" s="184">
        <f t="shared" si="108"/>
        <v>1</v>
      </c>
      <c r="AV58" s="62"/>
      <c r="AW58" s="176">
        <v>0.5</v>
      </c>
      <c r="AX58" s="176">
        <v>0.38</v>
      </c>
      <c r="AY58" s="176">
        <v>0.1</v>
      </c>
      <c r="AZ58" s="176" t="s">
        <v>913</v>
      </c>
      <c r="BA58" s="176">
        <v>0.2</v>
      </c>
      <c r="BB58" s="176">
        <v>1.0</v>
      </c>
      <c r="BC58" s="176">
        <v>1.0</v>
      </c>
      <c r="BD58" s="230" t="s">
        <v>1261</v>
      </c>
      <c r="BE58" s="62"/>
      <c r="BF58" s="62"/>
      <c r="BG58" s="62"/>
      <c r="BH58" s="54"/>
      <c r="BI58" s="54"/>
      <c r="BJ58" s="54"/>
      <c r="BK58" s="54"/>
      <c r="BL58" s="54"/>
      <c r="BM58" s="54"/>
      <c r="BN58" s="54"/>
      <c r="BO58" s="57"/>
      <c r="BP58" s="58" t="s">
        <v>1152</v>
      </c>
      <c r="BQ58" s="58"/>
      <c r="BR58" s="57"/>
    </row>
    <row r="59">
      <c r="A59" s="176">
        <v>55.0</v>
      </c>
      <c r="B59" s="177" t="s">
        <v>1262</v>
      </c>
      <c r="C59" s="178" t="s">
        <v>93</v>
      </c>
      <c r="D59" s="179">
        <v>4.0</v>
      </c>
      <c r="E59" s="179">
        <v>0.5</v>
      </c>
      <c r="F59" s="179">
        <v>0.5</v>
      </c>
      <c r="G59" s="179">
        <v>0.0</v>
      </c>
      <c r="H59" s="179">
        <v>0.0</v>
      </c>
      <c r="I59" s="179">
        <v>0.0</v>
      </c>
      <c r="J59" s="50">
        <v>2.0</v>
      </c>
      <c r="K59" s="50">
        <v>1.5</v>
      </c>
      <c r="L59" s="50">
        <v>0.5</v>
      </c>
      <c r="M59" s="50">
        <v>0.0</v>
      </c>
      <c r="N59" s="50">
        <v>0.0</v>
      </c>
      <c r="O59" s="50">
        <v>0.0</v>
      </c>
      <c r="P59" s="180">
        <v>1.0</v>
      </c>
      <c r="Q59" s="180">
        <v>1.0</v>
      </c>
      <c r="R59" s="62"/>
      <c r="S59" s="187">
        <v>0.11</v>
      </c>
      <c r="T59" s="188">
        <v>0.03</v>
      </c>
      <c r="U59" s="188">
        <v>0.03</v>
      </c>
      <c r="V59" s="188">
        <v>0.0</v>
      </c>
      <c r="W59" s="188">
        <v>0.0</v>
      </c>
      <c r="X59" s="62"/>
      <c r="Y59" s="176">
        <v>0.0</v>
      </c>
      <c r="Z59" s="176">
        <v>0.0</v>
      </c>
      <c r="AA59" s="176">
        <v>0.0</v>
      </c>
      <c r="AB59" s="176">
        <v>0.0</v>
      </c>
      <c r="AC59" s="176">
        <v>0.0</v>
      </c>
      <c r="AD59" s="176">
        <v>0.0</v>
      </c>
      <c r="AE59" s="176">
        <v>0.0</v>
      </c>
      <c r="AF59" s="62"/>
      <c r="AG59" s="47">
        <v>0.11</v>
      </c>
      <c r="AH59" s="47">
        <v>0.003</v>
      </c>
      <c r="AI59" s="47">
        <v>0.061</v>
      </c>
      <c r="AJ59" s="54"/>
      <c r="AK59" s="54"/>
      <c r="AL59" s="54"/>
      <c r="AM59" s="47"/>
      <c r="AN59" s="62"/>
      <c r="AO59" s="184">
        <f t="shared" ref="AO59:AS59" si="109">ROUND(E59*(5/12)+K59*(5/12)+S59+Y59-AG59,2)</f>
        <v>0.83</v>
      </c>
      <c r="AP59" s="184">
        <f t="shared" si="109"/>
        <v>0.44</v>
      </c>
      <c r="AQ59" s="184">
        <f t="shared" si="109"/>
        <v>-0.03</v>
      </c>
      <c r="AR59" s="184">
        <f t="shared" si="109"/>
        <v>0</v>
      </c>
      <c r="AS59" s="184">
        <f t="shared" si="109"/>
        <v>0</v>
      </c>
      <c r="AT59" s="184">
        <f t="shared" ref="AT59:AU59" si="110">P59+AD59-AL59</f>
        <v>1</v>
      </c>
      <c r="AU59" s="184">
        <f t="shared" si="110"/>
        <v>1</v>
      </c>
      <c r="AV59" s="62"/>
      <c r="AW59" s="176">
        <v>1.0</v>
      </c>
      <c r="AX59" s="176">
        <v>0.44</v>
      </c>
      <c r="AY59" s="176">
        <v>0.03</v>
      </c>
      <c r="AZ59" s="176" t="s">
        <v>913</v>
      </c>
      <c r="BA59" s="176" t="s">
        <v>913</v>
      </c>
      <c r="BB59" s="176">
        <v>1.0</v>
      </c>
      <c r="BC59" s="176">
        <v>1.0</v>
      </c>
      <c r="BD59" s="196" t="s">
        <v>1263</v>
      </c>
      <c r="BE59" s="62"/>
      <c r="BF59" s="62"/>
      <c r="BG59" s="62"/>
      <c r="BH59" s="72"/>
      <c r="BI59" s="72"/>
      <c r="BJ59" s="77"/>
      <c r="BK59" s="77"/>
      <c r="BL59" s="77"/>
      <c r="BM59" s="72"/>
      <c r="BN59" s="72"/>
      <c r="BO59" s="57"/>
      <c r="BP59" s="58" t="s">
        <v>1152</v>
      </c>
      <c r="BQ59" s="58" t="s">
        <v>1264</v>
      </c>
      <c r="BR59" s="57"/>
    </row>
    <row r="60">
      <c r="A60" s="176">
        <v>56.0</v>
      </c>
      <c r="B60" s="177" t="s">
        <v>1265</v>
      </c>
      <c r="C60" s="178" t="s">
        <v>93</v>
      </c>
      <c r="D60" s="179">
        <v>3.0</v>
      </c>
      <c r="E60" s="179">
        <v>0.5</v>
      </c>
      <c r="F60" s="179">
        <v>0.0</v>
      </c>
      <c r="G60" s="179">
        <v>0.3</v>
      </c>
      <c r="H60" s="179">
        <v>0.6</v>
      </c>
      <c r="I60" s="179">
        <v>0.4</v>
      </c>
      <c r="J60" s="50">
        <v>2.0</v>
      </c>
      <c r="K60" s="50">
        <v>0.7</v>
      </c>
      <c r="L60" s="50">
        <v>0.0</v>
      </c>
      <c r="M60" s="50">
        <v>0.3</v>
      </c>
      <c r="N60" s="50">
        <v>0.6</v>
      </c>
      <c r="O60" s="50">
        <v>0.4</v>
      </c>
      <c r="P60" s="180">
        <v>1.0</v>
      </c>
      <c r="Q60" s="180">
        <v>1.0</v>
      </c>
      <c r="R60" s="62"/>
      <c r="S60" s="182">
        <v>0.1</v>
      </c>
      <c r="T60" s="183">
        <v>0.0</v>
      </c>
      <c r="U60" s="183">
        <v>0.03</v>
      </c>
      <c r="V60" s="183">
        <v>0.0</v>
      </c>
      <c r="W60" s="183">
        <v>0.03</v>
      </c>
      <c r="X60" s="62"/>
      <c r="Y60" s="176">
        <v>0.0</v>
      </c>
      <c r="Z60" s="176">
        <v>0.0</v>
      </c>
      <c r="AA60" s="176">
        <v>0.0</v>
      </c>
      <c r="AB60" s="176">
        <v>0.0</v>
      </c>
      <c r="AC60" s="176">
        <v>0.0</v>
      </c>
      <c r="AD60" s="176">
        <v>0.0</v>
      </c>
      <c r="AE60" s="176">
        <v>0.0</v>
      </c>
      <c r="AF60" s="62"/>
      <c r="AG60" s="47"/>
      <c r="AH60" s="54"/>
      <c r="AI60" s="54"/>
      <c r="AJ60" s="54"/>
      <c r="AK60" s="54"/>
      <c r="AL60" s="54"/>
      <c r="AM60" s="47"/>
      <c r="AN60" s="62"/>
      <c r="AO60" s="184">
        <f t="shared" ref="AO60:AS60" si="111">ROUND(E60*(5/12)+K60*(5/12)+S60+Y60-AG60,2)</f>
        <v>0.6</v>
      </c>
      <c r="AP60" s="184">
        <f t="shared" si="111"/>
        <v>0</v>
      </c>
      <c r="AQ60" s="184">
        <f t="shared" si="111"/>
        <v>0.28</v>
      </c>
      <c r="AR60" s="184">
        <f t="shared" si="111"/>
        <v>0.5</v>
      </c>
      <c r="AS60" s="184">
        <f t="shared" si="111"/>
        <v>0.36</v>
      </c>
      <c r="AT60" s="184">
        <f t="shared" ref="AT60:AU60" si="112">P60+AD60-AL60</f>
        <v>1</v>
      </c>
      <c r="AU60" s="184">
        <f t="shared" si="112"/>
        <v>1</v>
      </c>
      <c r="AV60" s="62"/>
      <c r="AW60" s="176">
        <v>0.0</v>
      </c>
      <c r="AX60" s="176" t="s">
        <v>913</v>
      </c>
      <c r="AY60" s="176">
        <v>0.0</v>
      </c>
      <c r="AZ60" s="176">
        <v>0.0</v>
      </c>
      <c r="BA60" s="176">
        <v>0.0</v>
      </c>
      <c r="BB60" s="176">
        <v>0.0</v>
      </c>
      <c r="BC60" s="176">
        <v>0.0</v>
      </c>
      <c r="BD60" s="194" t="s">
        <v>1266</v>
      </c>
      <c r="BE60" s="62"/>
      <c r="BF60" s="62"/>
      <c r="BG60" s="62"/>
      <c r="BH60" s="54"/>
      <c r="BI60" s="54"/>
      <c r="BJ60" s="54"/>
      <c r="BK60" s="54"/>
      <c r="BL60" s="54"/>
      <c r="BM60" s="54"/>
      <c r="BN60" s="54"/>
      <c r="BO60" s="57"/>
      <c r="BP60" s="58"/>
      <c r="BQ60" s="58"/>
      <c r="BR60" s="57"/>
    </row>
    <row r="61">
      <c r="A61" s="176">
        <v>57.0</v>
      </c>
      <c r="B61" s="177" t="s">
        <v>1267</v>
      </c>
      <c r="C61" s="178" t="s">
        <v>93</v>
      </c>
      <c r="D61" s="179">
        <v>4.0</v>
      </c>
      <c r="E61" s="179">
        <v>0.5</v>
      </c>
      <c r="F61" s="179">
        <v>0.2</v>
      </c>
      <c r="G61" s="179">
        <v>0.3</v>
      </c>
      <c r="H61" s="179">
        <v>0.0</v>
      </c>
      <c r="I61" s="179">
        <v>0.0</v>
      </c>
      <c r="J61" s="50">
        <v>2.0</v>
      </c>
      <c r="K61" s="50">
        <v>1.3</v>
      </c>
      <c r="L61" s="50">
        <v>0.2</v>
      </c>
      <c r="M61" s="50">
        <v>0.5</v>
      </c>
      <c r="N61" s="50">
        <v>0.0</v>
      </c>
      <c r="O61" s="50">
        <v>0.0</v>
      </c>
      <c r="P61" s="180">
        <v>1.0</v>
      </c>
      <c r="Q61" s="180">
        <v>1.0</v>
      </c>
      <c r="R61" s="62"/>
      <c r="S61" s="182">
        <v>0.1</v>
      </c>
      <c r="T61" s="183">
        <v>0.03</v>
      </c>
      <c r="U61" s="183">
        <v>0.02</v>
      </c>
      <c r="V61" s="183">
        <v>0.0</v>
      </c>
      <c r="W61" s="183">
        <v>0.0</v>
      </c>
      <c r="X61" s="62"/>
      <c r="Y61" s="176">
        <v>0.0</v>
      </c>
      <c r="Z61" s="176">
        <v>0.0</v>
      </c>
      <c r="AA61" s="176">
        <v>0.0</v>
      </c>
      <c r="AB61" s="176">
        <v>0.0</v>
      </c>
      <c r="AC61" s="176">
        <v>0.0</v>
      </c>
      <c r="AD61" s="176">
        <v>0.0</v>
      </c>
      <c r="AE61" s="176">
        <v>0.0</v>
      </c>
      <c r="AF61" s="62"/>
      <c r="AG61" s="47"/>
      <c r="AH61" s="54"/>
      <c r="AI61" s="54"/>
      <c r="AJ61" s="54"/>
      <c r="AK61" s="54"/>
      <c r="AL61" s="54"/>
      <c r="AM61" s="47"/>
      <c r="AN61" s="62"/>
      <c r="AO61" s="184">
        <f t="shared" ref="AO61:AS61" si="113">ROUND(E61*(5/12)+K61*(5/12)+S61+Y61-AG61,2)</f>
        <v>0.85</v>
      </c>
      <c r="AP61" s="184">
        <f t="shared" si="113"/>
        <v>0.2</v>
      </c>
      <c r="AQ61" s="184">
        <f t="shared" si="113"/>
        <v>0.35</v>
      </c>
      <c r="AR61" s="184">
        <f t="shared" si="113"/>
        <v>0</v>
      </c>
      <c r="AS61" s="184">
        <f t="shared" si="113"/>
        <v>0</v>
      </c>
      <c r="AT61" s="184">
        <f t="shared" ref="AT61:AU61" si="114">P61+AD61-AL61</f>
        <v>1</v>
      </c>
      <c r="AU61" s="184">
        <f t="shared" si="114"/>
        <v>1</v>
      </c>
      <c r="AV61" s="62"/>
      <c r="AW61" s="176">
        <v>1.0</v>
      </c>
      <c r="AX61" s="176">
        <v>0.0</v>
      </c>
      <c r="AY61" s="176">
        <v>0.1</v>
      </c>
      <c r="AZ61" s="176" t="s">
        <v>913</v>
      </c>
      <c r="BA61" s="176" t="s">
        <v>913</v>
      </c>
      <c r="BB61" s="176">
        <v>0.0</v>
      </c>
      <c r="BC61" s="176">
        <v>1.0</v>
      </c>
      <c r="BD61" s="180" t="s">
        <v>1268</v>
      </c>
      <c r="BE61" s="62"/>
      <c r="BF61" s="62"/>
      <c r="BG61" s="62"/>
      <c r="BH61" s="54"/>
      <c r="BI61" s="54"/>
      <c r="BJ61" s="54"/>
      <c r="BK61" s="54"/>
      <c r="BL61" s="54"/>
      <c r="BM61" s="54"/>
      <c r="BN61" s="54"/>
      <c r="BO61" s="57"/>
      <c r="BP61" s="57"/>
      <c r="BQ61" s="57"/>
      <c r="BR61" s="57"/>
    </row>
    <row r="62" ht="16.5" customHeight="1">
      <c r="A62" s="176">
        <v>58.0</v>
      </c>
      <c r="B62" s="177" t="s">
        <v>1269</v>
      </c>
      <c r="C62" s="178" t="s">
        <v>93</v>
      </c>
      <c r="D62" s="179">
        <v>3.0</v>
      </c>
      <c r="E62" s="179">
        <v>1.5</v>
      </c>
      <c r="F62" s="179">
        <v>0.5</v>
      </c>
      <c r="G62" s="179">
        <v>0.0</v>
      </c>
      <c r="H62" s="179">
        <v>0.0</v>
      </c>
      <c r="I62" s="179">
        <v>0.0</v>
      </c>
      <c r="J62" s="50">
        <v>2.0</v>
      </c>
      <c r="K62" s="50">
        <v>1.5</v>
      </c>
      <c r="L62" s="50">
        <v>0.5</v>
      </c>
      <c r="M62" s="50">
        <v>0.0</v>
      </c>
      <c r="N62" s="50">
        <v>0.0</v>
      </c>
      <c r="O62" s="50">
        <v>0.0</v>
      </c>
      <c r="P62" s="180">
        <v>1.0</v>
      </c>
      <c r="Q62" s="180">
        <v>1.0</v>
      </c>
      <c r="R62" s="62"/>
      <c r="S62" s="187">
        <v>0.13</v>
      </c>
      <c r="T62" s="188">
        <v>0.03</v>
      </c>
      <c r="U62" s="188">
        <v>0.02</v>
      </c>
      <c r="V62" s="188">
        <v>0.0</v>
      </c>
      <c r="W62" s="188">
        <v>0.0</v>
      </c>
      <c r="X62" s="62"/>
      <c r="Y62" s="176">
        <v>0.0</v>
      </c>
      <c r="Z62" s="176">
        <v>0.0</v>
      </c>
      <c r="AA62" s="176">
        <v>0.0</v>
      </c>
      <c r="AB62" s="176">
        <v>0.0</v>
      </c>
      <c r="AC62" s="176">
        <v>0.0</v>
      </c>
      <c r="AD62" s="176">
        <v>0.0</v>
      </c>
      <c r="AE62" s="176">
        <v>0.0</v>
      </c>
      <c r="AF62" s="62"/>
      <c r="AG62" s="47">
        <v>0.13</v>
      </c>
      <c r="AH62" s="47">
        <v>0.003</v>
      </c>
      <c r="AI62" s="47">
        <v>0.02</v>
      </c>
      <c r="AJ62" s="54"/>
      <c r="AK62" s="54"/>
      <c r="AL62" s="54"/>
      <c r="AM62" s="54"/>
      <c r="AN62" s="62"/>
      <c r="AO62" s="184">
        <f t="shared" ref="AO62:AS62" si="115">ROUND(E62*(5/12)+K62*(5/12)+S62+Y62-AG62,2)</f>
        <v>1.25</v>
      </c>
      <c r="AP62" s="184">
        <f t="shared" si="115"/>
        <v>0.44</v>
      </c>
      <c r="AQ62" s="184">
        <f t="shared" si="115"/>
        <v>0</v>
      </c>
      <c r="AR62" s="184">
        <f t="shared" si="115"/>
        <v>0</v>
      </c>
      <c r="AS62" s="184">
        <f t="shared" si="115"/>
        <v>0</v>
      </c>
      <c r="AT62" s="184">
        <f t="shared" ref="AT62:AU62" si="116">P62+AD62-AL62</f>
        <v>1</v>
      </c>
      <c r="AU62" s="184">
        <f t="shared" si="116"/>
        <v>1</v>
      </c>
      <c r="AV62" s="62"/>
      <c r="AW62" s="176">
        <v>1.5</v>
      </c>
      <c r="AX62" s="176">
        <v>0.44</v>
      </c>
      <c r="AY62" s="176" t="s">
        <v>913</v>
      </c>
      <c r="AZ62" s="176" t="s">
        <v>913</v>
      </c>
      <c r="BA62" s="176" t="s">
        <v>913</v>
      </c>
      <c r="BB62" s="176">
        <v>1.0</v>
      </c>
      <c r="BC62" s="176">
        <v>1.0</v>
      </c>
      <c r="BD62" s="230" t="s">
        <v>1270</v>
      </c>
      <c r="BE62" s="62"/>
      <c r="BF62" s="62"/>
      <c r="BG62" s="62"/>
      <c r="BH62" s="74"/>
      <c r="BI62" s="74"/>
      <c r="BJ62" s="54"/>
      <c r="BK62" s="72"/>
      <c r="BL62" s="77"/>
      <c r="BM62" s="74"/>
      <c r="BN62" s="72"/>
      <c r="BO62" s="52"/>
      <c r="BP62" s="58" t="s">
        <v>1152</v>
      </c>
      <c r="BQ62" s="58"/>
      <c r="BR62" s="57"/>
    </row>
    <row r="63">
      <c r="A63" s="176">
        <v>59.0</v>
      </c>
      <c r="B63" s="177" t="s">
        <v>1271</v>
      </c>
      <c r="C63" s="178" t="s">
        <v>93</v>
      </c>
      <c r="D63" s="179">
        <v>3.5</v>
      </c>
      <c r="E63" s="179">
        <v>1.0</v>
      </c>
      <c r="F63" s="179">
        <v>0.0</v>
      </c>
      <c r="G63" s="179">
        <v>0.3</v>
      </c>
      <c r="H63" s="179">
        <v>0.0</v>
      </c>
      <c r="I63" s="179">
        <v>0.2</v>
      </c>
      <c r="J63" s="50">
        <v>2.0</v>
      </c>
      <c r="K63" s="50">
        <v>1.6</v>
      </c>
      <c r="L63" s="50">
        <v>0.0</v>
      </c>
      <c r="M63" s="50">
        <v>0.2</v>
      </c>
      <c r="N63" s="50">
        <v>0.0</v>
      </c>
      <c r="O63" s="50">
        <v>0.2</v>
      </c>
      <c r="P63" s="180">
        <v>1.0</v>
      </c>
      <c r="Q63" s="180">
        <v>1.0</v>
      </c>
      <c r="R63" s="62"/>
      <c r="S63" s="182">
        <v>0.12</v>
      </c>
      <c r="T63" s="183">
        <v>0.0</v>
      </c>
      <c r="U63" s="183">
        <v>0.02</v>
      </c>
      <c r="V63" s="183">
        <v>0.0</v>
      </c>
      <c r="W63" s="183">
        <v>0.03</v>
      </c>
      <c r="X63" s="62"/>
      <c r="Y63" s="176">
        <v>0.0</v>
      </c>
      <c r="Z63" s="176">
        <v>0.0</v>
      </c>
      <c r="AA63" s="176">
        <v>0.0</v>
      </c>
      <c r="AB63" s="176">
        <v>0.0</v>
      </c>
      <c r="AC63" s="176">
        <v>0.0</v>
      </c>
      <c r="AD63" s="176">
        <v>0.0</v>
      </c>
      <c r="AE63" s="176">
        <v>0.0</v>
      </c>
      <c r="AF63" s="62"/>
      <c r="AG63" s="47">
        <v>0.3</v>
      </c>
      <c r="AH63" s="54"/>
      <c r="AI63" s="47">
        <v>0.02</v>
      </c>
      <c r="AJ63" s="54"/>
      <c r="AK63" s="54"/>
      <c r="AL63" s="54"/>
      <c r="AM63" s="47"/>
      <c r="AN63" s="62"/>
      <c r="AO63" s="184">
        <f t="shared" ref="AO63:AS63" si="117">ROUND(E63*(5/12)+K63*(5/12)+S63+Y63-AG63,2)</f>
        <v>0.9</v>
      </c>
      <c r="AP63" s="184">
        <f t="shared" si="117"/>
        <v>0</v>
      </c>
      <c r="AQ63" s="184">
        <f t="shared" si="117"/>
        <v>0.21</v>
      </c>
      <c r="AR63" s="184">
        <f t="shared" si="117"/>
        <v>0</v>
      </c>
      <c r="AS63" s="184">
        <f t="shared" si="117"/>
        <v>0.2</v>
      </c>
      <c r="AT63" s="184">
        <f t="shared" ref="AT63:AU63" si="118">P63+AD63-AL63</f>
        <v>1</v>
      </c>
      <c r="AU63" s="184">
        <f t="shared" si="118"/>
        <v>1</v>
      </c>
      <c r="AV63" s="62"/>
      <c r="AW63" s="176">
        <v>1.0</v>
      </c>
      <c r="AX63" s="176" t="s">
        <v>913</v>
      </c>
      <c r="AY63" s="176">
        <v>0.3</v>
      </c>
      <c r="AZ63" s="176" t="s">
        <v>913</v>
      </c>
      <c r="BA63" s="176">
        <v>0.2</v>
      </c>
      <c r="BB63" s="176">
        <v>1.0</v>
      </c>
      <c r="BC63" s="176">
        <v>1.0</v>
      </c>
      <c r="BD63" s="196" t="s">
        <v>1272</v>
      </c>
      <c r="BE63" s="62"/>
      <c r="BF63" s="62"/>
      <c r="BG63" s="62"/>
      <c r="BH63" s="54"/>
      <c r="BI63" s="54"/>
      <c r="BJ63" s="54"/>
      <c r="BK63" s="54"/>
      <c r="BL63" s="54"/>
      <c r="BM63" s="54"/>
      <c r="BN63" s="54"/>
      <c r="BO63" s="57"/>
      <c r="BP63" s="58" t="s">
        <v>1152</v>
      </c>
      <c r="BQ63" s="58" t="s">
        <v>1273</v>
      </c>
      <c r="BR63" s="57"/>
    </row>
    <row r="64" ht="16.5" customHeight="1">
      <c r="A64" s="176">
        <v>60.0</v>
      </c>
      <c r="B64" s="177" t="s">
        <v>1274</v>
      </c>
      <c r="C64" s="178" t="s">
        <v>93</v>
      </c>
      <c r="D64" s="179">
        <v>4.0</v>
      </c>
      <c r="E64" s="179">
        <v>0.6</v>
      </c>
      <c r="F64" s="179">
        <v>0.0</v>
      </c>
      <c r="G64" s="179">
        <v>0.2</v>
      </c>
      <c r="H64" s="179">
        <v>0.0</v>
      </c>
      <c r="I64" s="179">
        <v>0.2</v>
      </c>
      <c r="J64" s="50">
        <v>2.66</v>
      </c>
      <c r="K64" s="50">
        <v>0.94</v>
      </c>
      <c r="L64" s="50">
        <v>0.0</v>
      </c>
      <c r="M64" s="50">
        <v>0.2</v>
      </c>
      <c r="N64" s="50">
        <v>0.0</v>
      </c>
      <c r="O64" s="50">
        <v>0.2</v>
      </c>
      <c r="P64" s="180">
        <v>1.0</v>
      </c>
      <c r="Q64" s="180">
        <v>1.0</v>
      </c>
      <c r="R64" s="62"/>
      <c r="S64" s="187">
        <v>0.12</v>
      </c>
      <c r="T64" s="188">
        <v>0.0</v>
      </c>
      <c r="U64" s="188">
        <v>0.02</v>
      </c>
      <c r="V64" s="188">
        <v>0.0</v>
      </c>
      <c r="W64" s="188">
        <v>0.03</v>
      </c>
      <c r="X64" s="62"/>
      <c r="Y64" s="176">
        <v>0.0</v>
      </c>
      <c r="Z64" s="176">
        <v>0.0</v>
      </c>
      <c r="AA64" s="176">
        <v>0.0</v>
      </c>
      <c r="AB64" s="176">
        <v>0.0</v>
      </c>
      <c r="AC64" s="176">
        <v>0.0</v>
      </c>
      <c r="AD64" s="176">
        <v>0.0</v>
      </c>
      <c r="AE64" s="176">
        <v>0.0</v>
      </c>
      <c r="AF64" s="62"/>
      <c r="AG64" s="47">
        <v>0.42</v>
      </c>
      <c r="AH64" s="54"/>
      <c r="AI64" s="47">
        <v>0.02</v>
      </c>
      <c r="AJ64" s="54"/>
      <c r="AK64" s="54"/>
      <c r="AL64" s="54"/>
      <c r="AM64" s="47"/>
      <c r="AN64" s="62"/>
      <c r="AO64" s="184">
        <f t="shared" ref="AO64:AS64" si="119">ROUND(E64*(5/12)+K64*(5/12)+S64+Y64-AG64,2)</f>
        <v>0.34</v>
      </c>
      <c r="AP64" s="184">
        <f t="shared" si="119"/>
        <v>0</v>
      </c>
      <c r="AQ64" s="184">
        <f t="shared" si="119"/>
        <v>0.17</v>
      </c>
      <c r="AR64" s="184">
        <f t="shared" si="119"/>
        <v>0</v>
      </c>
      <c r="AS64" s="184">
        <f t="shared" si="119"/>
        <v>0.2</v>
      </c>
      <c r="AT64" s="184">
        <f t="shared" ref="AT64:AU64" si="120">P64+AD64-AL64</f>
        <v>1</v>
      </c>
      <c r="AU64" s="184">
        <f t="shared" si="120"/>
        <v>1</v>
      </c>
      <c r="AV64" s="62"/>
      <c r="AW64" s="176">
        <v>0.5</v>
      </c>
      <c r="AX64" s="176" t="s">
        <v>913</v>
      </c>
      <c r="AY64" s="176">
        <v>0.2</v>
      </c>
      <c r="AZ64" s="176" t="s">
        <v>913</v>
      </c>
      <c r="BA64" s="176">
        <v>0.2</v>
      </c>
      <c r="BB64" s="176">
        <v>1.0</v>
      </c>
      <c r="BC64" s="176">
        <v>1.0</v>
      </c>
      <c r="BD64" s="79" t="s">
        <v>1275</v>
      </c>
      <c r="BE64" s="62"/>
      <c r="BF64" s="62"/>
      <c r="BG64" s="62"/>
      <c r="BH64" s="192"/>
      <c r="BI64" s="74"/>
      <c r="BJ64" s="77"/>
      <c r="BK64" s="77"/>
      <c r="BL64" s="77"/>
      <c r="BM64" s="74"/>
      <c r="BN64" s="72"/>
      <c r="BO64" s="84"/>
      <c r="BP64" s="58" t="s">
        <v>1152</v>
      </c>
      <c r="BQ64" s="57"/>
      <c r="BR64" s="57"/>
    </row>
    <row r="65">
      <c r="A65" s="176">
        <v>61.0</v>
      </c>
      <c r="B65" s="177" t="s">
        <v>1276</v>
      </c>
      <c r="C65" s="178" t="s">
        <v>93</v>
      </c>
      <c r="D65" s="179">
        <v>3.0</v>
      </c>
      <c r="E65" s="179">
        <v>1.0</v>
      </c>
      <c r="F65" s="179">
        <v>0.3</v>
      </c>
      <c r="G65" s="179">
        <v>0.4</v>
      </c>
      <c r="H65" s="179">
        <v>0.3</v>
      </c>
      <c r="I65" s="179">
        <v>0.0</v>
      </c>
      <c r="J65" s="50">
        <v>2.0</v>
      </c>
      <c r="K65" s="50">
        <v>1.0</v>
      </c>
      <c r="L65" s="50">
        <v>0.3</v>
      </c>
      <c r="M65" s="50">
        <v>0.4</v>
      </c>
      <c r="N65" s="50">
        <v>0.3</v>
      </c>
      <c r="O65" s="50">
        <v>0.0</v>
      </c>
      <c r="P65" s="180">
        <v>1.0</v>
      </c>
      <c r="Q65" s="180">
        <v>1.0</v>
      </c>
      <c r="R65" s="62"/>
      <c r="S65" s="182">
        <v>0.13</v>
      </c>
      <c r="T65" s="183">
        <v>0.03</v>
      </c>
      <c r="U65" s="183">
        <v>0.02</v>
      </c>
      <c r="V65" s="183">
        <v>0.0</v>
      </c>
      <c r="W65" s="183">
        <v>0.0</v>
      </c>
      <c r="X65" s="62"/>
      <c r="Y65" s="176">
        <v>0.0</v>
      </c>
      <c r="Z65" s="176">
        <v>0.0</v>
      </c>
      <c r="AA65" s="176">
        <v>0.0</v>
      </c>
      <c r="AB65" s="176">
        <v>0.0</v>
      </c>
      <c r="AC65" s="176">
        <v>0.0</v>
      </c>
      <c r="AD65" s="176">
        <v>0.0</v>
      </c>
      <c r="AE65" s="176">
        <v>0.0</v>
      </c>
      <c r="AF65" s="62"/>
      <c r="AG65" s="54"/>
      <c r="AH65" s="54"/>
      <c r="AI65" s="54"/>
      <c r="AJ65" s="54"/>
      <c r="AK65" s="54"/>
      <c r="AL65" s="54"/>
      <c r="AM65" s="54"/>
      <c r="AN65" s="62"/>
      <c r="AO65" s="184">
        <f t="shared" ref="AO65:AS65" si="121">ROUND(E65*(5/12)+K65*(5/12)+S65+Y65-AG65,2)</f>
        <v>0.96</v>
      </c>
      <c r="AP65" s="184">
        <f t="shared" si="121"/>
        <v>0.28</v>
      </c>
      <c r="AQ65" s="184">
        <f t="shared" si="121"/>
        <v>0.35</v>
      </c>
      <c r="AR65" s="184">
        <f t="shared" si="121"/>
        <v>0.25</v>
      </c>
      <c r="AS65" s="184">
        <f t="shared" si="121"/>
        <v>0</v>
      </c>
      <c r="AT65" s="184">
        <f t="shared" ref="AT65:AU65" si="122">P65+AD65-AL65</f>
        <v>1</v>
      </c>
      <c r="AU65" s="184">
        <f t="shared" si="122"/>
        <v>1</v>
      </c>
      <c r="AV65" s="62"/>
      <c r="AW65" s="176">
        <v>1.0</v>
      </c>
      <c r="AX65" s="176">
        <v>0.28</v>
      </c>
      <c r="AY65" s="176">
        <v>0.4</v>
      </c>
      <c r="AZ65" s="176">
        <v>0.33</v>
      </c>
      <c r="BA65" s="176" t="s">
        <v>913</v>
      </c>
      <c r="BB65" s="176">
        <v>1.0</v>
      </c>
      <c r="BC65" s="176">
        <v>1.0</v>
      </c>
      <c r="BD65" s="95" t="s">
        <v>1277</v>
      </c>
      <c r="BE65" s="62"/>
      <c r="BF65" s="62"/>
      <c r="BG65" s="62"/>
      <c r="BH65" s="54"/>
      <c r="BI65" s="96"/>
      <c r="BK65" s="54"/>
      <c r="BL65" s="54"/>
      <c r="BM65" s="54"/>
      <c r="BN65" s="54"/>
      <c r="BO65" s="57"/>
      <c r="BP65" s="58" t="s">
        <v>1152</v>
      </c>
      <c r="BQ65" s="57"/>
      <c r="BR65" s="57"/>
    </row>
    <row r="66">
      <c r="A66" s="176">
        <v>62.0</v>
      </c>
      <c r="B66" s="177" t="s">
        <v>1278</v>
      </c>
      <c r="C66" s="178" t="s">
        <v>93</v>
      </c>
      <c r="D66" s="179">
        <v>3.5</v>
      </c>
      <c r="E66" s="179">
        <v>0.5</v>
      </c>
      <c r="F66" s="179">
        <v>0.3</v>
      </c>
      <c r="G66" s="179">
        <v>0.2</v>
      </c>
      <c r="H66" s="179">
        <v>0.0</v>
      </c>
      <c r="I66" s="179">
        <v>0.0</v>
      </c>
      <c r="J66" s="50">
        <v>2.66</v>
      </c>
      <c r="K66" s="50">
        <v>0.64</v>
      </c>
      <c r="L66" s="50">
        <v>0.3</v>
      </c>
      <c r="M66" s="50">
        <v>0.4</v>
      </c>
      <c r="N66" s="50">
        <v>0.0</v>
      </c>
      <c r="O66" s="50">
        <v>0.0</v>
      </c>
      <c r="P66" s="180">
        <v>1.0</v>
      </c>
      <c r="Q66" s="180">
        <v>1.0</v>
      </c>
      <c r="R66" s="62"/>
      <c r="S66" s="187">
        <v>0.13</v>
      </c>
      <c r="T66" s="188">
        <v>0.03</v>
      </c>
      <c r="U66" s="188">
        <v>0.02</v>
      </c>
      <c r="V66" s="188">
        <v>0.0</v>
      </c>
      <c r="W66" s="188">
        <v>0.0</v>
      </c>
      <c r="X66" s="62"/>
      <c r="Y66" s="176">
        <v>0.0</v>
      </c>
      <c r="Z66" s="176">
        <v>0.0</v>
      </c>
      <c r="AA66" s="176">
        <v>0.0</v>
      </c>
      <c r="AB66" s="176">
        <v>0.0</v>
      </c>
      <c r="AC66" s="176">
        <v>0.0</v>
      </c>
      <c r="AD66" s="176">
        <v>0.0</v>
      </c>
      <c r="AE66" s="176">
        <v>0.0</v>
      </c>
      <c r="AF66" s="62"/>
      <c r="AG66" s="47">
        <v>0.13</v>
      </c>
      <c r="AH66" s="47">
        <v>0.01</v>
      </c>
      <c r="AI66" s="47">
        <v>0.02</v>
      </c>
      <c r="AJ66" s="54"/>
      <c r="AK66" s="54"/>
      <c r="AL66" s="54"/>
      <c r="AM66" s="47"/>
      <c r="AN66" s="62"/>
      <c r="AO66" s="184">
        <f t="shared" ref="AO66:AS66" si="123">ROUND(E66*(5/12)+K66*(5/12)+S66+Y66-AG66,2)</f>
        <v>0.48</v>
      </c>
      <c r="AP66" s="184">
        <f t="shared" si="123"/>
        <v>0.27</v>
      </c>
      <c r="AQ66" s="184">
        <f t="shared" si="123"/>
        <v>0.25</v>
      </c>
      <c r="AR66" s="184">
        <f t="shared" si="123"/>
        <v>0</v>
      </c>
      <c r="AS66" s="184">
        <f t="shared" si="123"/>
        <v>0</v>
      </c>
      <c r="AT66" s="184">
        <f t="shared" ref="AT66:AU66" si="124">P66+AD66-AL66</f>
        <v>1</v>
      </c>
      <c r="AU66" s="184">
        <f t="shared" si="124"/>
        <v>1</v>
      </c>
      <c r="AV66" s="62"/>
      <c r="AW66" s="176">
        <v>1.0</v>
      </c>
      <c r="AX66" s="176">
        <v>0.27</v>
      </c>
      <c r="AY66" s="176">
        <v>0.3</v>
      </c>
      <c r="AZ66" s="176" t="s">
        <v>913</v>
      </c>
      <c r="BA66" s="176" t="s">
        <v>913</v>
      </c>
      <c r="BB66" s="176">
        <v>1.0</v>
      </c>
      <c r="BC66" s="176">
        <v>1.0</v>
      </c>
      <c r="BD66" s="79" t="s">
        <v>1279</v>
      </c>
      <c r="BE66" s="62"/>
      <c r="BF66" s="62"/>
      <c r="BG66" s="62"/>
      <c r="BH66" s="54"/>
      <c r="BI66" s="54"/>
      <c r="BJ66" s="54"/>
      <c r="BK66" s="54"/>
      <c r="BL66" s="54"/>
      <c r="BM66" s="54"/>
      <c r="BN66" s="54"/>
      <c r="BO66" s="57"/>
      <c r="BP66" s="58" t="s">
        <v>1152</v>
      </c>
      <c r="BQ66" s="58" t="s">
        <v>1152</v>
      </c>
      <c r="BR66" s="57"/>
    </row>
    <row r="67">
      <c r="A67" s="176">
        <v>63.0</v>
      </c>
      <c r="B67" s="177" t="s">
        <v>1280</v>
      </c>
      <c r="C67" s="178" t="s">
        <v>93</v>
      </c>
      <c r="D67" s="179">
        <v>4.0</v>
      </c>
      <c r="E67" s="179">
        <v>0.0</v>
      </c>
      <c r="F67" s="179">
        <v>0.0</v>
      </c>
      <c r="G67" s="179">
        <v>0.0</v>
      </c>
      <c r="H67" s="179">
        <v>0.0</v>
      </c>
      <c r="I67" s="179">
        <v>0.0</v>
      </c>
      <c r="J67" s="50">
        <v>3.0</v>
      </c>
      <c r="K67" s="50">
        <v>0.8</v>
      </c>
      <c r="L67" s="50">
        <v>0.0</v>
      </c>
      <c r="M67" s="50">
        <v>0.2</v>
      </c>
      <c r="N67" s="50">
        <v>0.0</v>
      </c>
      <c r="O67" s="50">
        <v>0.0</v>
      </c>
      <c r="P67" s="180">
        <v>1.0</v>
      </c>
      <c r="Q67" s="180">
        <v>1.0</v>
      </c>
      <c r="R67" s="62"/>
      <c r="S67" s="187">
        <v>0.13</v>
      </c>
      <c r="T67" s="188">
        <v>0.02</v>
      </c>
      <c r="U67" s="188">
        <v>0.02</v>
      </c>
      <c r="V67" s="188">
        <v>0.0</v>
      </c>
      <c r="W67" s="188">
        <v>0.0</v>
      </c>
      <c r="X67" s="62"/>
      <c r="Y67" s="176">
        <v>0.0</v>
      </c>
      <c r="Z67" s="176">
        <v>0.0</v>
      </c>
      <c r="AA67" s="176">
        <v>0.0</v>
      </c>
      <c r="AB67" s="176">
        <v>0.0</v>
      </c>
      <c r="AC67" s="176">
        <v>0.0</v>
      </c>
      <c r="AD67" s="176">
        <v>0.0</v>
      </c>
      <c r="AE67" s="176">
        <v>0.0</v>
      </c>
      <c r="AF67" s="62"/>
      <c r="AG67" s="54"/>
      <c r="AH67" s="54"/>
      <c r="AI67" s="54"/>
      <c r="AJ67" s="54"/>
      <c r="AK67" s="54"/>
      <c r="AL67" s="54"/>
      <c r="AM67" s="54"/>
      <c r="AN67" s="62"/>
      <c r="AO67" s="184">
        <f t="shared" ref="AO67:AS67" si="125">ROUND(E67*(5/12)+K67*(5/12)+S67+Y67-AG67,2)</f>
        <v>0.46</v>
      </c>
      <c r="AP67" s="184">
        <f t="shared" si="125"/>
        <v>0.02</v>
      </c>
      <c r="AQ67" s="184">
        <f t="shared" si="125"/>
        <v>0.1</v>
      </c>
      <c r="AR67" s="184">
        <f t="shared" si="125"/>
        <v>0</v>
      </c>
      <c r="AS67" s="184">
        <f t="shared" si="125"/>
        <v>0</v>
      </c>
      <c r="AT67" s="184">
        <f t="shared" ref="AT67:AU67" si="126">P67+AD67-AL67</f>
        <v>1</v>
      </c>
      <c r="AU67" s="184">
        <f t="shared" si="126"/>
        <v>1</v>
      </c>
      <c r="AV67" s="62"/>
      <c r="AW67" s="176">
        <v>0.5</v>
      </c>
      <c r="AX67" s="176">
        <v>0.0</v>
      </c>
      <c r="AY67" s="176">
        <v>0.0</v>
      </c>
      <c r="AZ67" s="176" t="s">
        <v>913</v>
      </c>
      <c r="BA67" s="176" t="s">
        <v>913</v>
      </c>
      <c r="BB67" s="176">
        <v>1.0</v>
      </c>
      <c r="BC67" s="176">
        <v>1.0</v>
      </c>
      <c r="BD67" s="95" t="s">
        <v>1281</v>
      </c>
      <c r="BE67" s="62"/>
      <c r="BF67" s="62"/>
      <c r="BG67" s="62"/>
      <c r="BH67" s="54"/>
      <c r="BI67" s="54"/>
      <c r="BJ67" s="54"/>
      <c r="BK67" s="54"/>
      <c r="BL67" s="54"/>
      <c r="BM67" s="54"/>
      <c r="BN67" s="54"/>
      <c r="BO67" s="57"/>
      <c r="BP67" s="58" t="s">
        <v>1152</v>
      </c>
      <c r="BQ67" s="57"/>
      <c r="BR67" s="57"/>
    </row>
    <row r="68">
      <c r="A68" s="176">
        <v>64.0</v>
      </c>
      <c r="B68" s="231" t="s">
        <v>1282</v>
      </c>
      <c r="C68" s="178" t="s">
        <v>93</v>
      </c>
      <c r="D68" s="179">
        <v>4.0</v>
      </c>
      <c r="E68" s="179">
        <v>0.4</v>
      </c>
      <c r="F68" s="179">
        <v>0.0</v>
      </c>
      <c r="G68" s="179">
        <v>0.0</v>
      </c>
      <c r="H68" s="179">
        <v>0.2</v>
      </c>
      <c r="I68" s="179">
        <v>0.0</v>
      </c>
      <c r="J68" s="50">
        <v>2.0</v>
      </c>
      <c r="K68" s="50">
        <v>1.5</v>
      </c>
      <c r="L68" s="50">
        <v>0.3</v>
      </c>
      <c r="M68" s="50">
        <v>0.0</v>
      </c>
      <c r="N68" s="50">
        <v>0.2</v>
      </c>
      <c r="O68" s="50">
        <v>0.0</v>
      </c>
      <c r="P68" s="180">
        <v>1.0</v>
      </c>
      <c r="Q68" s="180">
        <v>1.0</v>
      </c>
      <c r="R68" s="62"/>
      <c r="S68" s="187">
        <v>0.13</v>
      </c>
      <c r="T68" s="188">
        <v>0.02</v>
      </c>
      <c r="U68" s="188">
        <v>0.02</v>
      </c>
      <c r="V68" s="188">
        <v>0.0</v>
      </c>
      <c r="W68" s="188">
        <v>0.0</v>
      </c>
      <c r="X68" s="62"/>
      <c r="Y68" s="176">
        <v>0.0</v>
      </c>
      <c r="Z68" s="176">
        <v>0.0</v>
      </c>
      <c r="AA68" s="176">
        <v>0.0</v>
      </c>
      <c r="AB68" s="176">
        <v>0.0</v>
      </c>
      <c r="AC68" s="176">
        <v>0.0</v>
      </c>
      <c r="AD68" s="176">
        <v>0.0</v>
      </c>
      <c r="AE68" s="176">
        <v>0.0</v>
      </c>
      <c r="AF68" s="62"/>
      <c r="AG68" s="54"/>
      <c r="AH68" s="54"/>
      <c r="AI68" s="47">
        <v>0.01</v>
      </c>
      <c r="AJ68" s="54"/>
      <c r="AK68" s="54"/>
      <c r="AL68" s="47"/>
      <c r="AM68" s="47"/>
      <c r="AN68" s="62"/>
      <c r="AO68" s="184">
        <f t="shared" ref="AO68:AS68" si="127">ROUND(E68*(5/12)+K68*(5/12)+S68+Y68-AG68,2)</f>
        <v>0.92</v>
      </c>
      <c r="AP68" s="184">
        <f t="shared" si="127"/>
        <v>0.15</v>
      </c>
      <c r="AQ68" s="184">
        <f t="shared" si="127"/>
        <v>0.01</v>
      </c>
      <c r="AR68" s="184">
        <f t="shared" si="127"/>
        <v>0.17</v>
      </c>
      <c r="AS68" s="184">
        <f t="shared" si="127"/>
        <v>0</v>
      </c>
      <c r="AT68" s="184">
        <f t="shared" ref="AT68:AU68" si="128">P68+AD68-AL68</f>
        <v>1</v>
      </c>
      <c r="AU68" s="184">
        <f t="shared" si="128"/>
        <v>1</v>
      </c>
      <c r="AV68" s="62"/>
      <c r="AW68" s="176">
        <v>0.5</v>
      </c>
      <c r="AX68" s="176">
        <v>0.0</v>
      </c>
      <c r="AY68" s="176">
        <v>0.0</v>
      </c>
      <c r="AZ68" s="176">
        <v>0.0</v>
      </c>
      <c r="BA68" s="176" t="s">
        <v>913</v>
      </c>
      <c r="BB68" s="176">
        <v>1.0</v>
      </c>
      <c r="BC68" s="176">
        <v>1.0</v>
      </c>
      <c r="BD68" s="180" t="s">
        <v>1283</v>
      </c>
      <c r="BE68" s="62"/>
      <c r="BF68" s="62"/>
      <c r="BG68" s="62"/>
      <c r="BH68" s="54"/>
      <c r="BI68" s="54"/>
      <c r="BJ68" s="54"/>
      <c r="BK68" s="54"/>
      <c r="BL68" s="54"/>
      <c r="BM68" s="54"/>
      <c r="BN68" s="54"/>
      <c r="BO68" s="57"/>
      <c r="BP68" s="58" t="s">
        <v>1152</v>
      </c>
      <c r="BQ68" s="58" t="s">
        <v>1152</v>
      </c>
      <c r="BR68" s="57"/>
    </row>
    <row r="69">
      <c r="A69" s="176">
        <v>65.0</v>
      </c>
      <c r="B69" s="231" t="s">
        <v>1284</v>
      </c>
      <c r="C69" s="232" t="s">
        <v>93</v>
      </c>
      <c r="D69" s="179">
        <v>4.0</v>
      </c>
      <c r="E69" s="179">
        <v>0.0</v>
      </c>
      <c r="F69" s="179">
        <v>0.0</v>
      </c>
      <c r="G69" s="179">
        <v>0.0</v>
      </c>
      <c r="H69" s="179">
        <v>0.0</v>
      </c>
      <c r="I69" s="179">
        <v>0.0</v>
      </c>
      <c r="J69" s="50">
        <v>3.33</v>
      </c>
      <c r="K69" s="50">
        <v>0.47</v>
      </c>
      <c r="L69" s="50">
        <v>0.0</v>
      </c>
      <c r="M69" s="50">
        <v>0.2</v>
      </c>
      <c r="N69" s="50">
        <v>0.0</v>
      </c>
      <c r="O69" s="50">
        <v>0.0</v>
      </c>
      <c r="P69" s="180">
        <v>1.0</v>
      </c>
      <c r="Q69" s="180">
        <v>1.0</v>
      </c>
      <c r="R69" s="62"/>
      <c r="S69" s="182">
        <v>0.0</v>
      </c>
      <c r="T69" s="183">
        <v>0.0</v>
      </c>
      <c r="U69" s="183">
        <v>0.0</v>
      </c>
      <c r="V69" s="183">
        <v>0.0</v>
      </c>
      <c r="W69" s="183">
        <v>0.0</v>
      </c>
      <c r="X69" s="62"/>
      <c r="Y69" s="176">
        <v>0.0</v>
      </c>
      <c r="Z69" s="176">
        <v>0.0</v>
      </c>
      <c r="AA69" s="176">
        <v>0.0</v>
      </c>
      <c r="AB69" s="176">
        <v>0.0</v>
      </c>
      <c r="AC69" s="176">
        <v>0.0</v>
      </c>
      <c r="AD69" s="176">
        <v>0.0</v>
      </c>
      <c r="AE69" s="176">
        <v>0.0</v>
      </c>
      <c r="AF69" s="62"/>
      <c r="AG69" s="54"/>
      <c r="AH69" s="54"/>
      <c r="AI69" s="54"/>
      <c r="AJ69" s="54"/>
      <c r="AK69" s="54"/>
      <c r="AL69" s="54"/>
      <c r="AM69" s="54"/>
      <c r="AN69" s="62"/>
      <c r="AO69" s="184">
        <f t="shared" ref="AO69:AS69" si="129">ROUND(E69*(5/12)+K69*(5/12)+S69+Y69-AG69,2)</f>
        <v>0.2</v>
      </c>
      <c r="AP69" s="184">
        <f t="shared" si="129"/>
        <v>0</v>
      </c>
      <c r="AQ69" s="184">
        <f t="shared" si="129"/>
        <v>0.08</v>
      </c>
      <c r="AR69" s="184">
        <f t="shared" si="129"/>
        <v>0</v>
      </c>
      <c r="AS69" s="184">
        <f t="shared" si="129"/>
        <v>0</v>
      </c>
      <c r="AT69" s="184">
        <f t="shared" ref="AT69:AU69" si="130">P69+AD69-AL69</f>
        <v>1</v>
      </c>
      <c r="AU69" s="184">
        <f t="shared" si="130"/>
        <v>1</v>
      </c>
      <c r="AV69" s="62"/>
      <c r="AW69" s="176">
        <v>0.5</v>
      </c>
      <c r="AX69" s="176" t="s">
        <v>913</v>
      </c>
      <c r="AY69" s="176">
        <v>0.1</v>
      </c>
      <c r="AZ69" s="176" t="s">
        <v>913</v>
      </c>
      <c r="BA69" s="176" t="s">
        <v>913</v>
      </c>
      <c r="BB69" s="176">
        <v>1.0</v>
      </c>
      <c r="BC69" s="176">
        <v>1.0</v>
      </c>
      <c r="BD69" s="95" t="s">
        <v>1285</v>
      </c>
      <c r="BE69" s="62"/>
      <c r="BF69" s="62"/>
      <c r="BG69" s="62"/>
      <c r="BH69" s="54"/>
      <c r="BI69" s="54"/>
      <c r="BJ69" s="54"/>
      <c r="BK69" s="54"/>
      <c r="BL69" s="54"/>
      <c r="BM69" s="54"/>
      <c r="BN69" s="54"/>
      <c r="BO69" s="57"/>
      <c r="BP69" s="58" t="s">
        <v>1152</v>
      </c>
      <c r="BQ69" s="57"/>
      <c r="BR69" s="57"/>
    </row>
    <row r="70">
      <c r="A70" s="176">
        <v>66.0</v>
      </c>
      <c r="B70" s="233" t="s">
        <v>1286</v>
      </c>
      <c r="C70" s="234" t="s">
        <v>93</v>
      </c>
      <c r="D70" s="235">
        <v>3.0</v>
      </c>
      <c r="E70" s="235">
        <v>1.0</v>
      </c>
      <c r="F70" s="235">
        <v>0.3</v>
      </c>
      <c r="G70" s="235">
        <v>0.4</v>
      </c>
      <c r="H70" s="235">
        <v>0.3</v>
      </c>
      <c r="I70" s="179">
        <v>0.0</v>
      </c>
      <c r="J70" s="236"/>
      <c r="K70" s="236"/>
      <c r="L70" s="236"/>
      <c r="M70" s="236"/>
      <c r="N70" s="236"/>
      <c r="O70" s="237"/>
      <c r="P70" s="180">
        <v>1.0</v>
      </c>
      <c r="Q70" s="180">
        <v>1.0</v>
      </c>
      <c r="R70" s="62"/>
      <c r="S70" s="182">
        <v>0.17</v>
      </c>
      <c r="T70" s="183">
        <v>0.0</v>
      </c>
      <c r="U70" s="183">
        <v>0.0</v>
      </c>
      <c r="V70" s="183">
        <v>0.0</v>
      </c>
      <c r="W70" s="183">
        <v>0.0</v>
      </c>
      <c r="X70" s="62"/>
      <c r="Y70" s="176">
        <v>0.0</v>
      </c>
      <c r="Z70" s="176">
        <v>0.0</v>
      </c>
      <c r="AA70" s="176">
        <v>0.0</v>
      </c>
      <c r="AB70" s="176">
        <v>0.0</v>
      </c>
      <c r="AC70" s="176">
        <v>0.0</v>
      </c>
      <c r="AD70" s="176">
        <v>0.0</v>
      </c>
      <c r="AE70" s="176">
        <v>0.0</v>
      </c>
      <c r="AF70" s="62"/>
      <c r="AG70" s="54"/>
      <c r="AH70" s="54"/>
      <c r="AI70" s="54"/>
      <c r="AJ70" s="47"/>
      <c r="AK70" s="54"/>
      <c r="AL70" s="54"/>
      <c r="AM70" s="54"/>
      <c r="AN70" s="62"/>
      <c r="AO70" s="184">
        <f t="shared" ref="AO70:AS70" si="131">ROUND(E70*(5/12)+K70*(5/12)+S70+Y70-AG70,2)</f>
        <v>0.59</v>
      </c>
      <c r="AP70" s="184">
        <f t="shared" si="131"/>
        <v>0.13</v>
      </c>
      <c r="AQ70" s="184">
        <f t="shared" si="131"/>
        <v>0.17</v>
      </c>
      <c r="AR70" s="184">
        <f t="shared" si="131"/>
        <v>0.13</v>
      </c>
      <c r="AS70" s="184">
        <f t="shared" si="131"/>
        <v>0</v>
      </c>
      <c r="AT70" s="184">
        <f t="shared" ref="AT70:AU70" si="132">P70+AD70-AL70</f>
        <v>1</v>
      </c>
      <c r="AU70" s="184">
        <f t="shared" si="132"/>
        <v>1</v>
      </c>
      <c r="AV70" s="62"/>
      <c r="AW70" s="202"/>
      <c r="AX70" s="202"/>
      <c r="AY70" s="202"/>
      <c r="AZ70" s="202"/>
      <c r="BA70" s="202"/>
      <c r="BB70" s="202"/>
      <c r="BC70" s="202"/>
      <c r="BD70" s="203"/>
      <c r="BE70" s="62"/>
      <c r="BF70" s="62"/>
      <c r="BG70" s="62"/>
      <c r="BH70" s="72"/>
      <c r="BI70" s="72"/>
      <c r="BJ70" s="77"/>
      <c r="BK70" s="77"/>
      <c r="BL70" s="77"/>
      <c r="BM70" s="72"/>
      <c r="BN70" s="54"/>
      <c r="BO70" s="58"/>
      <c r="BP70" s="58"/>
      <c r="BQ70" s="57"/>
      <c r="BR70" s="57"/>
    </row>
    <row r="71">
      <c r="A71" s="176">
        <v>67.0</v>
      </c>
      <c r="B71" s="117" t="s">
        <v>1287</v>
      </c>
      <c r="C71" s="234" t="s">
        <v>93</v>
      </c>
      <c r="D71" s="235">
        <v>4.0</v>
      </c>
      <c r="E71" s="235">
        <v>0.6</v>
      </c>
      <c r="F71" s="235">
        <v>0.0</v>
      </c>
      <c r="G71" s="235">
        <v>0.0</v>
      </c>
      <c r="H71" s="235">
        <v>0.0</v>
      </c>
      <c r="I71" s="235">
        <v>0.0</v>
      </c>
      <c r="J71" s="97">
        <v>3.0</v>
      </c>
      <c r="K71" s="97">
        <v>0.8</v>
      </c>
      <c r="L71" s="97">
        <v>0.0</v>
      </c>
      <c r="M71" s="97">
        <v>0.2</v>
      </c>
      <c r="N71" s="97">
        <v>0.0</v>
      </c>
      <c r="O71" s="97">
        <v>0.0</v>
      </c>
      <c r="P71" s="180">
        <v>1.0</v>
      </c>
      <c r="Q71" s="180">
        <v>1.0</v>
      </c>
      <c r="R71" s="62"/>
      <c r="S71" s="182">
        <v>0.17</v>
      </c>
      <c r="T71" s="183">
        <v>0.0</v>
      </c>
      <c r="U71" s="183">
        <v>0.0</v>
      </c>
      <c r="V71" s="183">
        <v>0.0</v>
      </c>
      <c r="W71" s="183">
        <v>0.0</v>
      </c>
      <c r="X71" s="62"/>
      <c r="Y71" s="176">
        <v>0.0</v>
      </c>
      <c r="Z71" s="176">
        <v>0.0</v>
      </c>
      <c r="AA71" s="176">
        <v>0.0</v>
      </c>
      <c r="AB71" s="176">
        <v>0.0</v>
      </c>
      <c r="AC71" s="176">
        <v>0.0</v>
      </c>
      <c r="AD71" s="176">
        <v>0.0</v>
      </c>
      <c r="AE71" s="176">
        <v>0.0</v>
      </c>
      <c r="AF71" s="62"/>
      <c r="AG71" s="54"/>
      <c r="AH71" s="54"/>
      <c r="AI71" s="54"/>
      <c r="AJ71" s="47"/>
      <c r="AK71" s="54"/>
      <c r="AL71" s="54"/>
      <c r="AM71" s="54"/>
      <c r="AN71" s="62"/>
      <c r="AO71" s="184">
        <f t="shared" ref="AO71:AS71" si="133">ROUND(E71*(5/12)+K71*(5/12)+S71+Y71-AG71,2)</f>
        <v>0.75</v>
      </c>
      <c r="AP71" s="184">
        <f t="shared" si="133"/>
        <v>0</v>
      </c>
      <c r="AQ71" s="184">
        <f t="shared" si="133"/>
        <v>0.08</v>
      </c>
      <c r="AR71" s="184">
        <f t="shared" si="133"/>
        <v>0</v>
      </c>
      <c r="AS71" s="184">
        <f t="shared" si="133"/>
        <v>0</v>
      </c>
      <c r="AT71" s="184">
        <f t="shared" ref="AT71:AU71" si="134">P71+AD71-AL71</f>
        <v>1</v>
      </c>
      <c r="AU71" s="184">
        <f t="shared" si="134"/>
        <v>1</v>
      </c>
      <c r="AV71" s="62"/>
      <c r="AW71" s="176">
        <v>0.75</v>
      </c>
      <c r="AX71" s="176" t="s">
        <v>913</v>
      </c>
      <c r="AY71" s="176">
        <v>0.1</v>
      </c>
      <c r="AZ71" s="176" t="s">
        <v>913</v>
      </c>
      <c r="BA71" s="176" t="s">
        <v>913</v>
      </c>
      <c r="BB71" s="176">
        <v>1.0</v>
      </c>
      <c r="BC71" s="176">
        <v>1.0</v>
      </c>
      <c r="BD71" s="194" t="s">
        <v>1288</v>
      </c>
      <c r="BE71" s="62"/>
      <c r="BF71" s="62"/>
      <c r="BG71" s="62"/>
      <c r="BH71" s="54"/>
      <c r="BI71" s="54"/>
      <c r="BJ71" s="54"/>
      <c r="BK71" s="54"/>
      <c r="BL71" s="54"/>
      <c r="BM71" s="54"/>
      <c r="BN71" s="54"/>
      <c r="BO71" s="57"/>
      <c r="BP71" s="58" t="s">
        <v>1152</v>
      </c>
      <c r="BQ71" s="57"/>
      <c r="BR71" s="57"/>
    </row>
    <row r="72">
      <c r="A72" s="176">
        <v>68.0</v>
      </c>
      <c r="B72" s="208" t="s">
        <v>110</v>
      </c>
      <c r="C72" s="234" t="s">
        <v>93</v>
      </c>
      <c r="D72" s="235">
        <v>3.0</v>
      </c>
      <c r="E72" s="235">
        <v>1.0</v>
      </c>
      <c r="F72" s="235">
        <v>0.0</v>
      </c>
      <c r="G72" s="235">
        <v>0.0</v>
      </c>
      <c r="H72" s="235">
        <v>0.0</v>
      </c>
      <c r="I72" s="235">
        <v>0.0</v>
      </c>
      <c r="J72" s="97">
        <v>3.16</v>
      </c>
      <c r="K72" s="97">
        <v>0.64</v>
      </c>
      <c r="L72" s="97">
        <v>0.2</v>
      </c>
      <c r="M72" s="97">
        <v>0.0</v>
      </c>
      <c r="N72" s="97">
        <v>0.0</v>
      </c>
      <c r="O72" s="97">
        <v>0.0</v>
      </c>
      <c r="P72" s="180">
        <v>1.0</v>
      </c>
      <c r="Q72" s="180">
        <v>1.0</v>
      </c>
      <c r="R72" s="62"/>
      <c r="S72" s="182">
        <v>0.17</v>
      </c>
      <c r="T72" s="183">
        <v>0.0</v>
      </c>
      <c r="U72" s="183">
        <v>0.0</v>
      </c>
      <c r="V72" s="183">
        <v>0.0</v>
      </c>
      <c r="W72" s="183">
        <v>0.0</v>
      </c>
      <c r="X72" s="62"/>
      <c r="Y72" s="176">
        <v>0.0</v>
      </c>
      <c r="Z72" s="176">
        <v>0.0</v>
      </c>
      <c r="AA72" s="176">
        <v>0.0</v>
      </c>
      <c r="AB72" s="176">
        <v>0.0</v>
      </c>
      <c r="AC72" s="176">
        <v>0.0</v>
      </c>
      <c r="AD72" s="176">
        <v>0.0</v>
      </c>
      <c r="AE72" s="176">
        <v>0.0</v>
      </c>
      <c r="AF72" s="62"/>
      <c r="AG72" s="54"/>
      <c r="AH72" s="54"/>
      <c r="AI72" s="54"/>
      <c r="AJ72" s="47"/>
      <c r="AK72" s="54"/>
      <c r="AL72" s="47">
        <v>0.08</v>
      </c>
      <c r="AM72" s="47">
        <v>0.08</v>
      </c>
      <c r="AN72" s="62"/>
      <c r="AO72" s="184">
        <f t="shared" ref="AO72:AS72" si="135">ROUND(E72*(5/12)+K72*(5/12)+S72+Y72-AG72,2)</f>
        <v>0.85</v>
      </c>
      <c r="AP72" s="184">
        <f t="shared" si="135"/>
        <v>0.08</v>
      </c>
      <c r="AQ72" s="184">
        <f t="shared" si="135"/>
        <v>0</v>
      </c>
      <c r="AR72" s="184">
        <f t="shared" si="135"/>
        <v>0</v>
      </c>
      <c r="AS72" s="184">
        <f t="shared" si="135"/>
        <v>0</v>
      </c>
      <c r="AT72" s="184">
        <f t="shared" ref="AT72:AU72" si="136">P72+AD72-AL72</f>
        <v>0.92</v>
      </c>
      <c r="AU72" s="184">
        <f t="shared" si="136"/>
        <v>0.92</v>
      </c>
      <c r="AV72" s="62"/>
      <c r="AW72" s="176">
        <v>1.25</v>
      </c>
      <c r="AX72" s="176">
        <v>0.083</v>
      </c>
      <c r="AY72" s="176" t="s">
        <v>913</v>
      </c>
      <c r="AZ72" s="176" t="s">
        <v>913</v>
      </c>
      <c r="BA72" s="176" t="s">
        <v>913</v>
      </c>
      <c r="BB72" s="176">
        <v>1.0</v>
      </c>
      <c r="BC72" s="176">
        <v>1.0</v>
      </c>
      <c r="BD72" s="180" t="s">
        <v>1289</v>
      </c>
      <c r="BE72" s="62"/>
      <c r="BF72" s="62"/>
      <c r="BG72" s="62"/>
      <c r="BH72" s="54"/>
      <c r="BI72" s="54"/>
      <c r="BJ72" s="54"/>
      <c r="BK72" s="54"/>
      <c r="BL72" s="54"/>
      <c r="BM72" s="54"/>
      <c r="BN72" s="54"/>
      <c r="BO72" s="57"/>
      <c r="BP72" s="58" t="s">
        <v>1152</v>
      </c>
      <c r="BQ72" s="57"/>
      <c r="BR72" s="57"/>
    </row>
    <row r="73">
      <c r="A73" s="176">
        <v>69.0</v>
      </c>
      <c r="B73" s="208" t="s">
        <v>111</v>
      </c>
      <c r="C73" s="234" t="s">
        <v>93</v>
      </c>
      <c r="D73" s="235">
        <v>4.0</v>
      </c>
      <c r="E73" s="235">
        <v>0.6</v>
      </c>
      <c r="F73" s="235">
        <v>0.0</v>
      </c>
      <c r="G73" s="235">
        <v>0.0</v>
      </c>
      <c r="H73" s="235">
        <v>0.0</v>
      </c>
      <c r="I73" s="235">
        <v>0.0</v>
      </c>
      <c r="J73" s="97">
        <v>3.66</v>
      </c>
      <c r="K73" s="97">
        <v>0.14</v>
      </c>
      <c r="L73" s="97">
        <v>0.2</v>
      </c>
      <c r="M73" s="97">
        <v>0.0</v>
      </c>
      <c r="N73" s="97">
        <v>0.0</v>
      </c>
      <c r="O73" s="97">
        <v>0.0</v>
      </c>
      <c r="P73" s="180">
        <v>1.0</v>
      </c>
      <c r="Q73" s="180">
        <v>1.0</v>
      </c>
      <c r="R73" s="62"/>
      <c r="S73" s="176">
        <v>0.0</v>
      </c>
      <c r="T73" s="176">
        <v>0.0</v>
      </c>
      <c r="U73" s="176">
        <v>0.0</v>
      </c>
      <c r="V73" s="176">
        <v>0.0</v>
      </c>
      <c r="W73" s="176">
        <v>0.0</v>
      </c>
      <c r="X73" s="62"/>
      <c r="Y73" s="176">
        <v>0.0</v>
      </c>
      <c r="Z73" s="176">
        <v>0.0</v>
      </c>
      <c r="AA73" s="176">
        <v>0.0</v>
      </c>
      <c r="AB73" s="176">
        <v>0.0</v>
      </c>
      <c r="AC73" s="176">
        <v>0.0</v>
      </c>
      <c r="AD73" s="176">
        <v>0.0</v>
      </c>
      <c r="AE73" s="176">
        <v>0.0</v>
      </c>
      <c r="AF73" s="62"/>
      <c r="AG73" s="47"/>
      <c r="AH73" s="47"/>
      <c r="AI73" s="47"/>
      <c r="AJ73" s="47"/>
      <c r="AK73" s="47"/>
      <c r="AL73" s="54"/>
      <c r="AM73" s="54"/>
      <c r="AN73" s="62"/>
      <c r="AO73" s="184">
        <f t="shared" ref="AO73:AS73" si="137">ROUND(E73*(5/12)+K73*(5/12)+S73+Y73-AG73,2)</f>
        <v>0.31</v>
      </c>
      <c r="AP73" s="184">
        <f t="shared" si="137"/>
        <v>0.08</v>
      </c>
      <c r="AQ73" s="184">
        <f t="shared" si="137"/>
        <v>0</v>
      </c>
      <c r="AR73" s="184">
        <f t="shared" si="137"/>
        <v>0</v>
      </c>
      <c r="AS73" s="184">
        <f t="shared" si="137"/>
        <v>0</v>
      </c>
      <c r="AT73" s="184">
        <f t="shared" ref="AT73:AU73" si="138">P73+AD73-AL73</f>
        <v>1</v>
      </c>
      <c r="AU73" s="184">
        <f t="shared" si="138"/>
        <v>1</v>
      </c>
      <c r="AV73" s="62"/>
      <c r="AW73" s="176">
        <v>0.166</v>
      </c>
      <c r="AX73" s="176">
        <v>0.0</v>
      </c>
      <c r="AY73" s="176" t="s">
        <v>913</v>
      </c>
      <c r="AZ73" s="176" t="s">
        <v>913</v>
      </c>
      <c r="BA73" s="176" t="s">
        <v>913</v>
      </c>
      <c r="BB73" s="176">
        <v>1.0</v>
      </c>
      <c r="BC73" s="176">
        <v>0.0</v>
      </c>
      <c r="BD73" s="194" t="s">
        <v>1290</v>
      </c>
      <c r="BE73" s="62"/>
      <c r="BF73" s="62"/>
      <c r="BG73" s="62"/>
      <c r="BH73" s="54"/>
      <c r="BI73" s="54"/>
      <c r="BJ73" s="54"/>
      <c r="BK73" s="54"/>
      <c r="BL73" s="54"/>
      <c r="BM73" s="72"/>
      <c r="BN73" s="54"/>
      <c r="BO73" s="58"/>
      <c r="BP73" s="58"/>
      <c r="BQ73" s="57"/>
      <c r="BR73" s="57"/>
    </row>
    <row r="74">
      <c r="A74" s="176">
        <v>70.0</v>
      </c>
      <c r="B74" s="208" t="s">
        <v>112</v>
      </c>
      <c r="C74" s="234" t="s">
        <v>93</v>
      </c>
      <c r="D74" s="235">
        <v>4.0</v>
      </c>
      <c r="E74" s="235">
        <v>0.6</v>
      </c>
      <c r="F74" s="235">
        <v>0.0</v>
      </c>
      <c r="G74" s="235">
        <v>0.0</v>
      </c>
      <c r="H74" s="235">
        <v>0.0</v>
      </c>
      <c r="I74" s="235">
        <v>0.0</v>
      </c>
      <c r="J74" s="97">
        <v>3.33</v>
      </c>
      <c r="K74" s="97">
        <v>0.47</v>
      </c>
      <c r="L74" s="97">
        <v>0.2</v>
      </c>
      <c r="M74" s="97">
        <v>0.0</v>
      </c>
      <c r="N74" s="97">
        <v>0.0</v>
      </c>
      <c r="O74" s="97">
        <v>0.0</v>
      </c>
      <c r="P74" s="180">
        <v>1.0</v>
      </c>
      <c r="Q74" s="180">
        <v>1.0</v>
      </c>
      <c r="R74" s="62"/>
      <c r="S74" s="176">
        <v>0.0</v>
      </c>
      <c r="T74" s="176">
        <v>0.0</v>
      </c>
      <c r="U74" s="176">
        <v>0.0</v>
      </c>
      <c r="V74" s="176">
        <v>0.0</v>
      </c>
      <c r="W74" s="176">
        <v>0.0</v>
      </c>
      <c r="X74" s="62"/>
      <c r="Y74" s="176">
        <v>0.0</v>
      </c>
      <c r="Z74" s="176">
        <v>0.0</v>
      </c>
      <c r="AA74" s="176">
        <v>0.0</v>
      </c>
      <c r="AB74" s="176">
        <v>0.0</v>
      </c>
      <c r="AC74" s="176">
        <v>0.0</v>
      </c>
      <c r="AD74" s="176">
        <v>0.0</v>
      </c>
      <c r="AE74" s="176">
        <v>0.0</v>
      </c>
      <c r="AF74" s="62"/>
      <c r="AG74" s="47"/>
      <c r="AH74" s="54"/>
      <c r="AI74" s="54"/>
      <c r="AJ74" s="47"/>
      <c r="AK74" s="47"/>
      <c r="AL74" s="54"/>
      <c r="AM74" s="47">
        <v>0.17</v>
      </c>
      <c r="AN74" s="62"/>
      <c r="AO74" s="184">
        <f t="shared" ref="AO74:AS74" si="139">ROUND(E74*(5/12)+K74*(5/12)+S74+Y74-AG74,2)</f>
        <v>0.45</v>
      </c>
      <c r="AP74" s="184">
        <f t="shared" si="139"/>
        <v>0.08</v>
      </c>
      <c r="AQ74" s="184">
        <f t="shared" si="139"/>
        <v>0</v>
      </c>
      <c r="AR74" s="184">
        <f t="shared" si="139"/>
        <v>0</v>
      </c>
      <c r="AS74" s="184">
        <f t="shared" si="139"/>
        <v>0</v>
      </c>
      <c r="AT74" s="184">
        <f t="shared" ref="AT74:AU74" si="140">P74+AD74-AL74</f>
        <v>1</v>
      </c>
      <c r="AU74" s="184">
        <f t="shared" si="140"/>
        <v>0.83</v>
      </c>
      <c r="AV74" s="62"/>
      <c r="AW74" s="176">
        <v>0.75</v>
      </c>
      <c r="AX74" s="176">
        <v>0.086</v>
      </c>
      <c r="AY74" s="176" t="s">
        <v>913</v>
      </c>
      <c r="AZ74" s="176" t="s">
        <v>913</v>
      </c>
      <c r="BA74" s="176" t="s">
        <v>913</v>
      </c>
      <c r="BB74" s="176">
        <v>1.0</v>
      </c>
      <c r="BC74" s="176">
        <v>1.0</v>
      </c>
      <c r="BD74" s="180" t="s">
        <v>1291</v>
      </c>
      <c r="BE74" s="62"/>
      <c r="BF74" s="62"/>
      <c r="BG74" s="62"/>
      <c r="BH74" s="54"/>
      <c r="BI74" s="54"/>
      <c r="BJ74" s="54"/>
      <c r="BK74" s="54"/>
      <c r="BL74" s="54"/>
      <c r="BM74" s="54"/>
      <c r="BN74" s="54"/>
      <c r="BO74" s="57"/>
      <c r="BP74" s="58" t="s">
        <v>1152</v>
      </c>
      <c r="BQ74" s="57"/>
      <c r="BR74" s="57"/>
    </row>
    <row r="75">
      <c r="A75" s="176">
        <v>71.0</v>
      </c>
      <c r="B75" s="208" t="s">
        <v>1292</v>
      </c>
      <c r="C75" s="234" t="s">
        <v>93</v>
      </c>
      <c r="D75" s="235">
        <v>3.0</v>
      </c>
      <c r="E75" s="235">
        <v>1.0</v>
      </c>
      <c r="F75" s="235">
        <v>0.0</v>
      </c>
      <c r="G75" s="235">
        <v>0.0</v>
      </c>
      <c r="H75" s="235">
        <v>0.0</v>
      </c>
      <c r="I75" s="235">
        <v>0.0</v>
      </c>
      <c r="J75" s="97">
        <v>2.83</v>
      </c>
      <c r="K75" s="97">
        <v>0.97</v>
      </c>
      <c r="L75" s="97">
        <v>0.2</v>
      </c>
      <c r="M75" s="97">
        <v>0.0</v>
      </c>
      <c r="N75" s="97">
        <v>0.0</v>
      </c>
      <c r="O75" s="97">
        <v>0.0</v>
      </c>
      <c r="P75" s="180">
        <v>1.0</v>
      </c>
      <c r="Q75" s="180">
        <v>1.0</v>
      </c>
      <c r="R75" s="62"/>
      <c r="S75" s="182">
        <v>0.17</v>
      </c>
      <c r="T75" s="183">
        <v>0.0</v>
      </c>
      <c r="U75" s="183">
        <v>0.0</v>
      </c>
      <c r="V75" s="183">
        <v>0.0</v>
      </c>
      <c r="W75" s="183">
        <v>0.0</v>
      </c>
      <c r="X75" s="62"/>
      <c r="Y75" s="176">
        <v>0.0</v>
      </c>
      <c r="Z75" s="176">
        <v>0.0</v>
      </c>
      <c r="AA75" s="176">
        <v>0.0</v>
      </c>
      <c r="AB75" s="176">
        <v>0.0</v>
      </c>
      <c r="AC75" s="176">
        <v>0.0</v>
      </c>
      <c r="AD75" s="176">
        <v>0.0</v>
      </c>
      <c r="AE75" s="176">
        <v>0.0</v>
      </c>
      <c r="AF75" s="62"/>
      <c r="AG75" s="47">
        <v>0.08</v>
      </c>
      <c r="AH75" s="54"/>
      <c r="AI75" s="54"/>
      <c r="AJ75" s="47"/>
      <c r="AK75" s="47"/>
      <c r="AL75" s="47">
        <v>0.17</v>
      </c>
      <c r="AM75" s="54"/>
      <c r="AN75" s="62"/>
      <c r="AO75" s="184">
        <f t="shared" ref="AO75:AS75" si="141">ROUND(E75*(5/12)+K75*(5/12)+S75+Y75-AG75,2)</f>
        <v>0.91</v>
      </c>
      <c r="AP75" s="184">
        <f t="shared" si="141"/>
        <v>0.08</v>
      </c>
      <c r="AQ75" s="184">
        <f t="shared" si="141"/>
        <v>0</v>
      </c>
      <c r="AR75" s="184">
        <f t="shared" si="141"/>
        <v>0</v>
      </c>
      <c r="AS75" s="184">
        <f t="shared" si="141"/>
        <v>0</v>
      </c>
      <c r="AT75" s="184">
        <f t="shared" ref="AT75:AU75" si="142">P75+AD75-AL75</f>
        <v>0.83</v>
      </c>
      <c r="AU75" s="184">
        <f t="shared" si="142"/>
        <v>1</v>
      </c>
      <c r="AV75" s="62"/>
      <c r="AW75" s="176">
        <v>0.0</v>
      </c>
      <c r="AX75" s="176">
        <v>0.0</v>
      </c>
      <c r="AY75" s="176" t="s">
        <v>913</v>
      </c>
      <c r="AZ75" s="176" t="s">
        <v>913</v>
      </c>
      <c r="BA75" s="176" t="s">
        <v>913</v>
      </c>
      <c r="BB75" s="176">
        <v>1.0</v>
      </c>
      <c r="BC75" s="176">
        <v>0.0</v>
      </c>
      <c r="BD75" s="180" t="s">
        <v>1293</v>
      </c>
      <c r="BE75" s="62"/>
      <c r="BF75" s="62"/>
      <c r="BG75" s="62"/>
      <c r="BH75" s="54"/>
      <c r="BI75" s="54"/>
      <c r="BJ75" s="54"/>
      <c r="BK75" s="54"/>
      <c r="BL75" s="54"/>
      <c r="BM75" s="54"/>
      <c r="BN75" s="54"/>
      <c r="BO75" s="57"/>
      <c r="BP75" s="58" t="s">
        <v>1152</v>
      </c>
      <c r="BQ75" s="57"/>
      <c r="BR75" s="57"/>
    </row>
    <row r="76">
      <c r="A76" s="176">
        <v>72.0</v>
      </c>
      <c r="B76" s="101" t="s">
        <v>1294</v>
      </c>
      <c r="C76" s="234" t="s">
        <v>93</v>
      </c>
      <c r="D76" s="235">
        <v>4.0</v>
      </c>
      <c r="E76" s="235">
        <v>0.6</v>
      </c>
      <c r="F76" s="235">
        <v>0.0</v>
      </c>
      <c r="G76" s="235">
        <v>0.0</v>
      </c>
      <c r="H76" s="235">
        <v>0.0</v>
      </c>
      <c r="I76" s="235">
        <v>0.0</v>
      </c>
      <c r="J76" s="97">
        <v>3.0</v>
      </c>
      <c r="K76" s="97">
        <v>0.8</v>
      </c>
      <c r="L76" s="97">
        <v>0.2</v>
      </c>
      <c r="M76" s="97">
        <v>0.0</v>
      </c>
      <c r="N76" s="97">
        <v>0.0</v>
      </c>
      <c r="O76" s="97">
        <v>0.0</v>
      </c>
      <c r="P76" s="180">
        <v>1.0</v>
      </c>
      <c r="Q76" s="180">
        <v>1.0</v>
      </c>
      <c r="R76" s="62"/>
      <c r="S76" s="182">
        <v>0.06</v>
      </c>
      <c r="T76" s="183">
        <v>0.0</v>
      </c>
      <c r="U76" s="183">
        <v>0.0</v>
      </c>
      <c r="V76" s="183">
        <v>0.0</v>
      </c>
      <c r="W76" s="183">
        <v>0.0</v>
      </c>
      <c r="X76" s="62"/>
      <c r="Y76" s="176">
        <v>0.0</v>
      </c>
      <c r="Z76" s="176">
        <v>0.0</v>
      </c>
      <c r="AA76" s="176">
        <v>0.0</v>
      </c>
      <c r="AB76" s="176">
        <v>0.0</v>
      </c>
      <c r="AC76" s="176">
        <v>0.0</v>
      </c>
      <c r="AD76" s="176">
        <v>0.0</v>
      </c>
      <c r="AE76" s="176">
        <v>0.0</v>
      </c>
      <c r="AF76" s="62"/>
      <c r="AG76" s="47"/>
      <c r="AH76" s="54"/>
      <c r="AI76" s="54"/>
      <c r="AJ76" s="47"/>
      <c r="AK76" s="47"/>
      <c r="AL76" s="54"/>
      <c r="AM76" s="54"/>
      <c r="AN76" s="62"/>
      <c r="AO76" s="184">
        <f t="shared" ref="AO76:AS76" si="143">ROUND(E76*(5/12)+K76*(5/12)+S76+Y76-AG76,2)</f>
        <v>0.64</v>
      </c>
      <c r="AP76" s="184">
        <f t="shared" si="143"/>
        <v>0.08</v>
      </c>
      <c r="AQ76" s="184">
        <f t="shared" si="143"/>
        <v>0</v>
      </c>
      <c r="AR76" s="184">
        <f t="shared" si="143"/>
        <v>0</v>
      </c>
      <c r="AS76" s="184">
        <f t="shared" si="143"/>
        <v>0</v>
      </c>
      <c r="AT76" s="184">
        <f t="shared" ref="AT76:AU76" si="144">P76+AD76-AL76</f>
        <v>1</v>
      </c>
      <c r="AU76" s="184">
        <f t="shared" si="144"/>
        <v>1</v>
      </c>
      <c r="AV76" s="62"/>
      <c r="AW76" s="176">
        <v>0.25</v>
      </c>
      <c r="AX76" s="176">
        <v>0.08</v>
      </c>
      <c r="AY76" s="176" t="s">
        <v>913</v>
      </c>
      <c r="AZ76" s="176" t="s">
        <v>913</v>
      </c>
      <c r="BA76" s="176" t="s">
        <v>913</v>
      </c>
      <c r="BB76" s="176">
        <v>1.0</v>
      </c>
      <c r="BC76" s="176">
        <v>1.0</v>
      </c>
      <c r="BD76" s="196" t="s">
        <v>1295</v>
      </c>
      <c r="BE76" s="62"/>
      <c r="BF76" s="62"/>
      <c r="BG76" s="62"/>
      <c r="BH76" s="54"/>
      <c r="BI76" s="54"/>
      <c r="BJ76" s="54"/>
      <c r="BK76" s="54"/>
      <c r="BL76" s="54"/>
      <c r="BM76" s="54"/>
      <c r="BN76" s="54"/>
      <c r="BO76" s="57"/>
      <c r="BP76" s="58" t="s">
        <v>1152</v>
      </c>
      <c r="BQ76" s="57"/>
      <c r="BR76" s="57"/>
    </row>
    <row r="77">
      <c r="A77" s="176">
        <v>73.0</v>
      </c>
      <c r="B77" s="101" t="s">
        <v>1296</v>
      </c>
      <c r="C77" s="234" t="s">
        <v>93</v>
      </c>
      <c r="D77" s="235">
        <v>4.0</v>
      </c>
      <c r="E77" s="235">
        <v>0.6</v>
      </c>
      <c r="F77" s="235">
        <v>0.0</v>
      </c>
      <c r="G77" s="235">
        <v>0.0</v>
      </c>
      <c r="H77" s="235">
        <v>0.0</v>
      </c>
      <c r="I77" s="235">
        <v>0.0</v>
      </c>
      <c r="J77" s="97">
        <v>3.0</v>
      </c>
      <c r="K77" s="97">
        <v>0.8</v>
      </c>
      <c r="L77" s="97">
        <v>0.2</v>
      </c>
      <c r="M77" s="97">
        <v>0.0</v>
      </c>
      <c r="N77" s="97">
        <v>0.0</v>
      </c>
      <c r="O77" s="97">
        <v>0.0</v>
      </c>
      <c r="P77" s="180">
        <v>1.0</v>
      </c>
      <c r="Q77" s="180">
        <v>1.0</v>
      </c>
      <c r="R77" s="62"/>
      <c r="S77" s="187">
        <v>0.06</v>
      </c>
      <c r="T77" s="188">
        <v>0.0</v>
      </c>
      <c r="U77" s="188">
        <v>0.0</v>
      </c>
      <c r="V77" s="188">
        <v>0.0</v>
      </c>
      <c r="W77" s="188">
        <v>0.0</v>
      </c>
      <c r="X77" s="62"/>
      <c r="Y77" s="176">
        <v>0.0</v>
      </c>
      <c r="Z77" s="176">
        <v>0.0</v>
      </c>
      <c r="AA77" s="176">
        <v>0.0</v>
      </c>
      <c r="AB77" s="176">
        <v>0.0</v>
      </c>
      <c r="AC77" s="176">
        <v>0.0</v>
      </c>
      <c r="AD77" s="176">
        <v>0.0</v>
      </c>
      <c r="AE77" s="176">
        <v>0.0</v>
      </c>
      <c r="AF77" s="62"/>
      <c r="AG77" s="47"/>
      <c r="AH77" s="54"/>
      <c r="AI77" s="54"/>
      <c r="AJ77" s="47"/>
      <c r="AK77" s="47"/>
      <c r="AL77" s="54"/>
      <c r="AM77" s="54"/>
      <c r="AN77" s="62"/>
      <c r="AO77" s="184">
        <f t="shared" ref="AO77:AS77" si="145">ROUND(E77*(5/12)+K77*(5/12)+S77+Y77-AG77,2)</f>
        <v>0.64</v>
      </c>
      <c r="AP77" s="184">
        <f t="shared" si="145"/>
        <v>0.08</v>
      </c>
      <c r="AQ77" s="184">
        <f t="shared" si="145"/>
        <v>0</v>
      </c>
      <c r="AR77" s="184">
        <f t="shared" si="145"/>
        <v>0</v>
      </c>
      <c r="AS77" s="184">
        <f t="shared" si="145"/>
        <v>0</v>
      </c>
      <c r="AT77" s="184">
        <f t="shared" ref="AT77:AU77" si="146">P77+AD77-AL77</f>
        <v>1</v>
      </c>
      <c r="AU77" s="184">
        <f t="shared" si="146"/>
        <v>1</v>
      </c>
      <c r="AV77" s="62"/>
      <c r="AW77" s="176">
        <v>0.25</v>
      </c>
      <c r="AX77" s="176">
        <v>0.08</v>
      </c>
      <c r="AY77" s="176" t="s">
        <v>913</v>
      </c>
      <c r="AZ77" s="176" t="s">
        <v>913</v>
      </c>
      <c r="BA77" s="176" t="s">
        <v>913</v>
      </c>
      <c r="BB77" s="176">
        <v>1.0</v>
      </c>
      <c r="BC77" s="176">
        <v>1.0</v>
      </c>
      <c r="BD77" s="191" t="s">
        <v>1297</v>
      </c>
      <c r="BE77" s="62"/>
      <c r="BF77" s="62"/>
      <c r="BG77" s="62"/>
      <c r="BH77" s="54"/>
      <c r="BI77" s="54"/>
      <c r="BJ77" s="54"/>
      <c r="BK77" s="54"/>
      <c r="BL77" s="54"/>
      <c r="BM77" s="54"/>
      <c r="BN77" s="54"/>
      <c r="BO77" s="57"/>
      <c r="BP77" s="58" t="s">
        <v>1152</v>
      </c>
      <c r="BQ77" s="57"/>
      <c r="BR77" s="57"/>
    </row>
    <row r="78">
      <c r="A78" s="176">
        <v>74.0</v>
      </c>
      <c r="B78" s="101" t="s">
        <v>1298</v>
      </c>
      <c r="C78" s="234" t="s">
        <v>93</v>
      </c>
      <c r="D78" s="235">
        <v>4.0</v>
      </c>
      <c r="E78" s="235">
        <v>0.6</v>
      </c>
      <c r="F78" s="235">
        <v>0.0</v>
      </c>
      <c r="G78" s="235">
        <v>0.0</v>
      </c>
      <c r="H78" s="235">
        <v>0.0</v>
      </c>
      <c r="I78" s="235">
        <v>0.0</v>
      </c>
      <c r="J78" s="97">
        <v>2.83</v>
      </c>
      <c r="K78" s="97">
        <v>0.97</v>
      </c>
      <c r="L78" s="97">
        <v>0.0</v>
      </c>
      <c r="M78" s="97">
        <v>0.2</v>
      </c>
      <c r="N78" s="97">
        <v>0.0</v>
      </c>
      <c r="O78" s="97">
        <v>0.0</v>
      </c>
      <c r="P78" s="180">
        <v>1.0</v>
      </c>
      <c r="Q78" s="180">
        <v>1.0</v>
      </c>
      <c r="R78" s="62"/>
      <c r="S78" s="176">
        <v>0.0</v>
      </c>
      <c r="T78" s="176">
        <v>0.0</v>
      </c>
      <c r="U78" s="176">
        <v>0.0</v>
      </c>
      <c r="V78" s="176">
        <v>0.0</v>
      </c>
      <c r="W78" s="176">
        <v>0.0</v>
      </c>
      <c r="X78" s="62"/>
      <c r="Y78" s="176">
        <v>0.0</v>
      </c>
      <c r="Z78" s="176">
        <v>0.0</v>
      </c>
      <c r="AA78" s="176">
        <v>0.0</v>
      </c>
      <c r="AB78" s="176">
        <v>0.0</v>
      </c>
      <c r="AC78" s="176">
        <v>0.0</v>
      </c>
      <c r="AD78" s="176">
        <v>0.0</v>
      </c>
      <c r="AE78" s="176">
        <v>0.0</v>
      </c>
      <c r="AF78" s="62"/>
      <c r="AG78" s="47"/>
      <c r="AH78" s="54"/>
      <c r="AI78" s="54"/>
      <c r="AJ78" s="47"/>
      <c r="AK78" s="47"/>
      <c r="AL78" s="54"/>
      <c r="AM78" s="54"/>
      <c r="AN78" s="62"/>
      <c r="AO78" s="184">
        <f t="shared" ref="AO78:AS78" si="147">ROUND(E78*(5/12)+K78*(5/12)+S78+Y78-AG78,2)</f>
        <v>0.65</v>
      </c>
      <c r="AP78" s="184">
        <f t="shared" si="147"/>
        <v>0</v>
      </c>
      <c r="AQ78" s="184">
        <f t="shared" si="147"/>
        <v>0.08</v>
      </c>
      <c r="AR78" s="184">
        <f t="shared" si="147"/>
        <v>0</v>
      </c>
      <c r="AS78" s="184">
        <f t="shared" si="147"/>
        <v>0</v>
      </c>
      <c r="AT78" s="184">
        <f t="shared" ref="AT78:AU78" si="148">P78+AD78-AL78</f>
        <v>1</v>
      </c>
      <c r="AU78" s="184">
        <f t="shared" si="148"/>
        <v>1</v>
      </c>
      <c r="AV78" s="62"/>
      <c r="AW78" s="202"/>
      <c r="AX78" s="202"/>
      <c r="AY78" s="202"/>
      <c r="AZ78" s="202"/>
      <c r="BA78" s="202"/>
      <c r="BB78" s="202"/>
      <c r="BC78" s="202"/>
      <c r="BD78" s="228"/>
      <c r="BE78" s="62"/>
      <c r="BF78" s="62"/>
      <c r="BG78" s="62"/>
      <c r="BH78" s="54"/>
      <c r="BI78" s="54"/>
      <c r="BJ78" s="54"/>
      <c r="BK78" s="54"/>
      <c r="BL78" s="54"/>
      <c r="BM78" s="54"/>
      <c r="BN78" s="54"/>
      <c r="BO78" s="57"/>
      <c r="BP78" s="57"/>
      <c r="BQ78" s="57"/>
      <c r="BR78" s="57"/>
    </row>
    <row r="79">
      <c r="A79" s="176">
        <v>75.0</v>
      </c>
      <c r="B79" s="177" t="s">
        <v>115</v>
      </c>
      <c r="C79" s="234" t="s">
        <v>93</v>
      </c>
      <c r="D79" s="235">
        <v>4.0</v>
      </c>
      <c r="E79" s="235">
        <v>0.0</v>
      </c>
      <c r="F79" s="235">
        <v>0.0</v>
      </c>
      <c r="G79" s="235">
        <v>0.0</v>
      </c>
      <c r="H79" s="235">
        <v>0.0</v>
      </c>
      <c r="I79" s="235">
        <v>0.0</v>
      </c>
      <c r="J79" s="97">
        <v>3.5</v>
      </c>
      <c r="K79" s="97">
        <v>0.2</v>
      </c>
      <c r="L79" s="97">
        <v>0.0</v>
      </c>
      <c r="M79" s="97">
        <v>0.0</v>
      </c>
      <c r="N79" s="97">
        <v>0.3</v>
      </c>
      <c r="O79" s="97">
        <v>0.0</v>
      </c>
      <c r="P79" s="180">
        <v>1.0</v>
      </c>
      <c r="Q79" s="180">
        <v>1.0</v>
      </c>
      <c r="R79" s="62"/>
      <c r="S79" s="176">
        <v>0.0</v>
      </c>
      <c r="T79" s="176">
        <v>0.0</v>
      </c>
      <c r="U79" s="176">
        <v>0.0</v>
      </c>
      <c r="V79" s="176">
        <v>0.0</v>
      </c>
      <c r="W79" s="176">
        <v>0.0</v>
      </c>
      <c r="X79" s="62"/>
      <c r="Y79" s="176">
        <v>0.0</v>
      </c>
      <c r="Z79" s="176">
        <v>0.0</v>
      </c>
      <c r="AA79" s="176">
        <v>0.0</v>
      </c>
      <c r="AB79" s="176">
        <v>0.0</v>
      </c>
      <c r="AC79" s="176">
        <v>0.0</v>
      </c>
      <c r="AD79" s="176">
        <v>0.0</v>
      </c>
      <c r="AE79" s="176">
        <v>0.0</v>
      </c>
      <c r="AF79" s="62"/>
      <c r="AG79" s="47"/>
      <c r="AH79" s="54"/>
      <c r="AI79" s="54"/>
      <c r="AJ79" s="47"/>
      <c r="AK79" s="47"/>
      <c r="AL79" s="54"/>
      <c r="AM79" s="54"/>
      <c r="AN79" s="62"/>
      <c r="AO79" s="184">
        <f t="shared" ref="AO79:AS79" si="149">ROUND(E79*(5/12)+K79*(5/12)+S79+Y79-AG79,2)</f>
        <v>0.08</v>
      </c>
      <c r="AP79" s="184">
        <f t="shared" si="149"/>
        <v>0</v>
      </c>
      <c r="AQ79" s="184">
        <f t="shared" si="149"/>
        <v>0</v>
      </c>
      <c r="AR79" s="184">
        <f t="shared" si="149"/>
        <v>0.13</v>
      </c>
      <c r="AS79" s="184">
        <f t="shared" si="149"/>
        <v>0</v>
      </c>
      <c r="AT79" s="184">
        <f t="shared" ref="AT79:AU79" si="150">P79+AD79-AL79</f>
        <v>1</v>
      </c>
      <c r="AU79" s="184">
        <f t="shared" si="150"/>
        <v>1</v>
      </c>
      <c r="AV79" s="62"/>
      <c r="AW79" s="176">
        <v>0.0</v>
      </c>
      <c r="AX79" s="176" t="s">
        <v>913</v>
      </c>
      <c r="AY79" s="176" t="s">
        <v>913</v>
      </c>
      <c r="AZ79" s="176">
        <v>0.0</v>
      </c>
      <c r="BA79" s="176" t="s">
        <v>913</v>
      </c>
      <c r="BB79" s="176">
        <v>0.0</v>
      </c>
      <c r="BC79" s="176">
        <v>1.0</v>
      </c>
      <c r="BD79" s="195" t="s">
        <v>1299</v>
      </c>
      <c r="BE79" s="62"/>
      <c r="BF79" s="62"/>
      <c r="BG79" s="62"/>
      <c r="BH79" s="54"/>
      <c r="BI79" s="54"/>
      <c r="BJ79" s="54"/>
      <c r="BK79" s="54"/>
      <c r="BL79" s="54"/>
      <c r="BM79" s="54"/>
      <c r="BN79" s="54"/>
      <c r="BO79" s="57"/>
      <c r="BP79" s="58" t="s">
        <v>1152</v>
      </c>
      <c r="BQ79" s="57"/>
      <c r="BR79" s="57"/>
    </row>
    <row r="80">
      <c r="A80" s="176">
        <v>76.0</v>
      </c>
      <c r="B80" s="177" t="s">
        <v>1300</v>
      </c>
      <c r="C80" s="234" t="s">
        <v>93</v>
      </c>
      <c r="D80" s="235">
        <v>4.0</v>
      </c>
      <c r="E80" s="235">
        <v>0.0</v>
      </c>
      <c r="F80" s="235">
        <v>0.0</v>
      </c>
      <c r="G80" s="235">
        <v>0.0</v>
      </c>
      <c r="H80" s="235">
        <v>0.0</v>
      </c>
      <c r="I80" s="235">
        <v>0.0</v>
      </c>
      <c r="J80" s="97">
        <v>3.5</v>
      </c>
      <c r="K80" s="97">
        <v>0.2</v>
      </c>
      <c r="L80" s="97">
        <v>0.0</v>
      </c>
      <c r="M80" s="97">
        <v>0.0</v>
      </c>
      <c r="N80" s="97">
        <v>0.3</v>
      </c>
      <c r="O80" s="97">
        <v>0.0</v>
      </c>
      <c r="P80" s="180">
        <v>1.0</v>
      </c>
      <c r="Q80" s="180">
        <v>1.0</v>
      </c>
      <c r="R80" s="62"/>
      <c r="S80" s="176">
        <v>0.0</v>
      </c>
      <c r="T80" s="176">
        <v>0.0</v>
      </c>
      <c r="U80" s="176">
        <v>0.0</v>
      </c>
      <c r="V80" s="176">
        <v>0.0</v>
      </c>
      <c r="W80" s="176">
        <v>0.0</v>
      </c>
      <c r="X80" s="62"/>
      <c r="Y80" s="176">
        <v>0.0</v>
      </c>
      <c r="Z80" s="176">
        <v>0.0</v>
      </c>
      <c r="AA80" s="176">
        <v>0.0</v>
      </c>
      <c r="AB80" s="176">
        <v>0.0</v>
      </c>
      <c r="AC80" s="176">
        <v>0.0</v>
      </c>
      <c r="AD80" s="176">
        <v>0.0</v>
      </c>
      <c r="AE80" s="176">
        <v>0.0</v>
      </c>
      <c r="AF80" s="62"/>
      <c r="AG80" s="47"/>
      <c r="AH80" s="54"/>
      <c r="AI80" s="54"/>
      <c r="AJ80" s="47"/>
      <c r="AK80" s="47"/>
      <c r="AL80" s="54"/>
      <c r="AM80" s="54"/>
      <c r="AN80" s="62"/>
      <c r="AO80" s="184">
        <f t="shared" ref="AO80:AS80" si="151">ROUND(E80*(5/12)+K80*(5/12)+S80+Y80-AG80,2)</f>
        <v>0.08</v>
      </c>
      <c r="AP80" s="184">
        <f t="shared" si="151"/>
        <v>0</v>
      </c>
      <c r="AQ80" s="184">
        <f t="shared" si="151"/>
        <v>0</v>
      </c>
      <c r="AR80" s="184">
        <f t="shared" si="151"/>
        <v>0.13</v>
      </c>
      <c r="AS80" s="184">
        <f t="shared" si="151"/>
        <v>0</v>
      </c>
      <c r="AT80" s="184">
        <f t="shared" ref="AT80:AU80" si="152">P80+AD80-AL80</f>
        <v>1</v>
      </c>
      <c r="AU80" s="184">
        <f t="shared" si="152"/>
        <v>1</v>
      </c>
      <c r="AV80" s="62"/>
      <c r="AW80" s="176">
        <v>0.0</v>
      </c>
      <c r="AX80" s="176" t="s">
        <v>913</v>
      </c>
      <c r="AY80" s="176" t="s">
        <v>913</v>
      </c>
      <c r="AZ80" s="176">
        <v>0.0</v>
      </c>
      <c r="BA80" s="176" t="s">
        <v>913</v>
      </c>
      <c r="BB80" s="176">
        <v>1.0</v>
      </c>
      <c r="BC80" s="176">
        <v>1.0</v>
      </c>
      <c r="BD80" s="195" t="s">
        <v>1301</v>
      </c>
      <c r="BE80" s="62"/>
      <c r="BF80" s="62"/>
      <c r="BG80" s="62"/>
      <c r="BH80" s="54"/>
      <c r="BI80" s="54"/>
      <c r="BJ80" s="54"/>
      <c r="BK80" s="54"/>
      <c r="BL80" s="54"/>
      <c r="BM80" s="54"/>
      <c r="BN80" s="54"/>
      <c r="BO80" s="57"/>
      <c r="BP80" s="58" t="s">
        <v>1152</v>
      </c>
      <c r="BQ80" s="57"/>
      <c r="BR80" s="57"/>
    </row>
    <row r="81">
      <c r="A81" s="176">
        <v>77.0</v>
      </c>
      <c r="B81" s="177" t="s">
        <v>117</v>
      </c>
      <c r="C81" s="234" t="s">
        <v>93</v>
      </c>
      <c r="D81" s="235">
        <v>4.0</v>
      </c>
      <c r="E81" s="235">
        <v>0.0</v>
      </c>
      <c r="F81" s="235">
        <v>0.0</v>
      </c>
      <c r="G81" s="235">
        <v>0.0</v>
      </c>
      <c r="H81" s="235">
        <v>0.0</v>
      </c>
      <c r="I81" s="235">
        <v>0.0</v>
      </c>
      <c r="J81" s="97">
        <v>3.0</v>
      </c>
      <c r="K81" s="97">
        <v>0.7</v>
      </c>
      <c r="L81" s="97">
        <v>0.0</v>
      </c>
      <c r="M81" s="97">
        <v>0.0</v>
      </c>
      <c r="N81" s="97">
        <v>0.3</v>
      </c>
      <c r="O81" s="97">
        <v>0.0</v>
      </c>
      <c r="P81" s="180">
        <v>1.0</v>
      </c>
      <c r="Q81" s="180">
        <v>1.0</v>
      </c>
      <c r="R81" s="62"/>
      <c r="S81" s="176">
        <v>0.0</v>
      </c>
      <c r="T81" s="176">
        <v>0.0</v>
      </c>
      <c r="U81" s="176">
        <v>0.0</v>
      </c>
      <c r="V81" s="176">
        <v>0.0</v>
      </c>
      <c r="W81" s="176">
        <v>0.0</v>
      </c>
      <c r="X81" s="62"/>
      <c r="Y81" s="176">
        <v>0.0</v>
      </c>
      <c r="Z81" s="176">
        <v>0.0</v>
      </c>
      <c r="AA81" s="176">
        <v>0.0</v>
      </c>
      <c r="AB81" s="176">
        <v>0.0</v>
      </c>
      <c r="AC81" s="176">
        <v>0.0</v>
      </c>
      <c r="AD81" s="176">
        <v>0.0</v>
      </c>
      <c r="AE81" s="176">
        <v>0.0</v>
      </c>
      <c r="AF81" s="62"/>
      <c r="AG81" s="47"/>
      <c r="AH81" s="54"/>
      <c r="AI81" s="54"/>
      <c r="AJ81" s="47"/>
      <c r="AK81" s="47"/>
      <c r="AL81" s="54"/>
      <c r="AM81" s="54"/>
      <c r="AN81" s="62"/>
      <c r="AO81" s="184">
        <f t="shared" ref="AO81:AS81" si="153">ROUND(E81*(5/12)+K81*(5/12)+S81+Y81-AG81,2)</f>
        <v>0.29</v>
      </c>
      <c r="AP81" s="184">
        <f t="shared" si="153"/>
        <v>0</v>
      </c>
      <c r="AQ81" s="184">
        <f t="shared" si="153"/>
        <v>0</v>
      </c>
      <c r="AR81" s="184">
        <f t="shared" si="153"/>
        <v>0.13</v>
      </c>
      <c r="AS81" s="184">
        <f t="shared" si="153"/>
        <v>0</v>
      </c>
      <c r="AT81" s="184">
        <f t="shared" ref="AT81:AU81" si="154">P81+AD81-AL81</f>
        <v>1</v>
      </c>
      <c r="AU81" s="184">
        <f t="shared" si="154"/>
        <v>1</v>
      </c>
      <c r="AV81" s="62"/>
      <c r="AW81" s="176">
        <v>0.0</v>
      </c>
      <c r="AX81" s="176" t="s">
        <v>913</v>
      </c>
      <c r="AY81" s="176" t="s">
        <v>913</v>
      </c>
      <c r="AZ81" s="176">
        <v>0.0</v>
      </c>
      <c r="BA81" s="176" t="s">
        <v>913</v>
      </c>
      <c r="BB81" s="176">
        <v>1.0</v>
      </c>
      <c r="BC81" s="176">
        <v>1.0</v>
      </c>
      <c r="BD81" s="195" t="s">
        <v>1302</v>
      </c>
      <c r="BE81" s="62"/>
      <c r="BF81" s="62"/>
      <c r="BG81" s="62"/>
      <c r="BH81" s="54"/>
      <c r="BI81" s="54"/>
      <c r="BJ81" s="54"/>
      <c r="BK81" s="54"/>
      <c r="BL81" s="54"/>
      <c r="BM81" s="54"/>
      <c r="BN81" s="54"/>
      <c r="BO81" s="57"/>
      <c r="BP81" s="58" t="s">
        <v>1152</v>
      </c>
      <c r="BQ81" s="57"/>
      <c r="BR81" s="57"/>
    </row>
    <row r="82">
      <c r="A82" s="176">
        <v>78.0</v>
      </c>
      <c r="B82" s="177" t="s">
        <v>118</v>
      </c>
      <c r="C82" s="234" t="s">
        <v>93</v>
      </c>
      <c r="D82" s="237"/>
      <c r="E82" s="237"/>
      <c r="F82" s="237"/>
      <c r="G82" s="237"/>
      <c r="H82" s="237"/>
      <c r="I82" s="237"/>
      <c r="J82" s="97">
        <v>4.0</v>
      </c>
      <c r="K82" s="97">
        <v>0.0</v>
      </c>
      <c r="L82" s="97">
        <v>0.0</v>
      </c>
      <c r="M82" s="97">
        <v>0.0</v>
      </c>
      <c r="N82" s="97">
        <v>0.0</v>
      </c>
      <c r="O82" s="97">
        <v>0.0</v>
      </c>
      <c r="P82" s="180">
        <v>1.0</v>
      </c>
      <c r="Q82" s="180">
        <v>1.0</v>
      </c>
      <c r="R82" s="62"/>
      <c r="S82" s="176">
        <v>0.0</v>
      </c>
      <c r="T82" s="176">
        <v>0.0</v>
      </c>
      <c r="U82" s="176">
        <v>0.0</v>
      </c>
      <c r="V82" s="176">
        <v>0.0</v>
      </c>
      <c r="W82" s="176">
        <v>0.0</v>
      </c>
      <c r="X82" s="62"/>
      <c r="Y82" s="176">
        <v>0.0</v>
      </c>
      <c r="Z82" s="176">
        <v>0.0</v>
      </c>
      <c r="AA82" s="176">
        <v>0.0</v>
      </c>
      <c r="AB82" s="176">
        <v>0.0</v>
      </c>
      <c r="AC82" s="176">
        <v>0.0</v>
      </c>
      <c r="AD82" s="176">
        <v>0.0</v>
      </c>
      <c r="AE82" s="176">
        <v>0.0</v>
      </c>
      <c r="AF82" s="62"/>
      <c r="AG82" s="47"/>
      <c r="AH82" s="54"/>
      <c r="AI82" s="54"/>
      <c r="AJ82" s="47"/>
      <c r="AK82" s="47"/>
      <c r="AL82" s="54"/>
      <c r="AM82" s="54"/>
      <c r="AN82" s="62"/>
      <c r="AO82" s="184">
        <f t="shared" ref="AO82:AS82" si="155">ROUND(E82*(5/12)+K82*(5/12)+S82+Y82-AG82,2)</f>
        <v>0</v>
      </c>
      <c r="AP82" s="184">
        <f t="shared" si="155"/>
        <v>0</v>
      </c>
      <c r="AQ82" s="184">
        <f t="shared" si="155"/>
        <v>0</v>
      </c>
      <c r="AR82" s="184">
        <f t="shared" si="155"/>
        <v>0</v>
      </c>
      <c r="AS82" s="184">
        <f t="shared" si="155"/>
        <v>0</v>
      </c>
      <c r="AT82" s="184">
        <f t="shared" ref="AT82:AU82" si="156">P82+AD82-AL82</f>
        <v>1</v>
      </c>
      <c r="AU82" s="184">
        <f t="shared" si="156"/>
        <v>1</v>
      </c>
      <c r="AV82" s="62"/>
      <c r="AW82" s="176" t="s">
        <v>913</v>
      </c>
      <c r="AX82" s="176" t="s">
        <v>913</v>
      </c>
      <c r="AY82" s="176" t="s">
        <v>913</v>
      </c>
      <c r="AZ82" s="176" t="s">
        <v>913</v>
      </c>
      <c r="BA82" s="176" t="s">
        <v>913</v>
      </c>
      <c r="BB82" s="176">
        <v>0.0</v>
      </c>
      <c r="BC82" s="176">
        <v>0.0</v>
      </c>
      <c r="BD82" s="195" t="s">
        <v>1303</v>
      </c>
      <c r="BE82" s="62"/>
      <c r="BF82" s="62"/>
      <c r="BG82" s="62"/>
      <c r="BH82" s="72"/>
      <c r="BI82" s="72"/>
      <c r="BJ82" s="77"/>
      <c r="BK82" s="77"/>
      <c r="BL82" s="77"/>
      <c r="BM82" s="72"/>
      <c r="BN82" s="54"/>
      <c r="BO82" s="57"/>
      <c r="BP82" s="58"/>
      <c r="BQ82" s="57"/>
      <c r="BR82" s="57"/>
    </row>
    <row r="83">
      <c r="A83" s="176">
        <v>79.0</v>
      </c>
      <c r="B83" s="177" t="s">
        <v>119</v>
      </c>
      <c r="C83" s="234" t="s">
        <v>93</v>
      </c>
      <c r="D83" s="237"/>
      <c r="E83" s="237"/>
      <c r="F83" s="237"/>
      <c r="G83" s="237"/>
      <c r="H83" s="237"/>
      <c r="I83" s="237"/>
      <c r="J83" s="97">
        <v>3.83</v>
      </c>
      <c r="K83" s="97">
        <v>0.17</v>
      </c>
      <c r="L83" s="97">
        <v>0.0</v>
      </c>
      <c r="M83" s="97">
        <v>0.0</v>
      </c>
      <c r="N83" s="97">
        <v>0.0</v>
      </c>
      <c r="O83" s="97">
        <v>0.0</v>
      </c>
      <c r="P83" s="180">
        <v>1.0</v>
      </c>
      <c r="Q83" s="180">
        <v>1.0</v>
      </c>
      <c r="R83" s="62"/>
      <c r="S83" s="176">
        <v>0.0</v>
      </c>
      <c r="T83" s="176">
        <v>0.0</v>
      </c>
      <c r="U83" s="176">
        <v>0.0</v>
      </c>
      <c r="V83" s="176">
        <v>0.0</v>
      </c>
      <c r="W83" s="176">
        <v>0.0</v>
      </c>
      <c r="X83" s="62"/>
      <c r="Y83" s="176">
        <v>0.0</v>
      </c>
      <c r="Z83" s="176">
        <v>0.0</v>
      </c>
      <c r="AA83" s="176">
        <v>0.0</v>
      </c>
      <c r="AB83" s="176">
        <v>0.0</v>
      </c>
      <c r="AC83" s="176">
        <v>0.0</v>
      </c>
      <c r="AD83" s="176">
        <v>0.0</v>
      </c>
      <c r="AE83" s="176">
        <v>0.0</v>
      </c>
      <c r="AF83" s="62"/>
      <c r="AG83" s="47"/>
      <c r="AH83" s="54"/>
      <c r="AI83" s="54"/>
      <c r="AJ83" s="47"/>
      <c r="AK83" s="47"/>
      <c r="AL83" s="54"/>
      <c r="AM83" s="54"/>
      <c r="AN83" s="62"/>
      <c r="AO83" s="184">
        <f t="shared" ref="AO83:AS83" si="157">ROUND(E83*(5/12)+K83*(5/12)+S83+Y83-AG83,2)</f>
        <v>0.07</v>
      </c>
      <c r="AP83" s="184">
        <f t="shared" si="157"/>
        <v>0</v>
      </c>
      <c r="AQ83" s="184">
        <f t="shared" si="157"/>
        <v>0</v>
      </c>
      <c r="AR83" s="184">
        <f t="shared" si="157"/>
        <v>0</v>
      </c>
      <c r="AS83" s="184">
        <f t="shared" si="157"/>
        <v>0</v>
      </c>
      <c r="AT83" s="184">
        <f t="shared" ref="AT83:AU83" si="158">P83+AD83-AL83</f>
        <v>1</v>
      </c>
      <c r="AU83" s="184">
        <f t="shared" si="158"/>
        <v>1</v>
      </c>
      <c r="AV83" s="62"/>
      <c r="AW83" s="176">
        <v>0.0</v>
      </c>
      <c r="AX83" s="176" t="s">
        <v>913</v>
      </c>
      <c r="AY83" s="176" t="s">
        <v>913</v>
      </c>
      <c r="AZ83" s="176" t="s">
        <v>913</v>
      </c>
      <c r="BA83" s="176" t="s">
        <v>913</v>
      </c>
      <c r="BB83" s="176">
        <v>0.0</v>
      </c>
      <c r="BC83" s="176">
        <v>0.0</v>
      </c>
      <c r="BD83" s="195" t="s">
        <v>1304</v>
      </c>
      <c r="BE83" s="62"/>
      <c r="BF83" s="62"/>
      <c r="BG83" s="62"/>
      <c r="BH83" s="72"/>
      <c r="BI83" s="72"/>
      <c r="BJ83" s="77"/>
      <c r="BK83" s="77"/>
      <c r="BL83" s="77"/>
      <c r="BM83" s="72"/>
      <c r="BN83" s="54"/>
      <c r="BO83" s="57"/>
      <c r="BP83" s="58"/>
      <c r="BQ83" s="57"/>
      <c r="BR83" s="57"/>
    </row>
    <row r="84">
      <c r="A84" s="176">
        <v>80.0</v>
      </c>
      <c r="B84" s="177" t="s">
        <v>120</v>
      </c>
      <c r="C84" s="234" t="s">
        <v>93</v>
      </c>
      <c r="D84" s="237"/>
      <c r="E84" s="237"/>
      <c r="F84" s="237"/>
      <c r="G84" s="237"/>
      <c r="H84" s="237"/>
      <c r="I84" s="237"/>
      <c r="J84" s="97">
        <v>4.0</v>
      </c>
      <c r="K84" s="97">
        <v>0.0</v>
      </c>
      <c r="L84" s="97">
        <v>0.0</v>
      </c>
      <c r="M84" s="97">
        <v>0.0</v>
      </c>
      <c r="N84" s="97">
        <v>0.0</v>
      </c>
      <c r="O84" s="97">
        <v>0.0</v>
      </c>
      <c r="P84" s="180">
        <v>1.0</v>
      </c>
      <c r="Q84" s="180">
        <v>1.0</v>
      </c>
      <c r="R84" s="62"/>
      <c r="S84" s="176">
        <v>0.0</v>
      </c>
      <c r="T84" s="176">
        <v>0.0</v>
      </c>
      <c r="U84" s="176">
        <v>0.0</v>
      </c>
      <c r="V84" s="176">
        <v>0.0</v>
      </c>
      <c r="W84" s="176">
        <v>0.0</v>
      </c>
      <c r="X84" s="62"/>
      <c r="Y84" s="176">
        <v>0.0</v>
      </c>
      <c r="Z84" s="176">
        <v>0.0</v>
      </c>
      <c r="AA84" s="176">
        <v>0.0</v>
      </c>
      <c r="AB84" s="176">
        <v>0.0</v>
      </c>
      <c r="AC84" s="176">
        <v>0.0</v>
      </c>
      <c r="AD84" s="176">
        <v>0.0</v>
      </c>
      <c r="AE84" s="176">
        <v>0.0</v>
      </c>
      <c r="AF84" s="62"/>
      <c r="AG84" s="47"/>
      <c r="AH84" s="54"/>
      <c r="AI84" s="54"/>
      <c r="AJ84" s="47"/>
      <c r="AK84" s="47"/>
      <c r="AL84" s="54"/>
      <c r="AM84" s="54"/>
      <c r="AN84" s="62"/>
      <c r="AO84" s="184">
        <f t="shared" ref="AO84:AS84" si="159">ROUND(E84*(5/12)+K84*(5/12)+S84+Y84-AG84,2)</f>
        <v>0</v>
      </c>
      <c r="AP84" s="184">
        <f t="shared" si="159"/>
        <v>0</v>
      </c>
      <c r="AQ84" s="184">
        <f t="shared" si="159"/>
        <v>0</v>
      </c>
      <c r="AR84" s="184">
        <f t="shared" si="159"/>
        <v>0</v>
      </c>
      <c r="AS84" s="184">
        <f t="shared" si="159"/>
        <v>0</v>
      </c>
      <c r="AT84" s="184">
        <f t="shared" ref="AT84:AU84" si="160">P84+AD84-AL84</f>
        <v>1</v>
      </c>
      <c r="AU84" s="184">
        <f t="shared" si="160"/>
        <v>1</v>
      </c>
      <c r="AV84" s="62"/>
      <c r="AW84" s="176" t="s">
        <v>913</v>
      </c>
      <c r="AX84" s="176" t="s">
        <v>913</v>
      </c>
      <c r="AY84" s="176" t="s">
        <v>913</v>
      </c>
      <c r="AZ84" s="176" t="s">
        <v>913</v>
      </c>
      <c r="BA84" s="176" t="s">
        <v>913</v>
      </c>
      <c r="BB84" s="176">
        <v>0.0</v>
      </c>
      <c r="BC84" s="176">
        <v>0.0</v>
      </c>
      <c r="BD84" s="195" t="s">
        <v>1303</v>
      </c>
      <c r="BE84" s="62"/>
      <c r="BF84" s="62"/>
      <c r="BG84" s="62"/>
      <c r="BH84" s="72"/>
      <c r="BI84" s="72"/>
      <c r="BJ84" s="77"/>
      <c r="BK84" s="77"/>
      <c r="BL84" s="77"/>
      <c r="BM84" s="72"/>
      <c r="BN84" s="54"/>
      <c r="BO84" s="57"/>
      <c r="BP84" s="58"/>
      <c r="BQ84" s="57"/>
      <c r="BR84" s="57"/>
    </row>
    <row r="85">
      <c r="A85" s="176">
        <v>81.0</v>
      </c>
      <c r="B85" s="227" t="s">
        <v>1305</v>
      </c>
      <c r="C85" s="178" t="s">
        <v>161</v>
      </c>
      <c r="D85" s="235">
        <v>0.0</v>
      </c>
      <c r="E85" s="235">
        <v>0.35</v>
      </c>
      <c r="F85" s="235">
        <v>0.0</v>
      </c>
      <c r="G85" s="235">
        <v>0.65</v>
      </c>
      <c r="H85" s="235">
        <v>0.0</v>
      </c>
      <c r="I85" s="235">
        <v>0.0</v>
      </c>
      <c r="J85" s="97">
        <v>0.0</v>
      </c>
      <c r="K85" s="97">
        <v>0.0</v>
      </c>
      <c r="L85" s="97">
        <v>0.0</v>
      </c>
      <c r="M85" s="97">
        <v>0.0</v>
      </c>
      <c r="N85" s="97">
        <v>0.0</v>
      </c>
      <c r="O85" s="97">
        <v>0.0</v>
      </c>
      <c r="P85" s="180">
        <v>1.0</v>
      </c>
      <c r="Q85" s="180">
        <v>1.0</v>
      </c>
      <c r="R85" s="62"/>
      <c r="S85" s="182">
        <v>0.0</v>
      </c>
      <c r="T85" s="183">
        <v>0.0</v>
      </c>
      <c r="U85" s="183">
        <v>0.08</v>
      </c>
      <c r="V85" s="183">
        <v>0.0</v>
      </c>
      <c r="W85" s="183">
        <v>0.0</v>
      </c>
      <c r="X85" s="62"/>
      <c r="Y85" s="176">
        <v>0.0</v>
      </c>
      <c r="Z85" s="176">
        <v>0.0</v>
      </c>
      <c r="AA85" s="176">
        <v>0.0</v>
      </c>
      <c r="AB85" s="176">
        <v>0.0</v>
      </c>
      <c r="AC85" s="176">
        <v>0.0</v>
      </c>
      <c r="AD85" s="176">
        <v>0.0</v>
      </c>
      <c r="AE85" s="176">
        <v>0.0</v>
      </c>
      <c r="AF85" s="62"/>
      <c r="AG85" s="47"/>
      <c r="AH85" s="54"/>
      <c r="AI85" s="54"/>
      <c r="AJ85" s="47"/>
      <c r="AK85" s="47"/>
      <c r="AL85" s="54"/>
      <c r="AM85" s="54"/>
      <c r="AN85" s="62"/>
      <c r="AO85" s="184">
        <f t="shared" ref="AO85:AS85" si="161">ROUND(E85*(5/12)+K85*(5/12)+S85+Y85-AG85,2)</f>
        <v>0.15</v>
      </c>
      <c r="AP85" s="184">
        <f t="shared" si="161"/>
        <v>0</v>
      </c>
      <c r="AQ85" s="184">
        <f t="shared" si="161"/>
        <v>0.35</v>
      </c>
      <c r="AR85" s="184">
        <f t="shared" si="161"/>
        <v>0</v>
      </c>
      <c r="AS85" s="184">
        <f t="shared" si="161"/>
        <v>0</v>
      </c>
      <c r="AT85" s="184">
        <f t="shared" ref="AT85:AU85" si="162">P85+AD85-AL85</f>
        <v>1</v>
      </c>
      <c r="AU85" s="184">
        <f t="shared" si="162"/>
        <v>1</v>
      </c>
      <c r="AV85" s="62"/>
      <c r="AW85" s="176">
        <v>0.5</v>
      </c>
      <c r="AX85" s="176" t="s">
        <v>913</v>
      </c>
      <c r="AY85" s="176">
        <v>0.0</v>
      </c>
      <c r="AZ85" s="176" t="s">
        <v>913</v>
      </c>
      <c r="BA85" s="176" t="s">
        <v>913</v>
      </c>
      <c r="BB85" s="176">
        <v>1.0</v>
      </c>
      <c r="BC85" s="176">
        <v>0.0</v>
      </c>
      <c r="BD85" s="195" t="s">
        <v>1306</v>
      </c>
      <c r="BE85" s="62"/>
      <c r="BF85" s="62"/>
      <c r="BG85" s="62"/>
      <c r="BH85" s="72"/>
      <c r="BI85" s="72"/>
      <c r="BJ85" s="77"/>
      <c r="BK85" s="77"/>
      <c r="BL85" s="77"/>
      <c r="BM85" s="72"/>
      <c r="BN85" s="54"/>
      <c r="BO85" s="57"/>
      <c r="BP85" s="58" t="s">
        <v>1152</v>
      </c>
      <c r="BQ85" s="58" t="s">
        <v>1152</v>
      </c>
      <c r="BR85" s="57"/>
    </row>
    <row r="86">
      <c r="A86" s="176">
        <v>82.0</v>
      </c>
      <c r="B86" s="231" t="s">
        <v>1307</v>
      </c>
      <c r="C86" s="232" t="s">
        <v>161</v>
      </c>
      <c r="D86" s="235">
        <v>2.34</v>
      </c>
      <c r="E86" s="235">
        <v>0.0</v>
      </c>
      <c r="F86" s="235">
        <v>1.3</v>
      </c>
      <c r="G86" s="235">
        <v>0.0</v>
      </c>
      <c r="H86" s="235">
        <v>0.36</v>
      </c>
      <c r="I86" s="235">
        <v>0.0</v>
      </c>
      <c r="J86" s="97">
        <v>3.34</v>
      </c>
      <c r="K86" s="97">
        <v>0.0</v>
      </c>
      <c r="L86" s="97">
        <v>0.66</v>
      </c>
      <c r="M86" s="97">
        <v>0.0</v>
      </c>
      <c r="N86" s="97">
        <v>0.0</v>
      </c>
      <c r="O86" s="97">
        <v>0.0</v>
      </c>
      <c r="P86" s="180">
        <v>1.0</v>
      </c>
      <c r="Q86" s="180">
        <v>1.0</v>
      </c>
      <c r="R86" s="62"/>
      <c r="S86" s="182">
        <v>0.0</v>
      </c>
      <c r="T86" s="183">
        <v>0.08</v>
      </c>
      <c r="U86" s="183">
        <v>0.0</v>
      </c>
      <c r="V86" s="183">
        <v>0.05</v>
      </c>
      <c r="W86" s="183">
        <v>0.0</v>
      </c>
      <c r="X86" s="62"/>
      <c r="Y86" s="176">
        <v>0.0</v>
      </c>
      <c r="Z86" s="176">
        <v>0.0</v>
      </c>
      <c r="AA86" s="176">
        <v>0.0</v>
      </c>
      <c r="AB86" s="176">
        <v>0.0</v>
      </c>
      <c r="AC86" s="176">
        <v>0.0</v>
      </c>
      <c r="AD86" s="176">
        <v>0.0</v>
      </c>
      <c r="AE86" s="176">
        <v>0.0</v>
      </c>
      <c r="AF86" s="62"/>
      <c r="AG86" s="47"/>
      <c r="AH86" s="54"/>
      <c r="AI86" s="54"/>
      <c r="AJ86" s="47"/>
      <c r="AK86" s="47"/>
      <c r="AL86" s="54"/>
      <c r="AM86" s="54"/>
      <c r="AN86" s="62"/>
      <c r="AO86" s="184">
        <f t="shared" ref="AO86:AS86" si="163">ROUND(E86*(5/12)+K86*(5/12)+S86+Y86-AG86,2)</f>
        <v>0</v>
      </c>
      <c r="AP86" s="184">
        <f t="shared" si="163"/>
        <v>0.9</v>
      </c>
      <c r="AQ86" s="184">
        <f t="shared" si="163"/>
        <v>0</v>
      </c>
      <c r="AR86" s="184">
        <f t="shared" si="163"/>
        <v>0.2</v>
      </c>
      <c r="AS86" s="184">
        <f t="shared" si="163"/>
        <v>0</v>
      </c>
      <c r="AT86" s="184">
        <f t="shared" ref="AT86:AU86" si="164">P86+AD86-AL86</f>
        <v>1</v>
      </c>
      <c r="AU86" s="184">
        <f t="shared" si="164"/>
        <v>1</v>
      </c>
      <c r="AV86" s="62"/>
      <c r="AW86" s="176" t="s">
        <v>913</v>
      </c>
      <c r="AX86" s="176">
        <v>0.0</v>
      </c>
      <c r="AY86" s="176" t="s">
        <v>913</v>
      </c>
      <c r="AZ86" s="176">
        <v>0.0</v>
      </c>
      <c r="BA86" s="176" t="s">
        <v>913</v>
      </c>
      <c r="BB86" s="176">
        <v>0.0</v>
      </c>
      <c r="BC86" s="176">
        <v>0.0</v>
      </c>
      <c r="BD86" s="195" t="s">
        <v>1308</v>
      </c>
      <c r="BE86" s="62"/>
      <c r="BF86" s="62"/>
      <c r="BG86" s="62"/>
      <c r="BH86" s="54"/>
      <c r="BI86" s="54"/>
      <c r="BJ86" s="54"/>
      <c r="BK86" s="54"/>
      <c r="BL86" s="54"/>
      <c r="BM86" s="54"/>
      <c r="BN86" s="54"/>
      <c r="BO86" s="57"/>
      <c r="BP86" s="57"/>
      <c r="BQ86" s="57"/>
      <c r="BR86" s="57"/>
    </row>
    <row r="87">
      <c r="A87" s="176">
        <v>83.0</v>
      </c>
      <c r="B87" s="208" t="s">
        <v>163</v>
      </c>
      <c r="C87" s="234" t="s">
        <v>161</v>
      </c>
      <c r="D87" s="235">
        <v>3.0</v>
      </c>
      <c r="E87" s="235">
        <v>0.0</v>
      </c>
      <c r="F87" s="235">
        <v>1.0</v>
      </c>
      <c r="G87" s="235">
        <v>0.0</v>
      </c>
      <c r="H87" s="235">
        <v>0.2</v>
      </c>
      <c r="I87" s="235">
        <v>0.0</v>
      </c>
      <c r="J87" s="97">
        <v>3.01</v>
      </c>
      <c r="K87" s="97">
        <v>0.0</v>
      </c>
      <c r="L87" s="97">
        <v>1.0</v>
      </c>
      <c r="M87" s="97">
        <v>0.0</v>
      </c>
      <c r="N87" s="97">
        <v>0.0</v>
      </c>
      <c r="O87" s="97">
        <v>0.0</v>
      </c>
      <c r="P87" s="180">
        <v>1.0</v>
      </c>
      <c r="Q87" s="180">
        <v>1.0</v>
      </c>
      <c r="R87" s="62"/>
      <c r="S87" s="187">
        <v>0.0</v>
      </c>
      <c r="T87" s="188">
        <v>0.13</v>
      </c>
      <c r="U87" s="188">
        <v>0.0</v>
      </c>
      <c r="V87" s="188">
        <v>0.0</v>
      </c>
      <c r="W87" s="188">
        <v>0.03</v>
      </c>
      <c r="X87" s="62"/>
      <c r="Y87" s="176">
        <v>0.0</v>
      </c>
      <c r="Z87" s="176">
        <v>0.0</v>
      </c>
      <c r="AA87" s="176">
        <v>0.0</v>
      </c>
      <c r="AB87" s="176">
        <v>0.0</v>
      </c>
      <c r="AC87" s="176">
        <v>0.0</v>
      </c>
      <c r="AD87" s="176">
        <v>0.0</v>
      </c>
      <c r="AE87" s="176">
        <v>0.0</v>
      </c>
      <c r="AF87" s="62"/>
      <c r="AG87" s="47"/>
      <c r="AH87" s="54"/>
      <c r="AI87" s="54"/>
      <c r="AJ87" s="47"/>
      <c r="AK87" s="47"/>
      <c r="AL87" s="54"/>
      <c r="AM87" s="54"/>
      <c r="AN87" s="62"/>
      <c r="AO87" s="184">
        <f t="shared" ref="AO87:AS87" si="165">ROUND(E87*(5/12)+K87*(5/12)+S87+Y87-AG87,2)</f>
        <v>0</v>
      </c>
      <c r="AP87" s="184">
        <f t="shared" si="165"/>
        <v>0.96</v>
      </c>
      <c r="AQ87" s="184">
        <f t="shared" si="165"/>
        <v>0</v>
      </c>
      <c r="AR87" s="184">
        <f t="shared" si="165"/>
        <v>0.08</v>
      </c>
      <c r="AS87" s="184">
        <f t="shared" si="165"/>
        <v>0.03</v>
      </c>
      <c r="AT87" s="184">
        <f t="shared" ref="AT87:AU87" si="166">P87+AD87-AL87</f>
        <v>1</v>
      </c>
      <c r="AU87" s="184">
        <f t="shared" si="166"/>
        <v>1</v>
      </c>
      <c r="AV87" s="62"/>
      <c r="AW87" s="176" t="s">
        <v>913</v>
      </c>
      <c r="AX87" s="176">
        <v>0.0</v>
      </c>
      <c r="AY87" s="176" t="s">
        <v>913</v>
      </c>
      <c r="AZ87" s="176">
        <v>0.0</v>
      </c>
      <c r="BA87" s="176">
        <v>0.0</v>
      </c>
      <c r="BB87" s="176">
        <v>0.0</v>
      </c>
      <c r="BC87" s="176">
        <v>0.0</v>
      </c>
      <c r="BD87" s="195" t="s">
        <v>1309</v>
      </c>
      <c r="BE87" s="62"/>
      <c r="BF87" s="62"/>
      <c r="BG87" s="62"/>
      <c r="BH87" s="54"/>
      <c r="BI87" s="54"/>
      <c r="BJ87" s="54"/>
      <c r="BK87" s="54"/>
      <c r="BL87" s="54"/>
      <c r="BM87" s="54"/>
      <c r="BN87" s="54"/>
      <c r="BO87" s="57"/>
      <c r="BP87" s="58" t="s">
        <v>1152</v>
      </c>
      <c r="BQ87" s="57"/>
      <c r="BR87" s="57"/>
    </row>
    <row r="88">
      <c r="A88" s="176">
        <v>84.0</v>
      </c>
      <c r="B88" s="208" t="s">
        <v>164</v>
      </c>
      <c r="C88" s="234" t="s">
        <v>161</v>
      </c>
      <c r="D88" s="235">
        <v>3.0</v>
      </c>
      <c r="E88" s="235">
        <v>0.0</v>
      </c>
      <c r="F88" s="235">
        <v>0.0</v>
      </c>
      <c r="G88" s="235">
        <v>0.0</v>
      </c>
      <c r="H88" s="235">
        <v>0.67</v>
      </c>
      <c r="I88" s="235">
        <v>0.33</v>
      </c>
      <c r="J88" s="97">
        <v>3.34</v>
      </c>
      <c r="K88" s="97">
        <v>0.0</v>
      </c>
      <c r="L88" s="97">
        <v>0.0</v>
      </c>
      <c r="M88" s="97">
        <v>0.0</v>
      </c>
      <c r="N88" s="97">
        <v>0.66</v>
      </c>
      <c r="O88" s="97">
        <v>0.0</v>
      </c>
      <c r="P88" s="180">
        <v>1.0</v>
      </c>
      <c r="Q88" s="180">
        <v>1.0</v>
      </c>
      <c r="R88" s="62"/>
      <c r="S88" s="187">
        <v>0.08</v>
      </c>
      <c r="T88" s="188">
        <v>0.0</v>
      </c>
      <c r="U88" s="188">
        <v>0.0</v>
      </c>
      <c r="V88" s="188">
        <v>0.06</v>
      </c>
      <c r="W88" s="188">
        <v>0.04</v>
      </c>
      <c r="X88" s="62"/>
      <c r="Y88" s="176">
        <v>0.0</v>
      </c>
      <c r="Z88" s="176">
        <v>0.0</v>
      </c>
      <c r="AA88" s="176">
        <v>0.0</v>
      </c>
      <c r="AB88" s="176">
        <v>0.0</v>
      </c>
      <c r="AC88" s="176">
        <v>0.0</v>
      </c>
      <c r="AD88" s="176">
        <v>0.0</v>
      </c>
      <c r="AE88" s="176">
        <v>0.0</v>
      </c>
      <c r="AF88" s="62"/>
      <c r="AG88" s="47"/>
      <c r="AH88" s="54"/>
      <c r="AI88" s="54"/>
      <c r="AJ88" s="47">
        <v>0.06</v>
      </c>
      <c r="AK88" s="47"/>
      <c r="AL88" s="54"/>
      <c r="AM88" s="54"/>
      <c r="AN88" s="62"/>
      <c r="AO88" s="184">
        <f t="shared" ref="AO88:AS88" si="167">ROUND(E88*(5/12)+K88*(5/12)+S88+Y88-AG88,2)</f>
        <v>0.08</v>
      </c>
      <c r="AP88" s="184">
        <f t="shared" si="167"/>
        <v>0</v>
      </c>
      <c r="AQ88" s="184">
        <f t="shared" si="167"/>
        <v>0</v>
      </c>
      <c r="AR88" s="184">
        <f t="shared" si="167"/>
        <v>0.55</v>
      </c>
      <c r="AS88" s="184">
        <f t="shared" si="167"/>
        <v>0.18</v>
      </c>
      <c r="AT88" s="184">
        <f t="shared" ref="AT88:AU88" si="168">P88+AD88-AL88</f>
        <v>1</v>
      </c>
      <c r="AU88" s="184">
        <f t="shared" si="168"/>
        <v>1</v>
      </c>
      <c r="AV88" s="62"/>
      <c r="AW88" s="176">
        <v>0.5</v>
      </c>
      <c r="AX88" s="176" t="s">
        <v>913</v>
      </c>
      <c r="AY88" s="176" t="s">
        <v>913</v>
      </c>
      <c r="AZ88" s="176">
        <v>0.66</v>
      </c>
      <c r="BA88" s="176">
        <v>0.0</v>
      </c>
      <c r="BB88" s="176">
        <v>1.0</v>
      </c>
      <c r="BC88" s="176">
        <v>1.0</v>
      </c>
      <c r="BD88" s="180" t="s">
        <v>1310</v>
      </c>
      <c r="BE88" s="62"/>
      <c r="BF88" s="62"/>
      <c r="BG88" s="62"/>
      <c r="BH88" s="54"/>
      <c r="BI88" s="54"/>
      <c r="BJ88" s="54"/>
      <c r="BK88" s="54"/>
      <c r="BL88" s="54"/>
      <c r="BM88" s="54"/>
      <c r="BN88" s="54"/>
      <c r="BO88" s="57"/>
      <c r="BP88" s="58" t="s">
        <v>1152</v>
      </c>
      <c r="BQ88" s="57"/>
      <c r="BR88" s="57"/>
    </row>
    <row r="89">
      <c r="A89" s="176">
        <v>85.0</v>
      </c>
      <c r="B89" s="208" t="s">
        <v>1311</v>
      </c>
      <c r="C89" s="234" t="s">
        <v>161</v>
      </c>
      <c r="D89" s="235">
        <v>2.51</v>
      </c>
      <c r="E89" s="235">
        <v>0.87</v>
      </c>
      <c r="F89" s="235">
        <v>0.0</v>
      </c>
      <c r="G89" s="235">
        <v>0.0</v>
      </c>
      <c r="H89" s="235">
        <v>0.0</v>
      </c>
      <c r="I89" s="235">
        <v>0.62</v>
      </c>
      <c r="J89" s="97">
        <v>2.01</v>
      </c>
      <c r="K89" s="97">
        <v>0.2</v>
      </c>
      <c r="L89" s="97">
        <v>0.64</v>
      </c>
      <c r="M89" s="97">
        <v>0.0</v>
      </c>
      <c r="N89" s="97">
        <v>0.0</v>
      </c>
      <c r="O89" s="97">
        <v>1.15</v>
      </c>
      <c r="P89" s="180">
        <v>1.0</v>
      </c>
      <c r="Q89" s="180">
        <v>1.0</v>
      </c>
      <c r="R89" s="62"/>
      <c r="S89" s="187">
        <v>0.17</v>
      </c>
      <c r="T89" s="188">
        <v>0.0</v>
      </c>
      <c r="U89" s="188">
        <v>0.13</v>
      </c>
      <c r="V89" s="188">
        <v>0.0</v>
      </c>
      <c r="W89" s="188">
        <v>0.03</v>
      </c>
      <c r="X89" s="62"/>
      <c r="Y89" s="176">
        <v>0.0</v>
      </c>
      <c r="Z89" s="176">
        <v>0.0</v>
      </c>
      <c r="AA89" s="176">
        <v>0.0</v>
      </c>
      <c r="AB89" s="176">
        <v>0.0</v>
      </c>
      <c r="AC89" s="176">
        <v>0.0</v>
      </c>
      <c r="AD89" s="176">
        <v>0.0</v>
      </c>
      <c r="AE89" s="176">
        <v>0.0</v>
      </c>
      <c r="AF89" s="62"/>
      <c r="AG89" s="47"/>
      <c r="AH89" s="54"/>
      <c r="AI89" s="54"/>
      <c r="AJ89" s="47"/>
      <c r="AK89" s="47"/>
      <c r="AL89" s="54"/>
      <c r="AM89" s="54"/>
      <c r="AN89" s="62"/>
      <c r="AO89" s="184">
        <f t="shared" ref="AO89:AS89" si="169">ROUND(E89*(5/12)+K89*(5/12)+S89+Y89-AG89,2)</f>
        <v>0.62</v>
      </c>
      <c r="AP89" s="184">
        <f t="shared" si="169"/>
        <v>0.27</v>
      </c>
      <c r="AQ89" s="184">
        <f t="shared" si="169"/>
        <v>0.13</v>
      </c>
      <c r="AR89" s="184">
        <f t="shared" si="169"/>
        <v>0</v>
      </c>
      <c r="AS89" s="184">
        <f t="shared" si="169"/>
        <v>0.77</v>
      </c>
      <c r="AT89" s="184">
        <f t="shared" ref="AT89:AU89" si="170">P89+AD89-AL89</f>
        <v>1</v>
      </c>
      <c r="AU89" s="184">
        <f t="shared" si="170"/>
        <v>1</v>
      </c>
      <c r="AV89" s="62"/>
      <c r="AW89" s="176">
        <v>0.0</v>
      </c>
      <c r="AX89" s="176">
        <v>0.0</v>
      </c>
      <c r="AY89" s="176">
        <v>0.0</v>
      </c>
      <c r="AZ89" s="176" t="s">
        <v>913</v>
      </c>
      <c r="BA89" s="176">
        <v>0.0</v>
      </c>
      <c r="BB89" s="176">
        <v>0.0</v>
      </c>
      <c r="BC89" s="176">
        <v>0.0</v>
      </c>
      <c r="BD89" s="195" t="s">
        <v>1312</v>
      </c>
      <c r="BE89" s="62"/>
      <c r="BF89" s="62"/>
      <c r="BG89" s="62"/>
      <c r="BH89" s="54"/>
      <c r="BI89" s="54"/>
      <c r="BJ89" s="54"/>
      <c r="BK89" s="54"/>
      <c r="BL89" s="54"/>
      <c r="BM89" s="54"/>
      <c r="BN89" s="54"/>
      <c r="BO89" s="57"/>
      <c r="BP89" s="57"/>
      <c r="BQ89" s="57"/>
      <c r="BR89" s="57"/>
    </row>
    <row r="90">
      <c r="A90" s="176">
        <v>86.0</v>
      </c>
      <c r="B90" s="208" t="s">
        <v>1313</v>
      </c>
      <c r="C90" s="234" t="s">
        <v>161</v>
      </c>
      <c r="D90" s="235">
        <v>4.01</v>
      </c>
      <c r="E90" s="235">
        <v>0.0</v>
      </c>
      <c r="F90" s="235">
        <v>0.0</v>
      </c>
      <c r="G90" s="235">
        <v>0.0</v>
      </c>
      <c r="H90" s="235">
        <v>0.0</v>
      </c>
      <c r="I90" s="235">
        <v>0.0</v>
      </c>
      <c r="J90" s="97">
        <v>0.0</v>
      </c>
      <c r="K90" s="97">
        <v>4.0</v>
      </c>
      <c r="L90" s="97">
        <v>0.0</v>
      </c>
      <c r="M90" s="97">
        <v>0.0</v>
      </c>
      <c r="N90" s="97">
        <v>0.0</v>
      </c>
      <c r="O90" s="97">
        <v>0.0</v>
      </c>
      <c r="P90" s="180">
        <v>1.0</v>
      </c>
      <c r="Q90" s="180">
        <v>1.0</v>
      </c>
      <c r="R90" s="62"/>
      <c r="S90" s="182">
        <v>0.0</v>
      </c>
      <c r="T90" s="183">
        <v>0.0</v>
      </c>
      <c r="U90" s="183">
        <v>0.0</v>
      </c>
      <c r="V90" s="183">
        <v>0.0</v>
      </c>
      <c r="W90" s="183">
        <v>0.0</v>
      </c>
      <c r="X90" s="62"/>
      <c r="Y90" s="176">
        <v>0.0</v>
      </c>
      <c r="Z90" s="176">
        <v>0.0</v>
      </c>
      <c r="AA90" s="176">
        <v>0.0</v>
      </c>
      <c r="AB90" s="176">
        <v>0.0</v>
      </c>
      <c r="AC90" s="176">
        <v>0.0</v>
      </c>
      <c r="AD90" s="176">
        <v>0.0</v>
      </c>
      <c r="AE90" s="176">
        <v>0.0</v>
      </c>
      <c r="AF90" s="62"/>
      <c r="AG90" s="47"/>
      <c r="AH90" s="54"/>
      <c r="AI90" s="54"/>
      <c r="AJ90" s="47"/>
      <c r="AK90" s="47"/>
      <c r="AL90" s="54"/>
      <c r="AM90" s="47">
        <v>0.25</v>
      </c>
      <c r="AN90" s="62"/>
      <c r="AO90" s="184">
        <f t="shared" ref="AO90:AS90" si="171">ROUND(E90*(5/12)+K90*(5/12)+S90+Y90-AG90,2)</f>
        <v>1.67</v>
      </c>
      <c r="AP90" s="184">
        <f t="shared" si="171"/>
        <v>0</v>
      </c>
      <c r="AQ90" s="184">
        <f t="shared" si="171"/>
        <v>0</v>
      </c>
      <c r="AR90" s="184">
        <f t="shared" si="171"/>
        <v>0</v>
      </c>
      <c r="AS90" s="184">
        <f t="shared" si="171"/>
        <v>0</v>
      </c>
      <c r="AT90" s="184">
        <f t="shared" ref="AT90:AU90" si="172">P90+AD90-AL90</f>
        <v>1</v>
      </c>
      <c r="AU90" s="184">
        <f t="shared" si="172"/>
        <v>0.75</v>
      </c>
      <c r="AV90" s="62"/>
      <c r="AW90" s="202"/>
      <c r="AX90" s="202"/>
      <c r="AY90" s="202"/>
      <c r="AZ90" s="202"/>
      <c r="BA90" s="202"/>
      <c r="BB90" s="202"/>
      <c r="BC90" s="202"/>
      <c r="BD90" s="228"/>
      <c r="BE90" s="62"/>
      <c r="BF90" s="62"/>
      <c r="BG90" s="62"/>
      <c r="BH90" s="54"/>
      <c r="BI90" s="54"/>
      <c r="BJ90" s="54"/>
      <c r="BK90" s="54"/>
      <c r="BL90" s="54"/>
      <c r="BM90" s="54"/>
      <c r="BN90" s="54"/>
      <c r="BO90" s="57"/>
      <c r="BP90" s="58" t="s">
        <v>1152</v>
      </c>
      <c r="BQ90" s="57"/>
      <c r="BR90" s="57"/>
    </row>
    <row r="91">
      <c r="A91" s="176">
        <v>87.0</v>
      </c>
      <c r="B91" s="233" t="s">
        <v>1314</v>
      </c>
      <c r="C91" s="234" t="s">
        <v>161</v>
      </c>
      <c r="D91" s="235">
        <v>4.01</v>
      </c>
      <c r="E91" s="235">
        <v>0.0</v>
      </c>
      <c r="F91" s="235">
        <v>0.0</v>
      </c>
      <c r="G91" s="235">
        <v>0.0</v>
      </c>
      <c r="H91" s="235">
        <v>0.0</v>
      </c>
      <c r="I91" s="235">
        <v>0.0</v>
      </c>
      <c r="J91" s="237"/>
      <c r="K91" s="237"/>
      <c r="L91" s="236"/>
      <c r="M91" s="236"/>
      <c r="N91" s="236"/>
      <c r="O91" s="236"/>
      <c r="P91" s="180">
        <v>1.0</v>
      </c>
      <c r="Q91" s="180">
        <v>1.0</v>
      </c>
      <c r="R91" s="62"/>
      <c r="S91" s="187">
        <v>0.08</v>
      </c>
      <c r="T91" s="188">
        <v>0.0</v>
      </c>
      <c r="U91" s="188">
        <v>0.0</v>
      </c>
      <c r="V91" s="188">
        <v>0.0</v>
      </c>
      <c r="W91" s="188">
        <v>0.0</v>
      </c>
      <c r="X91" s="62"/>
      <c r="Y91" s="176">
        <v>0.0</v>
      </c>
      <c r="Z91" s="176">
        <v>0.0</v>
      </c>
      <c r="AA91" s="176">
        <v>0.0</v>
      </c>
      <c r="AB91" s="176">
        <v>0.0</v>
      </c>
      <c r="AC91" s="176">
        <v>0.0</v>
      </c>
      <c r="AD91" s="176">
        <v>0.0</v>
      </c>
      <c r="AE91" s="176">
        <v>0.0</v>
      </c>
      <c r="AF91" s="62"/>
      <c r="AG91" s="47"/>
      <c r="AH91" s="54"/>
      <c r="AI91" s="54"/>
      <c r="AJ91" s="47"/>
      <c r="AK91" s="47"/>
      <c r="AL91" s="54"/>
      <c r="AM91" s="54"/>
      <c r="AN91" s="62"/>
      <c r="AO91" s="184">
        <f t="shared" ref="AO91:AS91" si="173">ROUND(E91*(5/12)+K91*(5/12)+S91+Y91-AG91,2)</f>
        <v>0.08</v>
      </c>
      <c r="AP91" s="184">
        <f t="shared" si="173"/>
        <v>0</v>
      </c>
      <c r="AQ91" s="184">
        <f t="shared" si="173"/>
        <v>0</v>
      </c>
      <c r="AR91" s="184">
        <f t="shared" si="173"/>
        <v>0</v>
      </c>
      <c r="AS91" s="184">
        <f t="shared" si="173"/>
        <v>0</v>
      </c>
      <c r="AT91" s="184">
        <f t="shared" ref="AT91:AU91" si="174">P91+AD91-AL91</f>
        <v>1</v>
      </c>
      <c r="AU91" s="184">
        <f t="shared" si="174"/>
        <v>1</v>
      </c>
      <c r="AV91" s="62"/>
      <c r="AW91" s="202"/>
      <c r="AX91" s="202"/>
      <c r="AY91" s="202"/>
      <c r="AZ91" s="202"/>
      <c r="BA91" s="202"/>
      <c r="BB91" s="202"/>
      <c r="BC91" s="202"/>
      <c r="BD91" s="228"/>
      <c r="BE91" s="62"/>
      <c r="BF91" s="62"/>
      <c r="BG91" s="62"/>
      <c r="BH91" s="54"/>
      <c r="BI91" s="54"/>
      <c r="BJ91" s="54"/>
      <c r="BK91" s="54"/>
      <c r="BL91" s="54"/>
      <c r="BM91" s="54"/>
      <c r="BN91" s="54"/>
      <c r="BO91" s="57"/>
      <c r="BP91" s="57"/>
      <c r="BQ91" s="57"/>
      <c r="BR91" s="57"/>
    </row>
    <row r="92">
      <c r="A92" s="176">
        <v>88.0</v>
      </c>
      <c r="B92" s="208" t="s">
        <v>165</v>
      </c>
      <c r="C92" s="234" t="s">
        <v>161</v>
      </c>
      <c r="D92" s="235">
        <v>3.01</v>
      </c>
      <c r="E92" s="235">
        <v>1.0</v>
      </c>
      <c r="F92" s="235">
        <v>0.0</v>
      </c>
      <c r="G92" s="235">
        <v>0.0</v>
      </c>
      <c r="H92" s="235">
        <v>0.0</v>
      </c>
      <c r="I92" s="235">
        <v>0.0</v>
      </c>
      <c r="J92" s="97">
        <v>1.67</v>
      </c>
      <c r="K92" s="97">
        <v>1.49</v>
      </c>
      <c r="L92" s="97">
        <v>0.0</v>
      </c>
      <c r="M92" s="97">
        <v>0.35</v>
      </c>
      <c r="N92" s="97">
        <v>0.49</v>
      </c>
      <c r="O92" s="238"/>
      <c r="P92" s="180">
        <v>1.0</v>
      </c>
      <c r="Q92" s="180">
        <v>1.0</v>
      </c>
      <c r="R92" s="62"/>
      <c r="S92" s="187">
        <v>0.17</v>
      </c>
      <c r="T92" s="188">
        <v>0.0</v>
      </c>
      <c r="U92" s="188">
        <v>0.0</v>
      </c>
      <c r="V92" s="188">
        <v>0.0</v>
      </c>
      <c r="W92" s="188">
        <v>0.0</v>
      </c>
      <c r="X92" s="62"/>
      <c r="Y92" s="176">
        <v>0.0</v>
      </c>
      <c r="Z92" s="176">
        <v>0.0</v>
      </c>
      <c r="AA92" s="176">
        <v>0.0</v>
      </c>
      <c r="AB92" s="176">
        <v>0.0</v>
      </c>
      <c r="AC92" s="176">
        <v>0.0</v>
      </c>
      <c r="AD92" s="176">
        <v>0.0</v>
      </c>
      <c r="AE92" s="176">
        <v>0.0</v>
      </c>
      <c r="AF92" s="62"/>
      <c r="AG92" s="47"/>
      <c r="AH92" s="54"/>
      <c r="AI92" s="54"/>
      <c r="AJ92" s="47"/>
      <c r="AK92" s="47"/>
      <c r="AL92" s="54"/>
      <c r="AM92" s="54"/>
      <c r="AN92" s="62"/>
      <c r="AO92" s="184">
        <f t="shared" ref="AO92:AS92" si="175">ROUND(E92*(5/12)+K92*(5/12)+S92+Y92-AG92,2)</f>
        <v>1.21</v>
      </c>
      <c r="AP92" s="184">
        <f t="shared" si="175"/>
        <v>0</v>
      </c>
      <c r="AQ92" s="184">
        <f t="shared" si="175"/>
        <v>0.15</v>
      </c>
      <c r="AR92" s="184">
        <f t="shared" si="175"/>
        <v>0.2</v>
      </c>
      <c r="AS92" s="184">
        <f t="shared" si="175"/>
        <v>0</v>
      </c>
      <c r="AT92" s="184">
        <f t="shared" ref="AT92:AU92" si="176">P92+AD92-AL92</f>
        <v>1</v>
      </c>
      <c r="AU92" s="184">
        <f t="shared" si="176"/>
        <v>1</v>
      </c>
      <c r="AV92" s="62"/>
      <c r="AW92" s="176">
        <v>0.0</v>
      </c>
      <c r="AX92" s="176" t="s">
        <v>913</v>
      </c>
      <c r="AY92" s="176">
        <v>0.0</v>
      </c>
      <c r="AZ92" s="176">
        <v>0.0</v>
      </c>
      <c r="BA92" s="176" t="s">
        <v>913</v>
      </c>
      <c r="BB92" s="176">
        <v>0.0</v>
      </c>
      <c r="BC92" s="176">
        <v>0.0</v>
      </c>
      <c r="BD92" s="195" t="s">
        <v>1315</v>
      </c>
      <c r="BE92" s="62"/>
      <c r="BF92" s="62"/>
      <c r="BG92" s="62"/>
      <c r="BH92" s="54"/>
      <c r="BI92" s="54"/>
      <c r="BJ92" s="54"/>
      <c r="BK92" s="54"/>
      <c r="BL92" s="54"/>
      <c r="BM92" s="54"/>
      <c r="BN92" s="54"/>
      <c r="BO92" s="57"/>
      <c r="BP92" s="58"/>
      <c r="BQ92" s="57"/>
      <c r="BR92" s="57"/>
    </row>
    <row r="93">
      <c r="A93" s="176">
        <v>89.0</v>
      </c>
      <c r="B93" s="208" t="s">
        <v>166</v>
      </c>
      <c r="C93" s="234" t="s">
        <v>161</v>
      </c>
      <c r="D93" s="235">
        <v>2.68</v>
      </c>
      <c r="E93" s="235">
        <v>0.82</v>
      </c>
      <c r="F93" s="235">
        <v>0.0</v>
      </c>
      <c r="G93" s="235">
        <v>0.5</v>
      </c>
      <c r="H93" s="235">
        <v>0.0</v>
      </c>
      <c r="I93" s="235">
        <v>0.0</v>
      </c>
      <c r="J93" s="97">
        <v>3.01</v>
      </c>
      <c r="K93" s="97">
        <v>0.49</v>
      </c>
      <c r="L93" s="97">
        <v>0.0</v>
      </c>
      <c r="M93" s="97">
        <v>0.5</v>
      </c>
      <c r="N93" s="97">
        <v>0.0</v>
      </c>
      <c r="O93" s="97">
        <v>0.0</v>
      </c>
      <c r="P93" s="180">
        <v>1.0</v>
      </c>
      <c r="Q93" s="180">
        <v>1.0</v>
      </c>
      <c r="R93" s="62"/>
      <c r="S93" s="187">
        <v>0.08</v>
      </c>
      <c r="T93" s="188">
        <v>0.0</v>
      </c>
      <c r="U93" s="188">
        <v>0.0</v>
      </c>
      <c r="V93" s="188">
        <v>0.0</v>
      </c>
      <c r="W93" s="188">
        <v>0.0</v>
      </c>
      <c r="X93" s="62"/>
      <c r="Y93" s="176">
        <v>0.0</v>
      </c>
      <c r="Z93" s="176">
        <v>0.0</v>
      </c>
      <c r="AA93" s="176">
        <v>0.0</v>
      </c>
      <c r="AB93" s="176">
        <v>0.0</v>
      </c>
      <c r="AC93" s="176">
        <v>0.0</v>
      </c>
      <c r="AD93" s="176">
        <v>0.0</v>
      </c>
      <c r="AE93" s="176">
        <v>0.0</v>
      </c>
      <c r="AF93" s="62"/>
      <c r="AG93" s="47"/>
      <c r="AH93" s="54"/>
      <c r="AI93" s="54"/>
      <c r="AJ93" s="47"/>
      <c r="AK93" s="47"/>
      <c r="AL93" s="54"/>
      <c r="AM93" s="47">
        <v>0.33</v>
      </c>
      <c r="AN93" s="62"/>
      <c r="AO93" s="184">
        <f t="shared" ref="AO93:AS93" si="177">ROUND(E93*(5/12)+K93*(5/12)+S93+Y93-AG93,2)</f>
        <v>0.63</v>
      </c>
      <c r="AP93" s="184">
        <f t="shared" si="177"/>
        <v>0</v>
      </c>
      <c r="AQ93" s="184">
        <f t="shared" si="177"/>
        <v>0.42</v>
      </c>
      <c r="AR93" s="184">
        <f t="shared" si="177"/>
        <v>0</v>
      </c>
      <c r="AS93" s="184">
        <f t="shared" si="177"/>
        <v>0</v>
      </c>
      <c r="AT93" s="184">
        <f t="shared" ref="AT93:AU93" si="178">P93+AD93-AL93</f>
        <v>1</v>
      </c>
      <c r="AU93" s="184">
        <f t="shared" si="178"/>
        <v>0.67</v>
      </c>
      <c r="AV93" s="62"/>
      <c r="AW93" s="176">
        <v>1.0</v>
      </c>
      <c r="AX93" s="176" t="s">
        <v>913</v>
      </c>
      <c r="AY93" s="176">
        <v>0.0</v>
      </c>
      <c r="AZ93" s="176" t="s">
        <v>913</v>
      </c>
      <c r="BA93" s="176" t="s">
        <v>913</v>
      </c>
      <c r="BB93" s="176">
        <v>1.0</v>
      </c>
      <c r="BC93" s="176">
        <v>1.0</v>
      </c>
      <c r="BD93" s="195" t="s">
        <v>1316</v>
      </c>
      <c r="BE93" s="62"/>
      <c r="BF93" s="62"/>
      <c r="BG93" s="62"/>
      <c r="BH93" s="54"/>
      <c r="BI93" s="54"/>
      <c r="BJ93" s="54"/>
      <c r="BK93" s="54"/>
      <c r="BL93" s="54"/>
      <c r="BM93" s="54"/>
      <c r="BN93" s="54"/>
      <c r="BO93" s="57"/>
      <c r="BP93" s="58" t="s">
        <v>1152</v>
      </c>
      <c r="BQ93" s="57"/>
      <c r="BR93" s="57"/>
    </row>
    <row r="94">
      <c r="A94" s="176">
        <v>90.0</v>
      </c>
      <c r="B94" s="208" t="s">
        <v>167</v>
      </c>
      <c r="C94" s="234" t="s">
        <v>161</v>
      </c>
      <c r="D94" s="235">
        <v>3.84</v>
      </c>
      <c r="E94" s="235">
        <v>0.2</v>
      </c>
      <c r="F94" s="235">
        <v>0.0</v>
      </c>
      <c r="G94" s="235">
        <v>0.0</v>
      </c>
      <c r="H94" s="235">
        <v>0.0</v>
      </c>
      <c r="I94" s="235">
        <v>0.0</v>
      </c>
      <c r="J94" s="97">
        <v>3.01</v>
      </c>
      <c r="K94" s="97">
        <v>0.69</v>
      </c>
      <c r="L94" s="97">
        <v>0.0</v>
      </c>
      <c r="M94" s="97">
        <v>0.3</v>
      </c>
      <c r="N94" s="97">
        <v>0.0</v>
      </c>
      <c r="O94" s="97">
        <v>0.0</v>
      </c>
      <c r="P94" s="180">
        <v>1.0</v>
      </c>
      <c r="Q94" s="180">
        <v>1.0</v>
      </c>
      <c r="R94" s="62"/>
      <c r="S94" s="187">
        <v>0.08</v>
      </c>
      <c r="T94" s="188">
        <v>0.0</v>
      </c>
      <c r="U94" s="188">
        <v>0.0</v>
      </c>
      <c r="V94" s="188">
        <v>0.0</v>
      </c>
      <c r="W94" s="188">
        <v>0.0</v>
      </c>
      <c r="X94" s="62"/>
      <c r="Y94" s="176">
        <v>0.0</v>
      </c>
      <c r="Z94" s="176">
        <v>0.0</v>
      </c>
      <c r="AA94" s="176">
        <v>0.0</v>
      </c>
      <c r="AB94" s="176">
        <v>0.0</v>
      </c>
      <c r="AC94" s="176">
        <v>0.0</v>
      </c>
      <c r="AD94" s="176">
        <v>0.0</v>
      </c>
      <c r="AE94" s="176">
        <v>0.0</v>
      </c>
      <c r="AF94" s="62"/>
      <c r="AG94" s="47"/>
      <c r="AH94" s="54"/>
      <c r="AI94" s="54"/>
      <c r="AJ94" s="47"/>
      <c r="AK94" s="47"/>
      <c r="AL94" s="54"/>
      <c r="AM94" s="54"/>
      <c r="AN94" s="62"/>
      <c r="AO94" s="184">
        <f t="shared" ref="AO94:AS94" si="179">ROUND(E94*(5/12)+K94*(5/12)+S94+Y94-AG94,2)</f>
        <v>0.45</v>
      </c>
      <c r="AP94" s="184">
        <f t="shared" si="179"/>
        <v>0</v>
      </c>
      <c r="AQ94" s="184">
        <f t="shared" si="179"/>
        <v>0.13</v>
      </c>
      <c r="AR94" s="184">
        <f t="shared" si="179"/>
        <v>0</v>
      </c>
      <c r="AS94" s="184">
        <f t="shared" si="179"/>
        <v>0</v>
      </c>
      <c r="AT94" s="184">
        <f t="shared" ref="AT94:AU94" si="180">P94+AD94-AL94</f>
        <v>1</v>
      </c>
      <c r="AU94" s="184">
        <f t="shared" si="180"/>
        <v>1</v>
      </c>
      <c r="AV94" s="62"/>
      <c r="AW94" s="176">
        <v>0.0</v>
      </c>
      <c r="AX94" s="176" t="s">
        <v>913</v>
      </c>
      <c r="AY94" s="176">
        <v>0.0</v>
      </c>
      <c r="AZ94" s="176" t="s">
        <v>913</v>
      </c>
      <c r="BA94" s="176" t="s">
        <v>913</v>
      </c>
      <c r="BB94" s="176">
        <v>0.0</v>
      </c>
      <c r="BC94" s="176">
        <v>0.0</v>
      </c>
      <c r="BD94" s="195" t="s">
        <v>1317</v>
      </c>
      <c r="BE94" s="62"/>
      <c r="BF94" s="62"/>
      <c r="BG94" s="62"/>
      <c r="BH94" s="54"/>
      <c r="BI94" s="54"/>
      <c r="BJ94" s="54"/>
      <c r="BK94" s="54"/>
      <c r="BL94" s="54"/>
      <c r="BM94" s="54"/>
      <c r="BN94" s="54"/>
      <c r="BO94" s="57"/>
      <c r="BP94" s="58" t="s">
        <v>1152</v>
      </c>
      <c r="BQ94" s="57"/>
      <c r="BR94" s="57"/>
    </row>
    <row r="95">
      <c r="A95" s="176">
        <v>91.0</v>
      </c>
      <c r="B95" s="208" t="s">
        <v>168</v>
      </c>
      <c r="C95" s="234" t="s">
        <v>161</v>
      </c>
      <c r="D95" s="235">
        <v>3.01</v>
      </c>
      <c r="E95" s="235">
        <v>0.49</v>
      </c>
      <c r="F95" s="235">
        <v>0.0</v>
      </c>
      <c r="G95" s="235">
        <v>0.5</v>
      </c>
      <c r="H95" s="235">
        <v>0.0</v>
      </c>
      <c r="I95" s="235">
        <v>0.0</v>
      </c>
      <c r="J95" s="97">
        <v>2.01</v>
      </c>
      <c r="K95" s="97">
        <v>1.49</v>
      </c>
      <c r="L95" s="97">
        <v>0.0</v>
      </c>
      <c r="M95" s="97">
        <v>0.5</v>
      </c>
      <c r="N95" s="97">
        <v>0.0</v>
      </c>
      <c r="O95" s="97">
        <v>0.0</v>
      </c>
      <c r="P95" s="180">
        <v>1.0</v>
      </c>
      <c r="Q95" s="180">
        <v>1.0</v>
      </c>
      <c r="R95" s="62"/>
      <c r="S95" s="182">
        <v>0.08</v>
      </c>
      <c r="T95" s="183">
        <v>0.0</v>
      </c>
      <c r="U95" s="183">
        <v>0.0</v>
      </c>
      <c r="V95" s="183">
        <v>0.0</v>
      </c>
      <c r="W95" s="183">
        <v>0.0</v>
      </c>
      <c r="X95" s="62"/>
      <c r="Y95" s="176">
        <v>0.0</v>
      </c>
      <c r="Z95" s="176">
        <v>0.0</v>
      </c>
      <c r="AA95" s="176">
        <v>0.0</v>
      </c>
      <c r="AB95" s="176">
        <v>0.0</v>
      </c>
      <c r="AC95" s="176">
        <v>0.0</v>
      </c>
      <c r="AD95" s="176">
        <v>0.0</v>
      </c>
      <c r="AE95" s="176">
        <v>0.0</v>
      </c>
      <c r="AF95" s="62"/>
      <c r="AG95" s="47"/>
      <c r="AH95" s="54"/>
      <c r="AI95" s="54"/>
      <c r="AJ95" s="47"/>
      <c r="AK95" s="47"/>
      <c r="AL95" s="54"/>
      <c r="AM95" s="54"/>
      <c r="AN95" s="62"/>
      <c r="AO95" s="184">
        <f t="shared" ref="AO95:AS95" si="181">ROUND(E95*(5/12)+K95*(5/12)+S95+Y95-AG95,2)</f>
        <v>0.91</v>
      </c>
      <c r="AP95" s="184">
        <f t="shared" si="181"/>
        <v>0</v>
      </c>
      <c r="AQ95" s="184">
        <f t="shared" si="181"/>
        <v>0.42</v>
      </c>
      <c r="AR95" s="184">
        <f t="shared" si="181"/>
        <v>0</v>
      </c>
      <c r="AS95" s="184">
        <f t="shared" si="181"/>
        <v>0</v>
      </c>
      <c r="AT95" s="184">
        <f t="shared" ref="AT95:AU95" si="182">P95+AD95-AL95</f>
        <v>1</v>
      </c>
      <c r="AU95" s="184">
        <f t="shared" si="182"/>
        <v>1</v>
      </c>
      <c r="AV95" s="62"/>
      <c r="AW95" s="176">
        <v>1.0</v>
      </c>
      <c r="AX95" s="176" t="s">
        <v>913</v>
      </c>
      <c r="AY95" s="176">
        <v>0.25</v>
      </c>
      <c r="AZ95" s="176" t="s">
        <v>913</v>
      </c>
      <c r="BA95" s="176" t="s">
        <v>913</v>
      </c>
      <c r="BB95" s="176">
        <v>0.5</v>
      </c>
      <c r="BC95" s="176">
        <v>1.5</v>
      </c>
      <c r="BD95" s="191" t="s">
        <v>1318</v>
      </c>
      <c r="BE95" s="62"/>
      <c r="BF95" s="62"/>
      <c r="BG95" s="62"/>
      <c r="BH95" s="54"/>
      <c r="BI95" s="54"/>
      <c r="BJ95" s="54"/>
      <c r="BK95" s="54"/>
      <c r="BL95" s="54"/>
      <c r="BM95" s="54"/>
      <c r="BN95" s="54"/>
      <c r="BO95" s="57"/>
      <c r="BP95" s="58" t="s">
        <v>1152</v>
      </c>
      <c r="BQ95" s="57"/>
      <c r="BR95" s="57"/>
    </row>
    <row r="96">
      <c r="A96" s="176">
        <v>92.0</v>
      </c>
      <c r="B96" s="208" t="s">
        <v>169</v>
      </c>
      <c r="C96" s="234" t="s">
        <v>161</v>
      </c>
      <c r="D96" s="235">
        <v>2.67</v>
      </c>
      <c r="E96" s="235">
        <v>0.48</v>
      </c>
      <c r="F96" s="235">
        <v>0.0</v>
      </c>
      <c r="G96" s="235">
        <v>0.65</v>
      </c>
      <c r="H96" s="235">
        <v>0.0</v>
      </c>
      <c r="I96" s="235">
        <v>0.2</v>
      </c>
      <c r="J96" s="97">
        <v>3.0</v>
      </c>
      <c r="K96" s="97">
        <v>0.35</v>
      </c>
      <c r="L96" s="97">
        <v>0.0</v>
      </c>
      <c r="M96" s="97">
        <v>0.65</v>
      </c>
      <c r="N96" s="97">
        <v>0.0</v>
      </c>
      <c r="O96" s="97">
        <v>0.0</v>
      </c>
      <c r="P96" s="180">
        <v>1.0</v>
      </c>
      <c r="Q96" s="180">
        <v>1.0</v>
      </c>
      <c r="R96" s="62"/>
      <c r="S96" s="187">
        <v>0.13</v>
      </c>
      <c r="T96" s="188">
        <v>0.0</v>
      </c>
      <c r="U96" s="188">
        <v>0.0</v>
      </c>
      <c r="V96" s="188">
        <v>0.0</v>
      </c>
      <c r="W96" s="188">
        <v>0.0</v>
      </c>
      <c r="X96" s="62"/>
      <c r="Y96" s="176">
        <v>0.0</v>
      </c>
      <c r="Z96" s="176">
        <v>0.0</v>
      </c>
      <c r="AA96" s="176">
        <v>0.0</v>
      </c>
      <c r="AB96" s="176">
        <v>0.0</v>
      </c>
      <c r="AC96" s="176">
        <v>0.0</v>
      </c>
      <c r="AD96" s="176">
        <v>0.0</v>
      </c>
      <c r="AE96" s="176">
        <v>0.0</v>
      </c>
      <c r="AF96" s="62"/>
      <c r="AG96" s="47"/>
      <c r="AH96" s="54"/>
      <c r="AI96" s="54"/>
      <c r="AJ96" s="47"/>
      <c r="AK96" s="47"/>
      <c r="AL96" s="47">
        <v>0.33</v>
      </c>
      <c r="AM96" s="47">
        <v>0.33</v>
      </c>
      <c r="AN96" s="62"/>
      <c r="AO96" s="184">
        <f t="shared" ref="AO96:AS96" si="183">ROUND(E96*(5/12)+K96*(5/12)+S96+Y96-AG96,2)</f>
        <v>0.48</v>
      </c>
      <c r="AP96" s="184">
        <f t="shared" si="183"/>
        <v>0</v>
      </c>
      <c r="AQ96" s="184">
        <f t="shared" si="183"/>
        <v>0.54</v>
      </c>
      <c r="AR96" s="184">
        <f t="shared" si="183"/>
        <v>0</v>
      </c>
      <c r="AS96" s="184">
        <f t="shared" si="183"/>
        <v>0.08</v>
      </c>
      <c r="AT96" s="184">
        <f t="shared" ref="AT96:AU96" si="184">P96+AD96-AL96</f>
        <v>0.67</v>
      </c>
      <c r="AU96" s="184">
        <f t="shared" si="184"/>
        <v>0.67</v>
      </c>
      <c r="AV96" s="62"/>
      <c r="AW96" s="176">
        <v>0.5</v>
      </c>
      <c r="AX96" s="176" t="s">
        <v>913</v>
      </c>
      <c r="AY96" s="176">
        <v>0.35</v>
      </c>
      <c r="AZ96" s="176" t="s">
        <v>913</v>
      </c>
      <c r="BA96" s="176">
        <v>0.029</v>
      </c>
      <c r="BB96" s="176">
        <v>1.5</v>
      </c>
      <c r="BC96" s="176">
        <v>1.5</v>
      </c>
      <c r="BD96" s="191" t="s">
        <v>1319</v>
      </c>
      <c r="BE96" s="62"/>
      <c r="BF96" s="62"/>
      <c r="BG96" s="62"/>
      <c r="BH96" s="54"/>
      <c r="BI96" s="54"/>
      <c r="BJ96" s="54"/>
      <c r="BK96" s="54"/>
      <c r="BL96" s="54"/>
      <c r="BM96" s="54"/>
      <c r="BN96" s="54"/>
      <c r="BO96" s="57"/>
      <c r="BP96" s="58" t="s">
        <v>1152</v>
      </c>
      <c r="BQ96" s="57"/>
      <c r="BR96" s="57"/>
    </row>
    <row r="97">
      <c r="A97" s="176">
        <v>93.0</v>
      </c>
      <c r="B97" s="231" t="s">
        <v>1320</v>
      </c>
      <c r="C97" s="197" t="s">
        <v>161</v>
      </c>
      <c r="D97" s="235">
        <v>4.01</v>
      </c>
      <c r="E97" s="235">
        <v>0.0</v>
      </c>
      <c r="F97" s="235">
        <v>0.0</v>
      </c>
      <c r="G97" s="235">
        <v>0.0</v>
      </c>
      <c r="H97" s="235">
        <v>0.0</v>
      </c>
      <c r="I97" s="235">
        <v>0.0</v>
      </c>
      <c r="J97" s="97">
        <v>3.51</v>
      </c>
      <c r="K97" s="97">
        <v>0.49</v>
      </c>
      <c r="L97" s="97">
        <v>0.0</v>
      </c>
      <c r="M97" s="97">
        <v>0.0</v>
      </c>
      <c r="N97" s="97">
        <v>0.0</v>
      </c>
      <c r="O97" s="97">
        <v>0.0</v>
      </c>
      <c r="P97" s="180">
        <v>1.0</v>
      </c>
      <c r="Q97" s="180">
        <v>1.0</v>
      </c>
      <c r="R97" s="62"/>
      <c r="S97" s="176">
        <v>0.0</v>
      </c>
      <c r="T97" s="176">
        <v>0.0</v>
      </c>
      <c r="U97" s="176">
        <v>0.0</v>
      </c>
      <c r="V97" s="176">
        <v>0.0</v>
      </c>
      <c r="W97" s="176">
        <v>0.0</v>
      </c>
      <c r="X97" s="62"/>
      <c r="Y97" s="176">
        <v>0.0</v>
      </c>
      <c r="Z97" s="176">
        <v>0.0</v>
      </c>
      <c r="AA97" s="176">
        <v>0.0</v>
      </c>
      <c r="AB97" s="176">
        <v>0.0</v>
      </c>
      <c r="AC97" s="176">
        <v>0.0</v>
      </c>
      <c r="AD97" s="176">
        <v>0.0</v>
      </c>
      <c r="AE97" s="176">
        <v>0.0</v>
      </c>
      <c r="AF97" s="62"/>
      <c r="AG97" s="47"/>
      <c r="AH97" s="54"/>
      <c r="AI97" s="54"/>
      <c r="AJ97" s="47"/>
      <c r="AK97" s="47"/>
      <c r="AL97" s="54"/>
      <c r="AM97" s="54"/>
      <c r="AN97" s="62"/>
      <c r="AO97" s="184">
        <f t="shared" ref="AO97:AS97" si="185">ROUND(E97*(5/12)+K97*(5/12)+S97+Y97-AG97,2)</f>
        <v>0.2</v>
      </c>
      <c r="AP97" s="184">
        <f t="shared" si="185"/>
        <v>0</v>
      </c>
      <c r="AQ97" s="184">
        <f t="shared" si="185"/>
        <v>0</v>
      </c>
      <c r="AR97" s="184">
        <f t="shared" si="185"/>
        <v>0</v>
      </c>
      <c r="AS97" s="184">
        <f t="shared" si="185"/>
        <v>0</v>
      </c>
      <c r="AT97" s="184">
        <f t="shared" ref="AT97:AU97" si="186">P97+AD97-AL97</f>
        <v>1</v>
      </c>
      <c r="AU97" s="184">
        <f t="shared" si="186"/>
        <v>1</v>
      </c>
      <c r="AV97" s="62"/>
      <c r="AW97" s="176">
        <v>0.0</v>
      </c>
      <c r="AX97" s="176" t="s">
        <v>913</v>
      </c>
      <c r="AY97" s="176" t="s">
        <v>913</v>
      </c>
      <c r="AZ97" s="176" t="s">
        <v>913</v>
      </c>
      <c r="BA97" s="176" t="s">
        <v>913</v>
      </c>
      <c r="BB97" s="176" t="s">
        <v>913</v>
      </c>
      <c r="BC97" s="176" t="s">
        <v>913</v>
      </c>
      <c r="BD97" s="195" t="s">
        <v>1321</v>
      </c>
      <c r="BE97" s="62"/>
      <c r="BF97" s="62"/>
      <c r="BG97" s="62"/>
      <c r="BH97" s="54"/>
      <c r="BI97" s="54"/>
      <c r="BJ97" s="54"/>
      <c r="BK97" s="54"/>
      <c r="BL97" s="54"/>
      <c r="BM97" s="54"/>
      <c r="BN97" s="54"/>
      <c r="BO97" s="57"/>
      <c r="BP97" s="58" t="s">
        <v>1152</v>
      </c>
      <c r="BQ97" s="57"/>
      <c r="BR97" s="57"/>
    </row>
    <row r="98">
      <c r="A98" s="176">
        <v>94.0</v>
      </c>
      <c r="B98" s="177" t="s">
        <v>1322</v>
      </c>
      <c r="C98" s="197" t="s">
        <v>161</v>
      </c>
      <c r="D98" s="235">
        <v>4.01</v>
      </c>
      <c r="E98" s="235">
        <v>0.0</v>
      </c>
      <c r="F98" s="235">
        <v>0.0</v>
      </c>
      <c r="G98" s="235">
        <v>0.0</v>
      </c>
      <c r="H98" s="235">
        <v>0.0</v>
      </c>
      <c r="I98" s="235">
        <v>0.0</v>
      </c>
      <c r="J98" s="97">
        <v>3.34</v>
      </c>
      <c r="K98" s="97">
        <v>0.66</v>
      </c>
      <c r="L98" s="97">
        <v>0.0</v>
      </c>
      <c r="M98" s="97">
        <v>0.0</v>
      </c>
      <c r="N98" s="97">
        <v>0.0</v>
      </c>
      <c r="O98" s="97">
        <v>0.0</v>
      </c>
      <c r="P98" s="180">
        <v>1.0</v>
      </c>
      <c r="Q98" s="180">
        <v>1.0</v>
      </c>
      <c r="R98" s="62"/>
      <c r="S98" s="176">
        <v>0.0</v>
      </c>
      <c r="T98" s="176">
        <v>0.0</v>
      </c>
      <c r="U98" s="176">
        <v>0.0</v>
      </c>
      <c r="V98" s="176">
        <v>0.0</v>
      </c>
      <c r="W98" s="176">
        <v>0.0</v>
      </c>
      <c r="X98" s="62"/>
      <c r="Y98" s="176">
        <v>0.0</v>
      </c>
      <c r="Z98" s="176">
        <v>0.0</v>
      </c>
      <c r="AA98" s="176">
        <v>0.0</v>
      </c>
      <c r="AB98" s="176">
        <v>0.0</v>
      </c>
      <c r="AC98" s="176">
        <v>0.0</v>
      </c>
      <c r="AD98" s="176">
        <v>0.0</v>
      </c>
      <c r="AE98" s="176">
        <v>0.0</v>
      </c>
      <c r="AF98" s="62"/>
      <c r="AG98" s="47"/>
      <c r="AH98" s="54"/>
      <c r="AI98" s="54"/>
      <c r="AJ98" s="47"/>
      <c r="AK98" s="47"/>
      <c r="AL98" s="54"/>
      <c r="AM98" s="54"/>
      <c r="AN98" s="62"/>
      <c r="AO98" s="184">
        <f t="shared" ref="AO98:AS98" si="187">ROUND(E98*(5/12)+K98*(5/12)+S98+Y98-AG98,2)</f>
        <v>0.28</v>
      </c>
      <c r="AP98" s="184">
        <f t="shared" si="187"/>
        <v>0</v>
      </c>
      <c r="AQ98" s="184">
        <f t="shared" si="187"/>
        <v>0</v>
      </c>
      <c r="AR98" s="184">
        <f t="shared" si="187"/>
        <v>0</v>
      </c>
      <c r="AS98" s="184">
        <f t="shared" si="187"/>
        <v>0</v>
      </c>
      <c r="AT98" s="184">
        <f t="shared" ref="AT98:AU98" si="188">P98+AD98-AL98</f>
        <v>1</v>
      </c>
      <c r="AU98" s="184">
        <f t="shared" si="188"/>
        <v>1</v>
      </c>
      <c r="AV98" s="62"/>
      <c r="AW98" s="176">
        <v>0.0</v>
      </c>
      <c r="AX98" s="176" t="s">
        <v>913</v>
      </c>
      <c r="AY98" s="176" t="s">
        <v>913</v>
      </c>
      <c r="AZ98" s="176" t="s">
        <v>913</v>
      </c>
      <c r="BA98" s="176" t="s">
        <v>913</v>
      </c>
      <c r="BB98" s="176">
        <v>0.0</v>
      </c>
      <c r="BC98" s="176">
        <v>1.0</v>
      </c>
      <c r="BD98" s="195" t="s">
        <v>1323</v>
      </c>
      <c r="BE98" s="62"/>
      <c r="BF98" s="62"/>
      <c r="BG98" s="62"/>
      <c r="BH98" s="54"/>
      <c r="BI98" s="54"/>
      <c r="BJ98" s="54"/>
      <c r="BK98" s="54"/>
      <c r="BL98" s="54"/>
      <c r="BM98" s="54"/>
      <c r="BN98" s="54"/>
      <c r="BO98" s="57"/>
      <c r="BP98" s="58" t="s">
        <v>1152</v>
      </c>
      <c r="BQ98" s="57"/>
      <c r="BR98" s="57"/>
    </row>
    <row r="99">
      <c r="A99" s="176">
        <v>95.0</v>
      </c>
      <c r="B99" s="177" t="s">
        <v>1324</v>
      </c>
      <c r="C99" s="197" t="s">
        <v>161</v>
      </c>
      <c r="D99" s="97">
        <v>4.01</v>
      </c>
      <c r="E99" s="97">
        <v>0.0</v>
      </c>
      <c r="F99" s="235">
        <v>0.0</v>
      </c>
      <c r="G99" s="235">
        <v>0.0</v>
      </c>
      <c r="H99" s="235">
        <v>0.0</v>
      </c>
      <c r="I99" s="235">
        <v>0.0</v>
      </c>
      <c r="J99" s="97">
        <v>4.01</v>
      </c>
      <c r="K99" s="97">
        <v>0.0</v>
      </c>
      <c r="L99" s="97">
        <v>0.0</v>
      </c>
      <c r="M99" s="97">
        <v>0.0</v>
      </c>
      <c r="N99" s="97">
        <v>0.0</v>
      </c>
      <c r="O99" s="97">
        <v>0.0</v>
      </c>
      <c r="P99" s="180">
        <v>1.0</v>
      </c>
      <c r="Q99" s="180">
        <v>1.0</v>
      </c>
      <c r="R99" s="62"/>
      <c r="S99" s="176">
        <v>0.0</v>
      </c>
      <c r="T99" s="176">
        <v>0.0</v>
      </c>
      <c r="U99" s="176">
        <v>0.0</v>
      </c>
      <c r="V99" s="176">
        <v>0.0</v>
      </c>
      <c r="W99" s="176">
        <v>0.0</v>
      </c>
      <c r="X99" s="62"/>
      <c r="Y99" s="176">
        <v>0.0</v>
      </c>
      <c r="Z99" s="176">
        <v>0.0</v>
      </c>
      <c r="AA99" s="176">
        <v>0.0</v>
      </c>
      <c r="AB99" s="176">
        <v>0.0</v>
      </c>
      <c r="AC99" s="176">
        <v>0.0</v>
      </c>
      <c r="AD99" s="176">
        <v>0.0</v>
      </c>
      <c r="AE99" s="176">
        <v>0.0</v>
      </c>
      <c r="AF99" s="62"/>
      <c r="AG99" s="54"/>
      <c r="AH99" s="54"/>
      <c r="AI99" s="54"/>
      <c r="AJ99" s="54"/>
      <c r="AK99" s="54"/>
      <c r="AL99" s="54"/>
      <c r="AM99" s="54"/>
      <c r="AN99" s="62"/>
      <c r="AO99" s="184">
        <f t="shared" ref="AO99:AS99" si="189">ROUND(E99*(5/12)+K99*(5/12)+S99+Y99-AG99,2)</f>
        <v>0</v>
      </c>
      <c r="AP99" s="184">
        <f t="shared" si="189"/>
        <v>0</v>
      </c>
      <c r="AQ99" s="184">
        <f t="shared" si="189"/>
        <v>0</v>
      </c>
      <c r="AR99" s="184">
        <f t="shared" si="189"/>
        <v>0</v>
      </c>
      <c r="AS99" s="184">
        <f t="shared" si="189"/>
        <v>0</v>
      </c>
      <c r="AT99" s="184">
        <f t="shared" ref="AT99:AU99" si="190">P99+AD99-AL99</f>
        <v>1</v>
      </c>
      <c r="AU99" s="184">
        <f t="shared" si="190"/>
        <v>1</v>
      </c>
      <c r="AV99" s="62"/>
      <c r="AW99" s="176" t="s">
        <v>913</v>
      </c>
      <c r="AX99" s="176" t="s">
        <v>913</v>
      </c>
      <c r="AY99" s="176" t="s">
        <v>913</v>
      </c>
      <c r="AZ99" s="176" t="s">
        <v>913</v>
      </c>
      <c r="BA99" s="176" t="s">
        <v>913</v>
      </c>
      <c r="BB99" s="176">
        <v>0.0</v>
      </c>
      <c r="BC99" s="176">
        <v>1.0</v>
      </c>
      <c r="BD99" s="180" t="s">
        <v>1325</v>
      </c>
      <c r="BE99" s="62"/>
      <c r="BF99" s="62"/>
      <c r="BG99" s="62"/>
      <c r="BH99" s="54"/>
      <c r="BI99" s="54"/>
      <c r="BJ99" s="54"/>
      <c r="BK99" s="54"/>
      <c r="BL99" s="54"/>
      <c r="BM99" s="54"/>
      <c r="BN99" s="54"/>
      <c r="BO99" s="57"/>
      <c r="BP99" s="57"/>
      <c r="BQ99" s="57"/>
      <c r="BR99" s="57"/>
    </row>
    <row r="100">
      <c r="A100" s="176">
        <v>96.0</v>
      </c>
      <c r="B100" s="177" t="s">
        <v>1326</v>
      </c>
      <c r="C100" s="197" t="s">
        <v>161</v>
      </c>
      <c r="D100" s="235">
        <v>3.34</v>
      </c>
      <c r="E100" s="235">
        <v>0.66</v>
      </c>
      <c r="F100" s="235">
        <v>0.0</v>
      </c>
      <c r="G100" s="235">
        <v>0.0</v>
      </c>
      <c r="H100" s="235">
        <v>0.0</v>
      </c>
      <c r="I100" s="235">
        <v>0.0</v>
      </c>
      <c r="J100" s="97">
        <v>3.34</v>
      </c>
      <c r="K100" s="97">
        <v>0.66</v>
      </c>
      <c r="L100" s="97">
        <v>0.0</v>
      </c>
      <c r="M100" s="97">
        <v>0.0</v>
      </c>
      <c r="N100" s="97">
        <v>0.0</v>
      </c>
      <c r="O100" s="97">
        <v>0.0</v>
      </c>
      <c r="P100" s="180">
        <v>1.0</v>
      </c>
      <c r="Q100" s="180">
        <v>1.0</v>
      </c>
      <c r="R100" s="62"/>
      <c r="S100" s="176">
        <v>0.0</v>
      </c>
      <c r="T100" s="176">
        <v>0.0</v>
      </c>
      <c r="U100" s="176">
        <v>0.0</v>
      </c>
      <c r="V100" s="176">
        <v>0.0</v>
      </c>
      <c r="W100" s="176">
        <v>0.0</v>
      </c>
      <c r="X100" s="62"/>
      <c r="Y100" s="176">
        <v>0.0</v>
      </c>
      <c r="Z100" s="176">
        <v>0.0</v>
      </c>
      <c r="AA100" s="176">
        <v>0.0</v>
      </c>
      <c r="AB100" s="176">
        <v>0.0</v>
      </c>
      <c r="AC100" s="176">
        <v>0.0</v>
      </c>
      <c r="AD100" s="176">
        <v>0.0</v>
      </c>
      <c r="AE100" s="176">
        <v>0.0</v>
      </c>
      <c r="AF100" s="62"/>
      <c r="AG100" s="47"/>
      <c r="AH100" s="54"/>
      <c r="AI100" s="54"/>
      <c r="AJ100" s="54"/>
      <c r="AK100" s="54"/>
      <c r="AL100" s="54"/>
      <c r="AM100" s="54"/>
      <c r="AN100" s="62"/>
      <c r="AO100" s="184">
        <f t="shared" ref="AO100:AS100" si="191">ROUND(E100*(5/12)+K100*(5/12)+S100+Y100-AG100,2)</f>
        <v>0.55</v>
      </c>
      <c r="AP100" s="184">
        <f t="shared" si="191"/>
        <v>0</v>
      </c>
      <c r="AQ100" s="184">
        <f t="shared" si="191"/>
        <v>0</v>
      </c>
      <c r="AR100" s="184">
        <f t="shared" si="191"/>
        <v>0</v>
      </c>
      <c r="AS100" s="184">
        <f t="shared" si="191"/>
        <v>0</v>
      </c>
      <c r="AT100" s="184">
        <f t="shared" ref="AT100:AU100" si="192">P100+AD100-AL100</f>
        <v>1</v>
      </c>
      <c r="AU100" s="184">
        <f t="shared" si="192"/>
        <v>1</v>
      </c>
      <c r="AV100" s="62"/>
      <c r="AW100" s="202"/>
      <c r="AX100" s="202"/>
      <c r="AY100" s="202"/>
      <c r="AZ100" s="202"/>
      <c r="BA100" s="202"/>
      <c r="BB100" s="202"/>
      <c r="BC100" s="202"/>
      <c r="BD100" s="203"/>
      <c r="BE100" s="62"/>
      <c r="BF100" s="62"/>
      <c r="BG100" s="62"/>
      <c r="BH100" s="54"/>
      <c r="BI100" s="54"/>
      <c r="BJ100" s="54"/>
      <c r="BK100" s="54"/>
      <c r="BL100" s="54"/>
      <c r="BM100" s="54"/>
      <c r="BN100" s="54"/>
      <c r="BO100" s="57"/>
      <c r="BP100" s="58"/>
      <c r="BQ100" s="57"/>
      <c r="BR100" s="57"/>
    </row>
    <row r="101">
      <c r="A101" s="176">
        <v>97.0</v>
      </c>
      <c r="B101" s="177" t="s">
        <v>174</v>
      </c>
      <c r="C101" s="197" t="s">
        <v>161</v>
      </c>
      <c r="D101" s="235">
        <v>4.01</v>
      </c>
      <c r="E101" s="235">
        <v>0.0</v>
      </c>
      <c r="F101" s="235">
        <v>0.0</v>
      </c>
      <c r="G101" s="235">
        <v>0.0</v>
      </c>
      <c r="H101" s="235">
        <v>0.0</v>
      </c>
      <c r="I101" s="235">
        <v>0.0</v>
      </c>
      <c r="J101" s="97">
        <v>3.0</v>
      </c>
      <c r="K101" s="97">
        <v>1.0</v>
      </c>
      <c r="L101" s="97">
        <v>0.0</v>
      </c>
      <c r="M101" s="97">
        <v>0.0</v>
      </c>
      <c r="N101" s="97">
        <v>0.0</v>
      </c>
      <c r="O101" s="97">
        <v>0.0</v>
      </c>
      <c r="P101" s="180">
        <v>1.0</v>
      </c>
      <c r="Q101" s="180">
        <v>1.0</v>
      </c>
      <c r="R101" s="62"/>
      <c r="S101" s="176">
        <v>0.0</v>
      </c>
      <c r="T101" s="176">
        <v>0.0</v>
      </c>
      <c r="U101" s="176">
        <v>0.0</v>
      </c>
      <c r="V101" s="176">
        <v>0.0</v>
      </c>
      <c r="W101" s="176">
        <v>0.0</v>
      </c>
      <c r="X101" s="62"/>
      <c r="Y101" s="176">
        <v>0.0</v>
      </c>
      <c r="Z101" s="176">
        <v>0.0</v>
      </c>
      <c r="AA101" s="176">
        <v>0.0</v>
      </c>
      <c r="AB101" s="176">
        <v>0.0</v>
      </c>
      <c r="AC101" s="176">
        <v>0.0</v>
      </c>
      <c r="AD101" s="176">
        <v>0.0</v>
      </c>
      <c r="AE101" s="176">
        <v>0.0</v>
      </c>
      <c r="AF101" s="62"/>
      <c r="AG101" s="54"/>
      <c r="AH101" s="54"/>
      <c r="AI101" s="54"/>
      <c r="AJ101" s="54"/>
      <c r="AK101" s="54"/>
      <c r="AL101" s="54"/>
      <c r="AM101" s="54"/>
      <c r="AN101" s="62"/>
      <c r="AO101" s="184">
        <f t="shared" ref="AO101:AS101" si="193">ROUND(E101*(5/12)+K101*(5/12)+S101+Y101-AG101,2)</f>
        <v>0.42</v>
      </c>
      <c r="AP101" s="184">
        <f t="shared" si="193"/>
        <v>0</v>
      </c>
      <c r="AQ101" s="184">
        <f t="shared" si="193"/>
        <v>0</v>
      </c>
      <c r="AR101" s="184">
        <f t="shared" si="193"/>
        <v>0</v>
      </c>
      <c r="AS101" s="184">
        <f t="shared" si="193"/>
        <v>0</v>
      </c>
      <c r="AT101" s="184">
        <f t="shared" ref="AT101:AU101" si="194">P101+AD101-AL101</f>
        <v>1</v>
      </c>
      <c r="AU101" s="184">
        <f t="shared" si="194"/>
        <v>1</v>
      </c>
      <c r="AV101" s="62"/>
      <c r="AW101" s="176">
        <v>0.0</v>
      </c>
      <c r="AX101" s="176" t="s">
        <v>913</v>
      </c>
      <c r="AY101" s="176" t="s">
        <v>913</v>
      </c>
      <c r="AZ101" s="176" t="s">
        <v>913</v>
      </c>
      <c r="BA101" s="176" t="s">
        <v>913</v>
      </c>
      <c r="BB101" s="176">
        <v>0.0</v>
      </c>
      <c r="BC101" s="176">
        <v>1.0</v>
      </c>
      <c r="BD101" s="195" t="s">
        <v>1327</v>
      </c>
      <c r="BE101" s="62"/>
      <c r="BF101" s="62"/>
      <c r="BG101" s="62"/>
      <c r="BH101" s="54"/>
      <c r="BI101" s="54"/>
      <c r="BJ101" s="54"/>
      <c r="BK101" s="54"/>
      <c r="BL101" s="54"/>
      <c r="BM101" s="54"/>
      <c r="BN101" s="54"/>
      <c r="BO101" s="57"/>
      <c r="BP101" s="58" t="s">
        <v>1152</v>
      </c>
      <c r="BQ101" s="57"/>
      <c r="BR101" s="57"/>
    </row>
    <row r="102">
      <c r="A102" s="176">
        <v>98.0</v>
      </c>
      <c r="B102" s="177" t="s">
        <v>1328</v>
      </c>
      <c r="C102" s="197" t="s">
        <v>161</v>
      </c>
      <c r="D102" s="235">
        <v>1.17</v>
      </c>
      <c r="E102" s="235">
        <v>2.83</v>
      </c>
      <c r="F102" s="235">
        <v>0.0</v>
      </c>
      <c r="G102" s="235">
        <v>0.0</v>
      </c>
      <c r="H102" s="235">
        <v>0.0</v>
      </c>
      <c r="I102" s="235">
        <v>0.0</v>
      </c>
      <c r="J102" s="97">
        <v>0.0</v>
      </c>
      <c r="K102" s="97">
        <v>4.0</v>
      </c>
      <c r="L102" s="97">
        <v>0.0</v>
      </c>
      <c r="M102" s="97">
        <v>0.0</v>
      </c>
      <c r="N102" s="97">
        <v>0.0</v>
      </c>
      <c r="O102" s="97">
        <v>0.0</v>
      </c>
      <c r="P102" s="180">
        <v>1.0</v>
      </c>
      <c r="Q102" s="180">
        <v>1.0</v>
      </c>
      <c r="R102" s="62"/>
      <c r="S102" s="176">
        <v>0.0</v>
      </c>
      <c r="T102" s="176">
        <v>0.0</v>
      </c>
      <c r="U102" s="176">
        <v>0.0</v>
      </c>
      <c r="V102" s="176">
        <v>0.0</v>
      </c>
      <c r="W102" s="176">
        <v>0.0</v>
      </c>
      <c r="X102" s="62"/>
      <c r="Y102" s="176">
        <v>0.0</v>
      </c>
      <c r="Z102" s="176">
        <v>0.0</v>
      </c>
      <c r="AA102" s="176">
        <v>0.0</v>
      </c>
      <c r="AB102" s="176">
        <v>0.0</v>
      </c>
      <c r="AC102" s="176">
        <v>0.0</v>
      </c>
      <c r="AD102" s="176">
        <v>0.0</v>
      </c>
      <c r="AE102" s="176">
        <v>0.0</v>
      </c>
      <c r="AF102" s="62"/>
      <c r="AG102" s="47"/>
      <c r="AH102" s="54"/>
      <c r="AI102" s="54"/>
      <c r="AJ102" s="54"/>
      <c r="AK102" s="54"/>
      <c r="AL102" s="54"/>
      <c r="AM102" s="54"/>
      <c r="AN102" s="62"/>
      <c r="AO102" s="184">
        <f t="shared" ref="AO102:AS102" si="195">ROUND(E102*(5/12)+K102*(5/12)+S102+Y102-AG102,2)</f>
        <v>2.85</v>
      </c>
      <c r="AP102" s="184">
        <f t="shared" si="195"/>
        <v>0</v>
      </c>
      <c r="AQ102" s="184">
        <f t="shared" si="195"/>
        <v>0</v>
      </c>
      <c r="AR102" s="184">
        <f t="shared" si="195"/>
        <v>0</v>
      </c>
      <c r="AS102" s="184">
        <f t="shared" si="195"/>
        <v>0</v>
      </c>
      <c r="AT102" s="184">
        <f t="shared" ref="AT102:AU102" si="196">P102+AD102-AL102</f>
        <v>1</v>
      </c>
      <c r="AU102" s="184">
        <f t="shared" si="196"/>
        <v>1</v>
      </c>
      <c r="AV102" s="62"/>
      <c r="AW102" s="202"/>
      <c r="AX102" s="202"/>
      <c r="AY102" s="202"/>
      <c r="AZ102" s="202"/>
      <c r="BA102" s="202"/>
      <c r="BB102" s="202"/>
      <c r="BC102" s="202"/>
      <c r="BD102" s="203"/>
      <c r="BE102" s="62"/>
      <c r="BF102" s="62"/>
      <c r="BG102" s="62"/>
      <c r="BH102" s="72"/>
      <c r="BI102" s="72"/>
      <c r="BJ102" s="54"/>
      <c r="BK102" s="54"/>
      <c r="BL102" s="54"/>
      <c r="BM102" s="54"/>
      <c r="BN102" s="72"/>
      <c r="BO102" s="72"/>
      <c r="BP102" s="58"/>
      <c r="BQ102" s="58"/>
      <c r="BR102" s="57"/>
    </row>
    <row r="103">
      <c r="A103" s="176">
        <v>99.0</v>
      </c>
      <c r="B103" s="177" t="s">
        <v>1329</v>
      </c>
      <c r="C103" s="197" t="s">
        <v>161</v>
      </c>
      <c r="D103" s="235">
        <v>1.0</v>
      </c>
      <c r="E103" s="97">
        <v>3.0</v>
      </c>
      <c r="F103" s="235">
        <v>0.0</v>
      </c>
      <c r="G103" s="235">
        <v>0.0</v>
      </c>
      <c r="H103" s="235">
        <v>0.0</v>
      </c>
      <c r="I103" s="235">
        <v>0.0</v>
      </c>
      <c r="J103" s="97">
        <v>3.35</v>
      </c>
      <c r="K103" s="97">
        <v>0.65</v>
      </c>
      <c r="L103" s="97">
        <v>0.0</v>
      </c>
      <c r="M103" s="97">
        <v>0.0</v>
      </c>
      <c r="N103" s="97">
        <v>0.0</v>
      </c>
      <c r="O103" s="97">
        <v>0.0</v>
      </c>
      <c r="P103" s="180">
        <v>1.0</v>
      </c>
      <c r="Q103" s="180">
        <v>1.0</v>
      </c>
      <c r="R103" s="62"/>
      <c r="S103" s="176">
        <v>0.0</v>
      </c>
      <c r="T103" s="176">
        <v>0.0</v>
      </c>
      <c r="U103" s="176">
        <v>0.0</v>
      </c>
      <c r="V103" s="176">
        <v>0.0</v>
      </c>
      <c r="W103" s="176">
        <v>0.0</v>
      </c>
      <c r="X103" s="62"/>
      <c r="Y103" s="176">
        <v>0.0</v>
      </c>
      <c r="Z103" s="176">
        <v>0.0</v>
      </c>
      <c r="AA103" s="176">
        <v>0.0</v>
      </c>
      <c r="AB103" s="176">
        <v>0.0</v>
      </c>
      <c r="AC103" s="176">
        <v>0.0</v>
      </c>
      <c r="AD103" s="176">
        <v>0.0</v>
      </c>
      <c r="AE103" s="176">
        <v>0.0</v>
      </c>
      <c r="AF103" s="62"/>
      <c r="AG103" s="47"/>
      <c r="AH103" s="54"/>
      <c r="AI103" s="54"/>
      <c r="AJ103" s="54"/>
      <c r="AK103" s="54"/>
      <c r="AL103" s="54"/>
      <c r="AM103" s="54"/>
      <c r="AN103" s="62"/>
      <c r="AO103" s="184">
        <f t="shared" ref="AO103:AS103" si="197">ROUND(E103*(5/12)+K103*(5/12)+S103+Y103-AG103,2)</f>
        <v>1.52</v>
      </c>
      <c r="AP103" s="184">
        <f t="shared" si="197"/>
        <v>0</v>
      </c>
      <c r="AQ103" s="184">
        <f t="shared" si="197"/>
        <v>0</v>
      </c>
      <c r="AR103" s="184">
        <f t="shared" si="197"/>
        <v>0</v>
      </c>
      <c r="AS103" s="184">
        <f t="shared" si="197"/>
        <v>0</v>
      </c>
      <c r="AT103" s="184">
        <f t="shared" ref="AT103:AU103" si="198">P103+AD103-AL103</f>
        <v>1</v>
      </c>
      <c r="AU103" s="184">
        <f t="shared" si="198"/>
        <v>1</v>
      </c>
      <c r="AV103" s="62"/>
      <c r="AW103" s="202"/>
      <c r="AX103" s="202"/>
      <c r="AY103" s="202"/>
      <c r="AZ103" s="202"/>
      <c r="BA103" s="202"/>
      <c r="BB103" s="202"/>
      <c r="BC103" s="202"/>
      <c r="BD103" s="203"/>
      <c r="BE103" s="62"/>
      <c r="BF103" s="62"/>
      <c r="BG103" s="62"/>
      <c r="BH103" s="54"/>
      <c r="BI103" s="54"/>
      <c r="BJ103" s="54"/>
      <c r="BK103" s="54"/>
      <c r="BL103" s="54"/>
      <c r="BM103" s="54"/>
      <c r="BN103" s="54"/>
      <c r="BO103" s="57"/>
      <c r="BP103" s="58"/>
      <c r="BQ103" s="57"/>
      <c r="BR103" s="57"/>
    </row>
    <row r="104">
      <c r="A104" s="176">
        <v>100.0</v>
      </c>
      <c r="B104" s="93" t="s">
        <v>175</v>
      </c>
      <c r="C104" s="197" t="s">
        <v>161</v>
      </c>
      <c r="D104" s="235">
        <v>2.01</v>
      </c>
      <c r="E104" s="235">
        <v>2.0</v>
      </c>
      <c r="F104" s="235">
        <v>0.0</v>
      </c>
      <c r="G104" s="235">
        <v>0.0</v>
      </c>
      <c r="H104" s="235">
        <v>0.0</v>
      </c>
      <c r="I104" s="235">
        <v>0.0</v>
      </c>
      <c r="J104" s="97">
        <v>3.01</v>
      </c>
      <c r="K104" s="97">
        <v>0.99</v>
      </c>
      <c r="L104" s="97">
        <v>0.0</v>
      </c>
      <c r="M104" s="97">
        <v>0.0</v>
      </c>
      <c r="N104" s="97">
        <v>0.0</v>
      </c>
      <c r="O104" s="97">
        <v>0.0</v>
      </c>
      <c r="P104" s="180">
        <v>1.0</v>
      </c>
      <c r="Q104" s="180">
        <v>1.0</v>
      </c>
      <c r="R104" s="62"/>
      <c r="S104" s="176">
        <v>0.0</v>
      </c>
      <c r="T104" s="176">
        <v>0.0</v>
      </c>
      <c r="U104" s="176">
        <v>0.0</v>
      </c>
      <c r="V104" s="176">
        <v>0.0</v>
      </c>
      <c r="W104" s="176">
        <v>0.0</v>
      </c>
      <c r="X104" s="62"/>
      <c r="Y104" s="176">
        <v>0.0</v>
      </c>
      <c r="Z104" s="176">
        <v>0.0</v>
      </c>
      <c r="AA104" s="176">
        <v>0.0</v>
      </c>
      <c r="AB104" s="176">
        <v>0.0</v>
      </c>
      <c r="AC104" s="176">
        <v>0.0</v>
      </c>
      <c r="AD104" s="176">
        <v>0.0</v>
      </c>
      <c r="AE104" s="176">
        <v>0.0</v>
      </c>
      <c r="AF104" s="62"/>
      <c r="AG104" s="47"/>
      <c r="AH104" s="54"/>
      <c r="AI104" s="54"/>
      <c r="AJ104" s="54"/>
      <c r="AK104" s="54"/>
      <c r="AL104" s="54"/>
      <c r="AM104" s="54"/>
      <c r="AN104" s="62"/>
      <c r="AO104" s="184">
        <f t="shared" ref="AO104:AS104" si="199">ROUND(E104*(5/12)+K104*(5/12)+S104+Y104-AG104,2)</f>
        <v>1.25</v>
      </c>
      <c r="AP104" s="184">
        <f t="shared" si="199"/>
        <v>0</v>
      </c>
      <c r="AQ104" s="184">
        <f t="shared" si="199"/>
        <v>0</v>
      </c>
      <c r="AR104" s="184">
        <f t="shared" si="199"/>
        <v>0</v>
      </c>
      <c r="AS104" s="184">
        <f t="shared" si="199"/>
        <v>0</v>
      </c>
      <c r="AT104" s="184">
        <f t="shared" ref="AT104:AU104" si="200">P104+AD104-AL104</f>
        <v>1</v>
      </c>
      <c r="AU104" s="184">
        <f t="shared" si="200"/>
        <v>1</v>
      </c>
      <c r="AV104" s="62"/>
      <c r="AW104" s="176">
        <v>0.5</v>
      </c>
      <c r="AX104" s="176" t="s">
        <v>913</v>
      </c>
      <c r="AY104" s="176" t="s">
        <v>913</v>
      </c>
      <c r="AZ104" s="176" t="s">
        <v>913</v>
      </c>
      <c r="BA104" s="176" t="s">
        <v>913</v>
      </c>
      <c r="BB104" s="176">
        <v>0.0</v>
      </c>
      <c r="BC104" s="176">
        <v>0.0</v>
      </c>
      <c r="BD104" s="194" t="s">
        <v>1330</v>
      </c>
      <c r="BE104" s="62"/>
      <c r="BF104" s="62"/>
      <c r="BG104" s="62"/>
      <c r="BH104" s="54"/>
      <c r="BI104" s="54"/>
      <c r="BJ104" s="54"/>
      <c r="BK104" s="54"/>
      <c r="BL104" s="54"/>
      <c r="BM104" s="54"/>
      <c r="BN104" s="54"/>
      <c r="BO104" s="57"/>
      <c r="BP104" s="58" t="s">
        <v>1152</v>
      </c>
      <c r="BQ104" s="58"/>
      <c r="BR104" s="57"/>
    </row>
    <row r="105">
      <c r="A105" s="176">
        <v>101.0</v>
      </c>
      <c r="B105" s="102" t="s">
        <v>1331</v>
      </c>
      <c r="C105" s="197" t="s">
        <v>161</v>
      </c>
      <c r="D105" s="237"/>
      <c r="E105" s="237"/>
      <c r="F105" s="237"/>
      <c r="G105" s="237"/>
      <c r="H105" s="237"/>
      <c r="I105" s="237"/>
      <c r="J105" s="239">
        <v>2.34</v>
      </c>
      <c r="K105" s="240">
        <v>1.66</v>
      </c>
      <c r="L105" s="97">
        <v>0.0</v>
      </c>
      <c r="M105" s="97">
        <v>0.0</v>
      </c>
      <c r="N105" s="97">
        <v>0.0</v>
      </c>
      <c r="O105" s="97">
        <v>0.0</v>
      </c>
      <c r="P105" s="180">
        <v>0.67</v>
      </c>
      <c r="Q105" s="180">
        <v>0.67</v>
      </c>
      <c r="R105" s="62"/>
      <c r="S105" s="176"/>
      <c r="T105" s="176"/>
      <c r="U105" s="176"/>
      <c r="V105" s="176"/>
      <c r="W105" s="176"/>
      <c r="X105" s="62"/>
      <c r="Y105" s="176"/>
      <c r="Z105" s="176"/>
      <c r="AA105" s="176"/>
      <c r="AB105" s="176"/>
      <c r="AC105" s="176"/>
      <c r="AD105" s="176"/>
      <c r="AE105" s="176"/>
      <c r="AF105" s="62"/>
      <c r="AG105" s="47"/>
      <c r="AH105" s="54"/>
      <c r="AI105" s="54"/>
      <c r="AJ105" s="54"/>
      <c r="AK105" s="54"/>
      <c r="AL105" s="54"/>
      <c r="AM105" s="54"/>
      <c r="AN105" s="62"/>
      <c r="AO105" s="184">
        <f t="shared" ref="AO105:AS105" si="201">ROUND(E105*(5/12)+K105*(5/12)+S105+Y105-AG105,2)</f>
        <v>0.69</v>
      </c>
      <c r="AP105" s="184">
        <f t="shared" si="201"/>
        <v>0</v>
      </c>
      <c r="AQ105" s="184">
        <f t="shared" si="201"/>
        <v>0</v>
      </c>
      <c r="AR105" s="184">
        <f t="shared" si="201"/>
        <v>0</v>
      </c>
      <c r="AS105" s="184">
        <f t="shared" si="201"/>
        <v>0</v>
      </c>
      <c r="AT105" s="184">
        <f t="shared" ref="AT105:AU105" si="202">P105+AD105-AL105</f>
        <v>0.67</v>
      </c>
      <c r="AU105" s="184">
        <f t="shared" si="202"/>
        <v>0.67</v>
      </c>
      <c r="AV105" s="62"/>
      <c r="AW105" s="176">
        <v>0.5</v>
      </c>
      <c r="AX105" s="176" t="s">
        <v>913</v>
      </c>
      <c r="AY105" s="176" t="s">
        <v>913</v>
      </c>
      <c r="AZ105" s="176" t="s">
        <v>913</v>
      </c>
      <c r="BA105" s="176" t="s">
        <v>913</v>
      </c>
      <c r="BB105" s="176">
        <v>0.0</v>
      </c>
      <c r="BC105" s="176">
        <v>0.0</v>
      </c>
      <c r="BD105" s="194" t="s">
        <v>1332</v>
      </c>
      <c r="BE105" s="62"/>
      <c r="BF105" s="62"/>
      <c r="BG105" s="62"/>
      <c r="BH105" s="54"/>
      <c r="BI105" s="54"/>
      <c r="BJ105" s="54"/>
      <c r="BK105" s="54"/>
      <c r="BL105" s="54"/>
      <c r="BM105" s="54"/>
      <c r="BN105" s="54"/>
      <c r="BO105" s="57"/>
      <c r="BP105" s="58"/>
      <c r="BQ105" s="58"/>
      <c r="BR105" s="57"/>
    </row>
    <row r="106">
      <c r="A106" s="176">
        <v>102.0</v>
      </c>
      <c r="B106" s="102" t="s">
        <v>1333</v>
      </c>
      <c r="C106" s="197" t="s">
        <v>161</v>
      </c>
      <c r="D106" s="237"/>
      <c r="E106" s="237"/>
      <c r="F106" s="237"/>
      <c r="G106" s="237"/>
      <c r="H106" s="237"/>
      <c r="I106" s="237"/>
      <c r="J106" s="239">
        <v>3.35</v>
      </c>
      <c r="K106" s="239">
        <v>0.65</v>
      </c>
      <c r="L106" s="97">
        <v>0.0</v>
      </c>
      <c r="M106" s="97">
        <v>0.0</v>
      </c>
      <c r="N106" s="97">
        <v>0.0</v>
      </c>
      <c r="O106" s="97">
        <v>0.0</v>
      </c>
      <c r="P106" s="180">
        <v>0.25</v>
      </c>
      <c r="Q106" s="180">
        <v>0.25</v>
      </c>
      <c r="R106" s="62"/>
      <c r="S106" s="176"/>
      <c r="T106" s="176"/>
      <c r="U106" s="176"/>
      <c r="V106" s="176"/>
      <c r="W106" s="176"/>
      <c r="X106" s="62"/>
      <c r="Y106" s="176"/>
      <c r="Z106" s="176"/>
      <c r="AA106" s="176"/>
      <c r="AB106" s="176"/>
      <c r="AC106" s="176"/>
      <c r="AD106" s="176"/>
      <c r="AE106" s="176"/>
      <c r="AF106" s="62"/>
      <c r="AG106" s="47"/>
      <c r="AH106" s="54"/>
      <c r="AI106" s="54"/>
      <c r="AJ106" s="54"/>
      <c r="AK106" s="54"/>
      <c r="AL106" s="54"/>
      <c r="AM106" s="54"/>
      <c r="AN106" s="62"/>
      <c r="AO106" s="184">
        <f t="shared" ref="AO106:AS106" si="203">ROUND(E106*(5/12)+K106*(5/12)+S106+Y106-AG106,2)</f>
        <v>0.27</v>
      </c>
      <c r="AP106" s="184">
        <f t="shared" si="203"/>
        <v>0</v>
      </c>
      <c r="AQ106" s="184">
        <f t="shared" si="203"/>
        <v>0</v>
      </c>
      <c r="AR106" s="184">
        <f t="shared" si="203"/>
        <v>0</v>
      </c>
      <c r="AS106" s="184">
        <f t="shared" si="203"/>
        <v>0</v>
      </c>
      <c r="AT106" s="184">
        <f t="shared" ref="AT106:AU106" si="204">P106+AD106-AL106</f>
        <v>0.25</v>
      </c>
      <c r="AU106" s="184">
        <f t="shared" si="204"/>
        <v>0.25</v>
      </c>
      <c r="AV106" s="62"/>
      <c r="AW106" s="176">
        <v>0.0</v>
      </c>
      <c r="AX106" s="176" t="s">
        <v>913</v>
      </c>
      <c r="AY106" s="176" t="s">
        <v>913</v>
      </c>
      <c r="AZ106" s="176" t="s">
        <v>913</v>
      </c>
      <c r="BA106" s="176" t="s">
        <v>913</v>
      </c>
      <c r="BB106" s="176">
        <v>0.0</v>
      </c>
      <c r="BC106" s="176">
        <v>0.0</v>
      </c>
      <c r="BD106" s="194" t="s">
        <v>1334</v>
      </c>
      <c r="BE106" s="62"/>
      <c r="BF106" s="62"/>
      <c r="BG106" s="62"/>
      <c r="BH106" s="54"/>
      <c r="BI106" s="54"/>
      <c r="BJ106" s="54"/>
      <c r="BK106" s="54"/>
      <c r="BL106" s="54"/>
      <c r="BM106" s="54"/>
      <c r="BN106" s="54"/>
      <c r="BO106" s="57"/>
      <c r="BP106" s="58" t="s">
        <v>1152</v>
      </c>
      <c r="BQ106" s="58"/>
      <c r="BR106" s="57"/>
    </row>
    <row r="107">
      <c r="A107" s="176">
        <v>103.0</v>
      </c>
      <c r="B107" s="102" t="s">
        <v>1335</v>
      </c>
      <c r="C107" s="197" t="s">
        <v>161</v>
      </c>
      <c r="D107" s="237"/>
      <c r="E107" s="237"/>
      <c r="F107" s="237"/>
      <c r="G107" s="237"/>
      <c r="H107" s="237"/>
      <c r="I107" s="237"/>
      <c r="J107" s="97">
        <v>0.0</v>
      </c>
      <c r="K107" s="97">
        <v>4.0</v>
      </c>
      <c r="L107" s="97">
        <v>0.0</v>
      </c>
      <c r="M107" s="97">
        <v>0.0</v>
      </c>
      <c r="N107" s="97">
        <v>0.0</v>
      </c>
      <c r="O107" s="97">
        <v>0.0</v>
      </c>
      <c r="P107" s="180">
        <v>0.16</v>
      </c>
      <c r="Q107" s="180">
        <v>0.16</v>
      </c>
      <c r="R107" s="62"/>
      <c r="S107" s="176"/>
      <c r="T107" s="176"/>
      <c r="U107" s="176"/>
      <c r="V107" s="176"/>
      <c r="W107" s="176"/>
      <c r="X107" s="62"/>
      <c r="Y107" s="176"/>
      <c r="Z107" s="176"/>
      <c r="AA107" s="176"/>
      <c r="AB107" s="176"/>
      <c r="AC107" s="176"/>
      <c r="AD107" s="176"/>
      <c r="AE107" s="176"/>
      <c r="AF107" s="62"/>
      <c r="AG107" s="47"/>
      <c r="AH107" s="54"/>
      <c r="AI107" s="54"/>
      <c r="AJ107" s="54"/>
      <c r="AK107" s="54"/>
      <c r="AL107" s="54"/>
      <c r="AM107" s="54"/>
      <c r="AN107" s="62"/>
      <c r="AO107" s="184">
        <f t="shared" ref="AO107:AS107" si="205">ROUND(E107*(5/12)+K107*(5/12)+S107+Y107-AG107,2)</f>
        <v>1.67</v>
      </c>
      <c r="AP107" s="184">
        <f t="shared" si="205"/>
        <v>0</v>
      </c>
      <c r="AQ107" s="184">
        <f t="shared" si="205"/>
        <v>0</v>
      </c>
      <c r="AR107" s="184">
        <f t="shared" si="205"/>
        <v>0</v>
      </c>
      <c r="AS107" s="184">
        <f t="shared" si="205"/>
        <v>0</v>
      </c>
      <c r="AT107" s="184">
        <f t="shared" ref="AT107:AU107" si="206">P107+AD107-AL107</f>
        <v>0.16</v>
      </c>
      <c r="AU107" s="184">
        <f t="shared" si="206"/>
        <v>0.16</v>
      </c>
      <c r="AV107" s="62"/>
      <c r="AW107" s="176">
        <v>0.166</v>
      </c>
      <c r="AX107" s="176" t="s">
        <v>913</v>
      </c>
      <c r="AY107" s="176" t="s">
        <v>913</v>
      </c>
      <c r="AZ107" s="176" t="s">
        <v>913</v>
      </c>
      <c r="BA107" s="176" t="s">
        <v>913</v>
      </c>
      <c r="BB107" s="176">
        <v>0.0</v>
      </c>
      <c r="BC107" s="176">
        <v>0.0</v>
      </c>
      <c r="BD107" s="194" t="s">
        <v>1336</v>
      </c>
      <c r="BE107" s="62"/>
      <c r="BF107" s="62"/>
      <c r="BG107" s="62"/>
      <c r="BH107" s="54"/>
      <c r="BI107" s="54"/>
      <c r="BJ107" s="54"/>
      <c r="BK107" s="54"/>
      <c r="BL107" s="54"/>
      <c r="BM107" s="54"/>
      <c r="BN107" s="54"/>
      <c r="BO107" s="57"/>
      <c r="BP107" s="58" t="s">
        <v>1152</v>
      </c>
      <c r="BQ107" s="58"/>
      <c r="BR107" s="57"/>
    </row>
    <row r="108">
      <c r="A108" s="176">
        <v>104.0</v>
      </c>
      <c r="B108" s="93" t="s">
        <v>1337</v>
      </c>
      <c r="C108" s="178" t="s">
        <v>41</v>
      </c>
      <c r="D108" s="241"/>
      <c r="E108" s="241"/>
      <c r="F108" s="241"/>
      <c r="G108" s="241"/>
      <c r="H108" s="241"/>
      <c r="I108" s="241"/>
      <c r="J108" s="212">
        <v>0.67</v>
      </c>
      <c r="K108" s="212">
        <v>3.33</v>
      </c>
      <c r="L108" s="212">
        <v>0.0</v>
      </c>
      <c r="M108" s="212">
        <v>0.0</v>
      </c>
      <c r="N108" s="212">
        <v>0.0</v>
      </c>
      <c r="O108" s="212">
        <v>0.0</v>
      </c>
      <c r="P108" s="180">
        <v>0.4</v>
      </c>
      <c r="Q108" s="180">
        <v>0.4</v>
      </c>
      <c r="R108" s="62"/>
      <c r="S108" s="176">
        <v>0.0</v>
      </c>
      <c r="T108" s="176">
        <v>0.0</v>
      </c>
      <c r="U108" s="176">
        <v>0.0</v>
      </c>
      <c r="V108" s="176">
        <v>0.0</v>
      </c>
      <c r="W108" s="176">
        <v>0.0</v>
      </c>
      <c r="X108" s="62"/>
      <c r="Y108" s="176">
        <v>0.0</v>
      </c>
      <c r="Z108" s="176">
        <v>0.0</v>
      </c>
      <c r="AA108" s="176">
        <v>0.0</v>
      </c>
      <c r="AB108" s="176">
        <v>0.0</v>
      </c>
      <c r="AC108" s="176">
        <v>0.0</v>
      </c>
      <c r="AD108" s="176">
        <v>0.0</v>
      </c>
      <c r="AE108" s="176">
        <v>0.0</v>
      </c>
      <c r="AF108" s="62"/>
      <c r="AG108" s="47"/>
      <c r="AH108" s="54"/>
      <c r="AI108" s="54"/>
      <c r="AJ108" s="54"/>
      <c r="AK108" s="54"/>
      <c r="AL108" s="54"/>
      <c r="AM108" s="54"/>
      <c r="AN108" s="62"/>
      <c r="AO108" s="242">
        <v>0.27</v>
      </c>
      <c r="AP108" s="184">
        <f t="shared" ref="AP108:AS108" si="207">ROUND(F108*(5/12)+L108*(5/12)+T108+Z108-AH108,2)</f>
        <v>0</v>
      </c>
      <c r="AQ108" s="184">
        <f t="shared" si="207"/>
        <v>0</v>
      </c>
      <c r="AR108" s="184">
        <f t="shared" si="207"/>
        <v>0</v>
      </c>
      <c r="AS108" s="184">
        <f t="shared" si="207"/>
        <v>0</v>
      </c>
      <c r="AT108" s="184">
        <f t="shared" ref="AT108:AU108" si="208">P108+AD108-AL108</f>
        <v>0.4</v>
      </c>
      <c r="AU108" s="184">
        <f t="shared" si="208"/>
        <v>0.4</v>
      </c>
      <c r="AV108" s="62"/>
      <c r="AW108" s="176">
        <v>0.5</v>
      </c>
      <c r="AX108" s="176" t="s">
        <v>913</v>
      </c>
      <c r="AY108" s="176" t="s">
        <v>913</v>
      </c>
      <c r="AZ108" s="176" t="s">
        <v>913</v>
      </c>
      <c r="BA108" s="176" t="s">
        <v>913</v>
      </c>
      <c r="BB108" s="176">
        <v>1.0</v>
      </c>
      <c r="BC108" s="176">
        <v>0.0</v>
      </c>
      <c r="BD108" s="194" t="s">
        <v>1338</v>
      </c>
      <c r="BE108" s="62"/>
      <c r="BF108" s="62"/>
      <c r="BG108" s="62"/>
      <c r="BH108" s="54"/>
      <c r="BI108" s="54"/>
      <c r="BJ108" s="54"/>
      <c r="BK108" s="54"/>
      <c r="BL108" s="54"/>
      <c r="BM108" s="54"/>
      <c r="BN108" s="54"/>
      <c r="BO108" s="57"/>
      <c r="BP108" s="58" t="s">
        <v>1152</v>
      </c>
      <c r="BQ108" s="58"/>
      <c r="BR108" s="57"/>
    </row>
    <row r="109">
      <c r="A109" s="176">
        <v>105.0</v>
      </c>
      <c r="B109" s="227" t="s">
        <v>1339</v>
      </c>
      <c r="C109" s="178" t="s">
        <v>127</v>
      </c>
      <c r="D109" s="235">
        <v>1.0</v>
      </c>
      <c r="E109" s="235">
        <v>0.5</v>
      </c>
      <c r="F109" s="235">
        <v>0.2</v>
      </c>
      <c r="G109" s="235">
        <v>0.2</v>
      </c>
      <c r="H109" s="235">
        <v>0.0</v>
      </c>
      <c r="I109" s="235">
        <v>0.1</v>
      </c>
      <c r="J109" s="97">
        <v>0.0</v>
      </c>
      <c r="K109" s="97">
        <v>0.4</v>
      </c>
      <c r="L109" s="97">
        <v>0.2</v>
      </c>
      <c r="M109" s="97">
        <v>0.3</v>
      </c>
      <c r="N109" s="243"/>
      <c r="O109" s="97">
        <v>0.1</v>
      </c>
      <c r="P109" s="180">
        <v>1.0</v>
      </c>
      <c r="Q109" s="180">
        <v>1.0</v>
      </c>
      <c r="R109" s="62"/>
      <c r="S109" s="182">
        <v>0.1</v>
      </c>
      <c r="T109" s="183">
        <v>0.06</v>
      </c>
      <c r="U109" s="183">
        <v>0.03</v>
      </c>
      <c r="V109" s="183">
        <v>0.0</v>
      </c>
      <c r="W109" s="183">
        <v>0.03</v>
      </c>
      <c r="X109" s="62"/>
      <c r="Y109" s="176">
        <v>0.0</v>
      </c>
      <c r="Z109" s="176">
        <v>0.0</v>
      </c>
      <c r="AA109" s="176">
        <v>0.0</v>
      </c>
      <c r="AB109" s="176">
        <v>0.0</v>
      </c>
      <c r="AC109" s="176">
        <v>0.0</v>
      </c>
      <c r="AD109" s="176">
        <v>0.0</v>
      </c>
      <c r="AE109" s="176">
        <v>0.0</v>
      </c>
      <c r="AF109" s="62"/>
      <c r="AG109" s="47"/>
      <c r="AH109" s="54"/>
      <c r="AI109" s="54"/>
      <c r="AJ109" s="54"/>
      <c r="AK109" s="54"/>
      <c r="AL109" s="54"/>
      <c r="AM109" s="54"/>
      <c r="AN109" s="62"/>
      <c r="AO109" s="184">
        <f t="shared" ref="AO109:AS109" si="209">ROUND(E109*(5/12)+K109*(5/12)+S109+Y109-AG109,2)</f>
        <v>0.48</v>
      </c>
      <c r="AP109" s="184">
        <f t="shared" si="209"/>
        <v>0.23</v>
      </c>
      <c r="AQ109" s="184">
        <f t="shared" si="209"/>
        <v>0.24</v>
      </c>
      <c r="AR109" s="184">
        <f t="shared" si="209"/>
        <v>0</v>
      </c>
      <c r="AS109" s="184">
        <f t="shared" si="209"/>
        <v>0.11</v>
      </c>
      <c r="AT109" s="184">
        <f t="shared" ref="AT109:AU109" si="210">P109+AD109-AL109</f>
        <v>1</v>
      </c>
      <c r="AU109" s="184">
        <f t="shared" si="210"/>
        <v>1</v>
      </c>
      <c r="AV109" s="62"/>
      <c r="AW109" s="176">
        <v>0.0</v>
      </c>
      <c r="AX109" s="176">
        <v>0.05</v>
      </c>
      <c r="AY109" s="176">
        <v>0.0</v>
      </c>
      <c r="AZ109" s="176" t="s">
        <v>913</v>
      </c>
      <c r="BA109" s="176">
        <v>0.08</v>
      </c>
      <c r="BB109" s="176">
        <v>0.0</v>
      </c>
      <c r="BC109" s="176">
        <v>1.0</v>
      </c>
      <c r="BD109" s="194" t="s">
        <v>1340</v>
      </c>
      <c r="BE109" s="62"/>
      <c r="BF109" s="62"/>
      <c r="BG109" s="62"/>
      <c r="BH109" s="54"/>
      <c r="BI109" s="54"/>
      <c r="BJ109" s="54"/>
      <c r="BK109" s="54"/>
      <c r="BL109" s="54"/>
      <c r="BM109" s="54"/>
      <c r="BN109" s="54"/>
      <c r="BO109" s="57"/>
      <c r="BP109" s="58" t="s">
        <v>1152</v>
      </c>
      <c r="BQ109" s="58"/>
      <c r="BR109" s="57"/>
    </row>
    <row r="110">
      <c r="A110" s="176">
        <v>106.0</v>
      </c>
      <c r="B110" s="177" t="s">
        <v>1341</v>
      </c>
      <c r="C110" s="178" t="s">
        <v>127</v>
      </c>
      <c r="D110" s="235">
        <v>2.0</v>
      </c>
      <c r="E110" s="235">
        <v>1.0</v>
      </c>
      <c r="F110" s="235">
        <v>0.6</v>
      </c>
      <c r="G110" s="235">
        <v>0.4</v>
      </c>
      <c r="H110" s="235">
        <v>0.0</v>
      </c>
      <c r="I110" s="235">
        <v>0.0</v>
      </c>
      <c r="J110" s="97">
        <v>2.0</v>
      </c>
      <c r="K110" s="97">
        <v>1.0</v>
      </c>
      <c r="L110" s="97">
        <v>0.6</v>
      </c>
      <c r="M110" s="97">
        <v>0.4</v>
      </c>
      <c r="N110" s="97">
        <v>0.0</v>
      </c>
      <c r="O110" s="97">
        <v>0.0</v>
      </c>
      <c r="P110" s="180">
        <v>1.0</v>
      </c>
      <c r="Q110" s="180">
        <v>1.0</v>
      </c>
      <c r="R110" s="62"/>
      <c r="S110" s="182">
        <v>0.14</v>
      </c>
      <c r="T110" s="183">
        <v>0.11</v>
      </c>
      <c r="U110" s="183">
        <v>0.08</v>
      </c>
      <c r="V110" s="183">
        <v>0.0</v>
      </c>
      <c r="W110" s="183">
        <v>0.0</v>
      </c>
      <c r="X110" s="62"/>
      <c r="Y110" s="176">
        <v>0.0</v>
      </c>
      <c r="Z110" s="176">
        <v>0.0</v>
      </c>
      <c r="AA110" s="176">
        <v>0.0</v>
      </c>
      <c r="AB110" s="176">
        <v>0.0</v>
      </c>
      <c r="AC110" s="176">
        <v>0.0</v>
      </c>
      <c r="AD110" s="176">
        <v>0.0</v>
      </c>
      <c r="AE110" s="176">
        <v>0.0</v>
      </c>
      <c r="AF110" s="62"/>
      <c r="AG110" s="47">
        <v>0.25</v>
      </c>
      <c r="AH110" s="54"/>
      <c r="AI110" s="54"/>
      <c r="AJ110" s="54"/>
      <c r="AK110" s="54"/>
      <c r="AL110" s="54"/>
      <c r="AM110" s="47">
        <v>0.24</v>
      </c>
      <c r="AN110" s="62"/>
      <c r="AO110" s="184">
        <f t="shared" ref="AO110:AS110" si="211">ROUND(E110*(5/12)+K110*(5/12)+S110+Y110-AG110,2)</f>
        <v>0.72</v>
      </c>
      <c r="AP110" s="184">
        <f t="shared" si="211"/>
        <v>0.61</v>
      </c>
      <c r="AQ110" s="184">
        <f t="shared" si="211"/>
        <v>0.41</v>
      </c>
      <c r="AR110" s="184">
        <f t="shared" si="211"/>
        <v>0</v>
      </c>
      <c r="AS110" s="184">
        <f t="shared" si="211"/>
        <v>0</v>
      </c>
      <c r="AT110" s="184">
        <f t="shared" ref="AT110:AU110" si="212">P110+AD110-AL110</f>
        <v>1</v>
      </c>
      <c r="AU110" s="184">
        <f t="shared" si="212"/>
        <v>0.76</v>
      </c>
      <c r="AV110" s="62"/>
      <c r="AW110" s="176">
        <v>0.75</v>
      </c>
      <c r="AX110" s="176">
        <v>0.04</v>
      </c>
      <c r="AY110" s="176">
        <v>0.4</v>
      </c>
      <c r="AZ110" s="176" t="s">
        <v>913</v>
      </c>
      <c r="BA110" s="176" t="s">
        <v>913</v>
      </c>
      <c r="BB110" s="176">
        <v>1.0</v>
      </c>
      <c r="BC110" s="176">
        <v>1.0</v>
      </c>
      <c r="BD110" s="52" t="s">
        <v>1342</v>
      </c>
      <c r="BE110" s="62"/>
      <c r="BF110" s="62"/>
      <c r="BG110" s="62"/>
      <c r="BH110" s="54"/>
      <c r="BI110" s="54"/>
      <c r="BJ110" s="54"/>
      <c r="BK110" s="54"/>
      <c r="BL110" s="54"/>
      <c r="BM110" s="54"/>
      <c r="BN110" s="54"/>
      <c r="BO110" s="57"/>
      <c r="BP110" s="58" t="s">
        <v>1152</v>
      </c>
      <c r="BQ110" s="57"/>
      <c r="BR110" s="58" t="s">
        <v>1343</v>
      </c>
    </row>
    <row r="111">
      <c r="A111" s="176">
        <v>107.0</v>
      </c>
      <c r="B111" s="177" t="s">
        <v>129</v>
      </c>
      <c r="C111" s="178" t="s">
        <v>127</v>
      </c>
      <c r="D111" s="235">
        <v>3.0</v>
      </c>
      <c r="E111" s="235">
        <v>0.97</v>
      </c>
      <c r="F111" s="235">
        <v>0.4</v>
      </c>
      <c r="G111" s="235">
        <v>0.3</v>
      </c>
      <c r="H111" s="235">
        <v>0.0</v>
      </c>
      <c r="I111" s="235">
        <v>0.0</v>
      </c>
      <c r="J111" s="97">
        <v>3.21</v>
      </c>
      <c r="K111" s="97">
        <v>0.0</v>
      </c>
      <c r="L111" s="97">
        <v>0.4</v>
      </c>
      <c r="M111" s="97">
        <v>0.39</v>
      </c>
      <c r="N111" s="97">
        <v>0.0</v>
      </c>
      <c r="O111" s="97">
        <v>0.0</v>
      </c>
      <c r="P111" s="180">
        <v>1.0</v>
      </c>
      <c r="Q111" s="180">
        <v>1.0</v>
      </c>
      <c r="R111" s="62"/>
      <c r="S111" s="182">
        <v>0.18</v>
      </c>
      <c r="T111" s="183">
        <v>0.08</v>
      </c>
      <c r="U111" s="183">
        <v>0.07</v>
      </c>
      <c r="V111" s="183">
        <v>0.0</v>
      </c>
      <c r="W111" s="183">
        <v>0.0</v>
      </c>
      <c r="X111" s="62"/>
      <c r="Y111" s="176">
        <v>0.0</v>
      </c>
      <c r="Z111" s="176">
        <v>0.0</v>
      </c>
      <c r="AA111" s="176">
        <v>0.0</v>
      </c>
      <c r="AB111" s="176">
        <v>0.0</v>
      </c>
      <c r="AC111" s="176">
        <v>0.0</v>
      </c>
      <c r="AD111" s="176">
        <v>0.0</v>
      </c>
      <c r="AE111" s="176">
        <v>0.0</v>
      </c>
      <c r="AF111" s="62"/>
      <c r="AG111" s="47">
        <v>0.18</v>
      </c>
      <c r="AH111" s="47">
        <v>0.02</v>
      </c>
      <c r="AI111" s="54"/>
      <c r="AJ111" s="54"/>
      <c r="AK111" s="54"/>
      <c r="AL111" s="54"/>
      <c r="AM111" s="54"/>
      <c r="AN111" s="62"/>
      <c r="AO111" s="184">
        <f t="shared" ref="AO111:AS111" si="213">ROUND(E111*(5/12)+K111*(5/12)+S111+Y111-AG111,2)</f>
        <v>0.4</v>
      </c>
      <c r="AP111" s="184">
        <f t="shared" si="213"/>
        <v>0.39</v>
      </c>
      <c r="AQ111" s="184">
        <f t="shared" si="213"/>
        <v>0.36</v>
      </c>
      <c r="AR111" s="184">
        <f t="shared" si="213"/>
        <v>0</v>
      </c>
      <c r="AS111" s="184">
        <f t="shared" si="213"/>
        <v>0</v>
      </c>
      <c r="AT111" s="184">
        <f t="shared" ref="AT111:AU111" si="214">P111+AD111-AL111</f>
        <v>1</v>
      </c>
      <c r="AU111" s="184">
        <f t="shared" si="214"/>
        <v>1</v>
      </c>
      <c r="AV111" s="62"/>
      <c r="AW111" s="176">
        <v>0.0</v>
      </c>
      <c r="AX111" s="176">
        <v>0.0</v>
      </c>
      <c r="AY111" s="176">
        <v>0.2</v>
      </c>
      <c r="AZ111" s="176" t="s">
        <v>913</v>
      </c>
      <c r="BA111" s="176" t="s">
        <v>913</v>
      </c>
      <c r="BB111" s="176">
        <v>0.0</v>
      </c>
      <c r="BC111" s="176">
        <v>1.0</v>
      </c>
      <c r="BD111" s="180" t="s">
        <v>1344</v>
      </c>
      <c r="BE111" s="62"/>
      <c r="BF111" s="62"/>
      <c r="BG111" s="62"/>
      <c r="BH111" s="54"/>
      <c r="BI111" s="54"/>
      <c r="BJ111" s="54"/>
      <c r="BK111" s="54"/>
      <c r="BL111" s="54"/>
      <c r="BM111" s="72"/>
      <c r="BN111" s="54"/>
      <c r="BO111" s="57"/>
      <c r="BP111" s="58" t="s">
        <v>1152</v>
      </c>
      <c r="BQ111" s="58"/>
      <c r="BR111" s="57"/>
    </row>
    <row r="112">
      <c r="A112" s="176">
        <v>108.0</v>
      </c>
      <c r="B112" s="177" t="s">
        <v>130</v>
      </c>
      <c r="C112" s="178" t="s">
        <v>127</v>
      </c>
      <c r="D112" s="235">
        <v>2.0</v>
      </c>
      <c r="E112" s="235">
        <v>2.1</v>
      </c>
      <c r="F112" s="235">
        <v>0.0</v>
      </c>
      <c r="G112" s="235">
        <v>0.2</v>
      </c>
      <c r="H112" s="235">
        <v>0.3</v>
      </c>
      <c r="I112" s="235">
        <v>0.4</v>
      </c>
      <c r="J112" s="97">
        <v>1.0</v>
      </c>
      <c r="K112" s="97">
        <v>2.1</v>
      </c>
      <c r="L112" s="97">
        <v>0.0</v>
      </c>
      <c r="M112" s="97">
        <v>0.2</v>
      </c>
      <c r="N112" s="97">
        <v>0.3</v>
      </c>
      <c r="O112" s="97">
        <v>0.4</v>
      </c>
      <c r="P112" s="180">
        <v>1.0</v>
      </c>
      <c r="Q112" s="180">
        <v>1.0</v>
      </c>
      <c r="R112" s="62"/>
      <c r="S112" s="187">
        <v>0.34</v>
      </c>
      <c r="T112" s="188">
        <v>0.0</v>
      </c>
      <c r="U112" s="188">
        <v>0.07</v>
      </c>
      <c r="V112" s="188">
        <v>0.0</v>
      </c>
      <c r="W112" s="188">
        <v>0.09</v>
      </c>
      <c r="X112" s="62"/>
      <c r="Y112" s="176">
        <v>0.0</v>
      </c>
      <c r="Z112" s="176">
        <v>0.0</v>
      </c>
      <c r="AA112" s="176">
        <v>0.0</v>
      </c>
      <c r="AB112" s="176">
        <v>0.0</v>
      </c>
      <c r="AC112" s="176">
        <v>0.0</v>
      </c>
      <c r="AD112" s="176">
        <v>0.0</v>
      </c>
      <c r="AE112" s="176">
        <v>0.0</v>
      </c>
      <c r="AF112" s="62"/>
      <c r="AG112" s="47"/>
      <c r="AH112" s="54"/>
      <c r="AI112" s="54"/>
      <c r="AJ112" s="54"/>
      <c r="AK112" s="54"/>
      <c r="AL112" s="54"/>
      <c r="AM112" s="47">
        <v>0.17</v>
      </c>
      <c r="AN112" s="62"/>
      <c r="AO112" s="184">
        <f t="shared" ref="AO112:AS112" si="215">ROUND(E112*(5/12)+K112*(5/12)+S112+Y112-AG112,2)</f>
        <v>2.09</v>
      </c>
      <c r="AP112" s="184">
        <f t="shared" si="215"/>
        <v>0</v>
      </c>
      <c r="AQ112" s="184">
        <f t="shared" si="215"/>
        <v>0.24</v>
      </c>
      <c r="AR112" s="184">
        <f t="shared" si="215"/>
        <v>0.25</v>
      </c>
      <c r="AS112" s="184">
        <f t="shared" si="215"/>
        <v>0.42</v>
      </c>
      <c r="AT112" s="184">
        <f t="shared" ref="AT112:AU112" si="216">P112+AD112-AL112</f>
        <v>1</v>
      </c>
      <c r="AU112" s="184">
        <f t="shared" si="216"/>
        <v>0.83</v>
      </c>
      <c r="AV112" s="62"/>
      <c r="AW112" s="176">
        <v>2.25</v>
      </c>
      <c r="AX112" s="176" t="s">
        <v>913</v>
      </c>
      <c r="AY112" s="176">
        <v>0.24</v>
      </c>
      <c r="AZ112" s="176">
        <v>0.33</v>
      </c>
      <c r="BA112" s="176">
        <v>0.42</v>
      </c>
      <c r="BB112" s="176">
        <v>1.0</v>
      </c>
      <c r="BC112" s="176">
        <v>1.0</v>
      </c>
      <c r="BD112" s="196" t="s">
        <v>1345</v>
      </c>
      <c r="BE112" s="62"/>
      <c r="BF112" s="62"/>
      <c r="BG112" s="62"/>
      <c r="BH112" s="192"/>
      <c r="BI112" s="72"/>
      <c r="BJ112" s="54"/>
      <c r="BK112" s="54"/>
      <c r="BL112" s="54"/>
      <c r="BM112" s="206"/>
      <c r="BN112" s="206"/>
      <c r="BO112" s="57"/>
      <c r="BP112" s="58" t="s">
        <v>1152</v>
      </c>
      <c r="BQ112" s="57"/>
      <c r="BR112" s="57"/>
    </row>
    <row r="113">
      <c r="A113" s="176">
        <v>109.0</v>
      </c>
      <c r="B113" s="244" t="s">
        <v>1346</v>
      </c>
      <c r="C113" s="178" t="s">
        <v>127</v>
      </c>
      <c r="D113" s="245">
        <v>4.0</v>
      </c>
      <c r="E113" s="245">
        <v>0.5</v>
      </c>
      <c r="F113" s="245">
        <v>0.0</v>
      </c>
      <c r="G113" s="245">
        <v>0.2</v>
      </c>
      <c r="H113" s="245">
        <v>0.3</v>
      </c>
      <c r="I113" s="245">
        <v>0.0</v>
      </c>
      <c r="J113" s="106">
        <v>2.66</v>
      </c>
      <c r="K113" s="106">
        <v>0.84</v>
      </c>
      <c r="L113" s="106">
        <v>0.0</v>
      </c>
      <c r="M113" s="106">
        <v>0.2</v>
      </c>
      <c r="N113" s="106">
        <v>0.3</v>
      </c>
      <c r="O113" s="246"/>
      <c r="P113" s="180">
        <v>1.0</v>
      </c>
      <c r="Q113" s="180">
        <v>1.0</v>
      </c>
      <c r="R113" s="62"/>
      <c r="S113" s="176">
        <v>0.0</v>
      </c>
      <c r="T113" s="176">
        <v>0.0</v>
      </c>
      <c r="U113" s="176">
        <v>0.0</v>
      </c>
      <c r="V113" s="176">
        <v>0.0</v>
      </c>
      <c r="W113" s="176">
        <v>0.0</v>
      </c>
      <c r="X113" s="62"/>
      <c r="Y113" s="176">
        <v>0.0</v>
      </c>
      <c r="Z113" s="176">
        <v>0.0</v>
      </c>
      <c r="AA113" s="176">
        <v>0.0</v>
      </c>
      <c r="AB113" s="176">
        <v>0.0</v>
      </c>
      <c r="AC113" s="176">
        <v>0.0</v>
      </c>
      <c r="AD113" s="176">
        <v>0.0</v>
      </c>
      <c r="AE113" s="176">
        <v>0.0</v>
      </c>
      <c r="AF113" s="62"/>
      <c r="AG113" s="54"/>
      <c r="AH113" s="54"/>
      <c r="AI113" s="54"/>
      <c r="AJ113" s="54"/>
      <c r="AK113" s="54"/>
      <c r="AL113" s="54"/>
      <c r="AM113" s="54"/>
      <c r="AN113" s="62"/>
      <c r="AO113" s="184">
        <f t="shared" ref="AO113:AS113" si="217">ROUND(E113*(5/12)+K113*(5/12)+S113+Y113-AG113,2)</f>
        <v>0.56</v>
      </c>
      <c r="AP113" s="184">
        <f t="shared" si="217"/>
        <v>0</v>
      </c>
      <c r="AQ113" s="184">
        <f t="shared" si="217"/>
        <v>0.17</v>
      </c>
      <c r="AR113" s="184">
        <f t="shared" si="217"/>
        <v>0.25</v>
      </c>
      <c r="AS113" s="184">
        <f t="shared" si="217"/>
        <v>0</v>
      </c>
      <c r="AT113" s="184">
        <f t="shared" ref="AT113:AU113" si="218">P113+AD113-AL113</f>
        <v>1</v>
      </c>
      <c r="AU113" s="184">
        <f t="shared" si="218"/>
        <v>1</v>
      </c>
      <c r="AV113" s="62"/>
      <c r="AW113" s="176">
        <v>0.56</v>
      </c>
      <c r="AX113" s="176" t="s">
        <v>913</v>
      </c>
      <c r="AY113" s="176">
        <v>0.2</v>
      </c>
      <c r="AZ113" s="176">
        <v>0.33</v>
      </c>
      <c r="BA113" s="176" t="s">
        <v>913</v>
      </c>
      <c r="BB113" s="176">
        <v>1.0</v>
      </c>
      <c r="BC113" s="176">
        <v>1.0</v>
      </c>
      <c r="BD113" s="78" t="s">
        <v>1347</v>
      </c>
      <c r="BE113" s="62"/>
      <c r="BF113" s="62"/>
      <c r="BG113" s="62"/>
      <c r="BH113" s="47">
        <v>0.06</v>
      </c>
      <c r="BI113" s="54"/>
      <c r="BJ113" s="54"/>
      <c r="BK113" s="54"/>
      <c r="BL113" s="54"/>
      <c r="BM113" s="54"/>
      <c r="BN113" s="54"/>
      <c r="BO113" s="57"/>
      <c r="BP113" s="58" t="s">
        <v>1152</v>
      </c>
      <c r="BQ113" s="57"/>
      <c r="BR113" s="57"/>
    </row>
    <row r="114">
      <c r="A114" s="176">
        <v>110.0</v>
      </c>
      <c r="B114" s="244" t="s">
        <v>1348</v>
      </c>
      <c r="C114" s="178" t="s">
        <v>127</v>
      </c>
      <c r="D114" s="245">
        <v>3.33</v>
      </c>
      <c r="E114" s="245">
        <v>0.37</v>
      </c>
      <c r="F114" s="245">
        <v>0.0</v>
      </c>
      <c r="G114" s="245">
        <v>0.2</v>
      </c>
      <c r="H114" s="245">
        <v>0.0</v>
      </c>
      <c r="I114" s="245">
        <v>0.1</v>
      </c>
      <c r="J114" s="106">
        <v>3.33</v>
      </c>
      <c r="K114" s="106">
        <v>0.37</v>
      </c>
      <c r="L114" s="106">
        <v>0.0</v>
      </c>
      <c r="M114" s="106">
        <v>0.2</v>
      </c>
      <c r="N114" s="106">
        <v>0.0</v>
      </c>
      <c r="O114" s="106">
        <v>0.1</v>
      </c>
      <c r="P114" s="180">
        <v>1.0</v>
      </c>
      <c r="Q114" s="180">
        <v>1.0</v>
      </c>
      <c r="R114" s="62"/>
      <c r="S114" s="182">
        <v>0.0</v>
      </c>
      <c r="T114" s="183">
        <v>0.0</v>
      </c>
      <c r="U114" s="183">
        <v>0.03</v>
      </c>
      <c r="V114" s="183">
        <v>0.0</v>
      </c>
      <c r="W114" s="183">
        <v>0.03</v>
      </c>
      <c r="X114" s="62"/>
      <c r="Y114" s="176">
        <v>0.0</v>
      </c>
      <c r="Z114" s="176">
        <v>0.0</v>
      </c>
      <c r="AA114" s="176">
        <v>0.0</v>
      </c>
      <c r="AB114" s="176">
        <v>0.0</v>
      </c>
      <c r="AC114" s="176">
        <v>0.0</v>
      </c>
      <c r="AD114" s="176">
        <v>0.0</v>
      </c>
      <c r="AE114" s="176">
        <v>0.0</v>
      </c>
      <c r="AF114" s="62"/>
      <c r="AG114" s="47">
        <v>0.0</v>
      </c>
      <c r="AH114" s="54"/>
      <c r="AI114" s="47">
        <v>0.03</v>
      </c>
      <c r="AJ114" s="54"/>
      <c r="AK114" s="54"/>
      <c r="AL114" s="54"/>
      <c r="AM114" s="54"/>
      <c r="AN114" s="62"/>
      <c r="AO114" s="184">
        <f t="shared" ref="AO114:AS114" si="219">ROUND(E114*(5/12)+K114*(5/12)+S114+Y114-AG114,2)</f>
        <v>0.31</v>
      </c>
      <c r="AP114" s="184">
        <f t="shared" si="219"/>
        <v>0</v>
      </c>
      <c r="AQ114" s="184">
        <f t="shared" si="219"/>
        <v>0.17</v>
      </c>
      <c r="AR114" s="184">
        <f t="shared" si="219"/>
        <v>0</v>
      </c>
      <c r="AS114" s="184">
        <f t="shared" si="219"/>
        <v>0.11</v>
      </c>
      <c r="AT114" s="184">
        <f t="shared" ref="AT114:AU114" si="220">P114+AD114-AL114</f>
        <v>1</v>
      </c>
      <c r="AU114" s="184">
        <f t="shared" si="220"/>
        <v>1</v>
      </c>
      <c r="AV114" s="62"/>
      <c r="AW114" s="176">
        <v>0.5</v>
      </c>
      <c r="AX114" s="176" t="s">
        <v>913</v>
      </c>
      <c r="AY114" s="176">
        <v>0.3</v>
      </c>
      <c r="AZ114" s="176" t="s">
        <v>913</v>
      </c>
      <c r="BA114" s="176">
        <v>0.14</v>
      </c>
      <c r="BB114" s="176">
        <v>1.0</v>
      </c>
      <c r="BC114" s="176">
        <v>1.0</v>
      </c>
      <c r="BD114" s="180" t="s">
        <v>1349</v>
      </c>
      <c r="BE114" s="62"/>
      <c r="BF114" s="62"/>
      <c r="BG114" s="62"/>
      <c r="BH114" s="54"/>
      <c r="BI114" s="54"/>
      <c r="BJ114" s="54"/>
      <c r="BK114" s="54"/>
      <c r="BL114" s="54"/>
      <c r="BM114" s="54"/>
      <c r="BN114" s="54"/>
      <c r="BO114" s="57"/>
      <c r="BP114" s="58" t="s">
        <v>1152</v>
      </c>
      <c r="BQ114" s="57"/>
      <c r="BR114" s="57"/>
    </row>
    <row r="115">
      <c r="A115" s="176">
        <v>111.0</v>
      </c>
      <c r="B115" s="244" t="s">
        <v>1350</v>
      </c>
      <c r="C115" s="178" t="s">
        <v>127</v>
      </c>
      <c r="D115" s="245">
        <v>2.66</v>
      </c>
      <c r="E115" s="245">
        <v>0.6</v>
      </c>
      <c r="F115" s="245">
        <v>1.0</v>
      </c>
      <c r="G115" s="245">
        <v>0.0</v>
      </c>
      <c r="H115" s="245">
        <v>0.0</v>
      </c>
      <c r="I115" s="245">
        <v>0.5</v>
      </c>
      <c r="J115" s="106">
        <v>2.3</v>
      </c>
      <c r="K115" s="106">
        <v>0.2</v>
      </c>
      <c r="L115" s="106">
        <v>1.0</v>
      </c>
      <c r="M115" s="106">
        <v>0.0</v>
      </c>
      <c r="N115" s="106">
        <v>0.0</v>
      </c>
      <c r="O115" s="106">
        <v>0.5</v>
      </c>
      <c r="P115" s="180">
        <v>1.0</v>
      </c>
      <c r="Q115" s="180">
        <v>1.0</v>
      </c>
      <c r="R115" s="62"/>
      <c r="S115" s="182">
        <v>0.0</v>
      </c>
      <c r="T115" s="182">
        <v>0.0</v>
      </c>
      <c r="U115" s="182">
        <v>0.0</v>
      </c>
      <c r="V115" s="182">
        <v>0.0</v>
      </c>
      <c r="W115" s="182">
        <v>0.0</v>
      </c>
      <c r="X115" s="62"/>
      <c r="Y115" s="176">
        <v>0.0</v>
      </c>
      <c r="Z115" s="176">
        <v>0.0</v>
      </c>
      <c r="AA115" s="176">
        <v>0.0</v>
      </c>
      <c r="AB115" s="176">
        <v>0.0</v>
      </c>
      <c r="AC115" s="176">
        <v>0.0</v>
      </c>
      <c r="AD115" s="176">
        <v>0.0</v>
      </c>
      <c r="AE115" s="176">
        <v>0.0</v>
      </c>
      <c r="AF115" s="62"/>
      <c r="AG115" s="47"/>
      <c r="AH115" s="54"/>
      <c r="AI115" s="54"/>
      <c r="AJ115" s="54"/>
      <c r="AK115" s="54"/>
      <c r="AL115" s="54"/>
      <c r="AM115" s="54"/>
      <c r="AN115" s="62"/>
      <c r="AO115" s="184">
        <f t="shared" ref="AO115:AS115" si="221">ROUND(E115*(5/12)+K115*(5/12)+S115+Y115-AG115,2)</f>
        <v>0.33</v>
      </c>
      <c r="AP115" s="184">
        <f t="shared" si="221"/>
        <v>0.83</v>
      </c>
      <c r="AQ115" s="184">
        <f t="shared" si="221"/>
        <v>0</v>
      </c>
      <c r="AR115" s="184">
        <f t="shared" si="221"/>
        <v>0</v>
      </c>
      <c r="AS115" s="184">
        <f t="shared" si="221"/>
        <v>0.42</v>
      </c>
      <c r="AT115" s="184">
        <f t="shared" ref="AT115:AU115" si="222">P115+AD115-AL115</f>
        <v>1</v>
      </c>
      <c r="AU115" s="184">
        <f t="shared" si="222"/>
        <v>1</v>
      </c>
      <c r="AV115" s="62"/>
      <c r="AW115" s="202"/>
      <c r="AX115" s="202"/>
      <c r="AY115" s="202"/>
      <c r="AZ115" s="202"/>
      <c r="BA115" s="202"/>
      <c r="BB115" s="202"/>
      <c r="BC115" s="202"/>
      <c r="BD115" s="203"/>
      <c r="BE115" s="62"/>
      <c r="BF115" s="62"/>
      <c r="BG115" s="62"/>
      <c r="BH115" s="54"/>
      <c r="BI115" s="54"/>
      <c r="BJ115" s="54"/>
      <c r="BK115" s="54"/>
      <c r="BL115" s="54"/>
      <c r="BM115" s="54"/>
      <c r="BN115" s="54"/>
      <c r="BO115" s="57"/>
      <c r="BP115" s="58" t="s">
        <v>1152</v>
      </c>
      <c r="BQ115" s="57"/>
      <c r="BR115" s="58"/>
    </row>
    <row r="116">
      <c r="A116" s="176">
        <v>112.0</v>
      </c>
      <c r="B116" s="139" t="s">
        <v>1351</v>
      </c>
      <c r="C116" s="247" t="s">
        <v>127</v>
      </c>
      <c r="D116" s="245">
        <v>2.5</v>
      </c>
      <c r="E116" s="245">
        <v>1.9</v>
      </c>
      <c r="F116" s="245">
        <v>0.3</v>
      </c>
      <c r="G116" s="245">
        <v>0.3</v>
      </c>
      <c r="H116" s="245">
        <v>0.0</v>
      </c>
      <c r="I116" s="245">
        <v>0.0</v>
      </c>
      <c r="J116" s="106">
        <v>2.0</v>
      </c>
      <c r="K116" s="106">
        <v>1.4</v>
      </c>
      <c r="L116" s="106">
        <v>0.3</v>
      </c>
      <c r="M116" s="106">
        <v>0.3</v>
      </c>
      <c r="N116" s="106">
        <v>0.0</v>
      </c>
      <c r="O116" s="106">
        <v>0.0</v>
      </c>
      <c r="P116" s="180">
        <v>1.0</v>
      </c>
      <c r="Q116" s="180">
        <v>1.0</v>
      </c>
      <c r="R116" s="62"/>
      <c r="S116" s="248">
        <v>0.14</v>
      </c>
      <c r="T116" s="249">
        <v>0.02</v>
      </c>
      <c r="U116" s="249">
        <v>0.03</v>
      </c>
      <c r="V116" s="249">
        <v>0.0</v>
      </c>
      <c r="W116" s="249">
        <v>0.04</v>
      </c>
      <c r="X116" s="62"/>
      <c r="Y116" s="176">
        <v>0.0</v>
      </c>
      <c r="Z116" s="176">
        <v>0.0</v>
      </c>
      <c r="AA116" s="176">
        <v>0.0</v>
      </c>
      <c r="AB116" s="176">
        <v>0.0</v>
      </c>
      <c r="AC116" s="176">
        <v>0.0</v>
      </c>
      <c r="AD116" s="176">
        <v>0.0</v>
      </c>
      <c r="AE116" s="176">
        <v>0.0</v>
      </c>
      <c r="AF116" s="62"/>
      <c r="AG116" s="54"/>
      <c r="AH116" s="47">
        <v>0.005</v>
      </c>
      <c r="AI116" s="47">
        <v>0.03</v>
      </c>
      <c r="AJ116" s="54"/>
      <c r="AK116" s="54"/>
      <c r="AL116" s="54"/>
      <c r="AM116" s="54"/>
      <c r="AN116" s="62"/>
      <c r="AO116" s="184">
        <f t="shared" ref="AO116:AS116" si="223">ROUND(E116*(5/12)+K116*(5/12)+S116+Y116-AG116,2)</f>
        <v>1.52</v>
      </c>
      <c r="AP116" s="184">
        <f t="shared" si="223"/>
        <v>0.27</v>
      </c>
      <c r="AQ116" s="184">
        <f t="shared" si="223"/>
        <v>0.25</v>
      </c>
      <c r="AR116" s="184">
        <f t="shared" si="223"/>
        <v>0</v>
      </c>
      <c r="AS116" s="184">
        <f t="shared" si="223"/>
        <v>0.04</v>
      </c>
      <c r="AT116" s="184">
        <f t="shared" ref="AT116:AU116" si="224">P116+AD116-AL116</f>
        <v>1</v>
      </c>
      <c r="AU116" s="184">
        <f t="shared" si="224"/>
        <v>1</v>
      </c>
      <c r="AV116" s="62"/>
      <c r="AW116" s="250"/>
      <c r="AX116" s="250"/>
      <c r="AY116" s="202"/>
      <c r="AZ116" s="202"/>
      <c r="BA116" s="202"/>
      <c r="BB116" s="202"/>
      <c r="BC116" s="202"/>
      <c r="BD116" s="203" t="s">
        <v>1157</v>
      </c>
      <c r="BE116" s="62"/>
      <c r="BF116" s="62"/>
      <c r="BG116" s="62"/>
      <c r="BH116" s="251"/>
      <c r="BI116" s="54"/>
      <c r="BJ116" s="54"/>
      <c r="BK116" s="54"/>
      <c r="BL116" s="54"/>
      <c r="BM116" s="252"/>
      <c r="BN116" s="253"/>
      <c r="BO116" s="113"/>
      <c r="BP116" s="73"/>
      <c r="BQ116" s="113"/>
      <c r="BR116" s="113"/>
    </row>
    <row r="117">
      <c r="A117" s="176">
        <v>113.0</v>
      </c>
      <c r="B117" s="254" t="s">
        <v>1352</v>
      </c>
      <c r="C117" s="178" t="s">
        <v>127</v>
      </c>
      <c r="D117" s="245">
        <v>4.0</v>
      </c>
      <c r="E117" s="245">
        <v>0.7</v>
      </c>
      <c r="F117" s="245">
        <v>0.1</v>
      </c>
      <c r="G117" s="245">
        <v>0.2</v>
      </c>
      <c r="H117" s="245">
        <v>0.0</v>
      </c>
      <c r="I117" s="245">
        <v>0.0</v>
      </c>
      <c r="J117" s="106">
        <v>2.66</v>
      </c>
      <c r="K117" s="106">
        <v>1.04</v>
      </c>
      <c r="L117" s="106">
        <v>0.1</v>
      </c>
      <c r="M117" s="106">
        <v>0.2</v>
      </c>
      <c r="N117" s="106">
        <v>0.0</v>
      </c>
      <c r="O117" s="106">
        <v>0.0</v>
      </c>
      <c r="P117" s="180">
        <v>1.0</v>
      </c>
      <c r="Q117" s="180">
        <v>1.0</v>
      </c>
      <c r="R117" s="62"/>
      <c r="S117" s="182">
        <v>0.08</v>
      </c>
      <c r="T117" s="183">
        <v>0.0</v>
      </c>
      <c r="U117" s="183">
        <v>0.03</v>
      </c>
      <c r="V117" s="183">
        <v>0.0</v>
      </c>
      <c r="W117" s="183">
        <v>0.0</v>
      </c>
      <c r="X117" s="62"/>
      <c r="Y117" s="176">
        <v>0.0</v>
      </c>
      <c r="Z117" s="176">
        <v>0.0</v>
      </c>
      <c r="AA117" s="176">
        <v>0.0</v>
      </c>
      <c r="AB117" s="176">
        <v>0.0</v>
      </c>
      <c r="AC117" s="176">
        <v>0.0</v>
      </c>
      <c r="AD117" s="176">
        <v>0.0</v>
      </c>
      <c r="AE117" s="176">
        <v>0.0</v>
      </c>
      <c r="AF117" s="62"/>
      <c r="AG117" s="47">
        <v>0.08</v>
      </c>
      <c r="AH117" s="54"/>
      <c r="AI117" s="47">
        <v>0.02</v>
      </c>
      <c r="AJ117" s="54"/>
      <c r="AK117" s="54"/>
      <c r="AL117" s="54"/>
      <c r="AM117" s="54"/>
      <c r="AN117" s="62"/>
      <c r="AO117" s="184">
        <f t="shared" ref="AO117:AS117" si="225">ROUND(E117*(5/12)+K117*(5/12)+S117+Y117-AG117,2)</f>
        <v>0.73</v>
      </c>
      <c r="AP117" s="184">
        <f t="shared" si="225"/>
        <v>0.08</v>
      </c>
      <c r="AQ117" s="184">
        <f t="shared" si="225"/>
        <v>0.18</v>
      </c>
      <c r="AR117" s="184">
        <f t="shared" si="225"/>
        <v>0</v>
      </c>
      <c r="AS117" s="184">
        <f t="shared" si="225"/>
        <v>0</v>
      </c>
      <c r="AT117" s="184">
        <f t="shared" ref="AT117:AU117" si="226">P117+AD117-AL117</f>
        <v>1</v>
      </c>
      <c r="AU117" s="184">
        <f t="shared" si="226"/>
        <v>1</v>
      </c>
      <c r="AV117" s="62"/>
      <c r="AW117" s="176">
        <v>0.75</v>
      </c>
      <c r="AX117" s="176">
        <v>0.08</v>
      </c>
      <c r="AY117" s="176">
        <v>0.2</v>
      </c>
      <c r="AZ117" s="176" t="s">
        <v>913</v>
      </c>
      <c r="BA117" s="176" t="s">
        <v>913</v>
      </c>
      <c r="BB117" s="176">
        <v>1.0</v>
      </c>
      <c r="BC117" s="176">
        <v>1.0</v>
      </c>
      <c r="BD117" s="196" t="s">
        <v>1353</v>
      </c>
      <c r="BE117" s="62"/>
      <c r="BF117" s="62"/>
      <c r="BG117" s="62"/>
      <c r="BH117" s="54"/>
      <c r="BI117" s="54"/>
      <c r="BJ117" s="54"/>
      <c r="BK117" s="54"/>
      <c r="BL117" s="54"/>
      <c r="BM117" s="54"/>
      <c r="BN117" s="54"/>
      <c r="BO117" s="57"/>
      <c r="BP117" s="58" t="s">
        <v>1152</v>
      </c>
      <c r="BQ117" s="57"/>
      <c r="BR117" s="57"/>
    </row>
    <row r="118">
      <c r="A118" s="176">
        <v>114.0</v>
      </c>
      <c r="B118" s="255" t="s">
        <v>1354</v>
      </c>
      <c r="C118" s="178" t="s">
        <v>127</v>
      </c>
      <c r="D118" s="245">
        <v>4.0</v>
      </c>
      <c r="E118" s="245">
        <v>0.4</v>
      </c>
      <c r="F118" s="245">
        <v>0.0</v>
      </c>
      <c r="G118" s="245">
        <v>0.2</v>
      </c>
      <c r="H118" s="245">
        <v>0.4</v>
      </c>
      <c r="I118" s="245">
        <v>0.0</v>
      </c>
      <c r="J118" s="106">
        <v>2.0</v>
      </c>
      <c r="K118" s="106">
        <v>1.4</v>
      </c>
      <c r="L118" s="106">
        <v>0.0</v>
      </c>
      <c r="M118" s="106">
        <v>0.2</v>
      </c>
      <c r="N118" s="106">
        <v>0.4</v>
      </c>
      <c r="O118" s="106">
        <v>0.0</v>
      </c>
      <c r="P118" s="180">
        <v>1.0</v>
      </c>
      <c r="Q118" s="180">
        <v>1.0</v>
      </c>
      <c r="R118" s="62"/>
      <c r="S118" s="182">
        <v>0.05</v>
      </c>
      <c r="T118" s="183">
        <v>0.03</v>
      </c>
      <c r="U118" s="183">
        <v>0.0</v>
      </c>
      <c r="V118" s="183">
        <v>0.03</v>
      </c>
      <c r="W118" s="183">
        <v>0.0</v>
      </c>
      <c r="X118" s="62"/>
      <c r="Y118" s="176">
        <v>0.0</v>
      </c>
      <c r="Z118" s="176">
        <v>0.0</v>
      </c>
      <c r="AA118" s="176">
        <v>0.0</v>
      </c>
      <c r="AB118" s="176">
        <v>0.0</v>
      </c>
      <c r="AC118" s="176">
        <v>0.0</v>
      </c>
      <c r="AD118" s="176">
        <v>0.0</v>
      </c>
      <c r="AE118" s="176">
        <v>0.0</v>
      </c>
      <c r="AF118" s="62"/>
      <c r="AG118" s="47"/>
      <c r="AH118" s="54"/>
      <c r="AI118" s="54"/>
      <c r="AJ118" s="47"/>
      <c r="AK118" s="54"/>
      <c r="AL118" s="54"/>
      <c r="AM118" s="47"/>
      <c r="AN118" s="62"/>
      <c r="AO118" s="184">
        <f t="shared" ref="AO118:AS118" si="227">ROUND(E118*(5/12)+K118*(5/12)+S118+Y118-AG118,2)</f>
        <v>0.8</v>
      </c>
      <c r="AP118" s="184">
        <f t="shared" si="227"/>
        <v>0.03</v>
      </c>
      <c r="AQ118" s="184">
        <f t="shared" si="227"/>
        <v>0.17</v>
      </c>
      <c r="AR118" s="184">
        <f t="shared" si="227"/>
        <v>0.36</v>
      </c>
      <c r="AS118" s="184">
        <f t="shared" si="227"/>
        <v>0</v>
      </c>
      <c r="AT118" s="184">
        <f t="shared" ref="AT118:AU118" si="228">P118+AD118-AL118</f>
        <v>1</v>
      </c>
      <c r="AU118" s="184">
        <f t="shared" si="228"/>
        <v>1</v>
      </c>
      <c r="AV118" s="62"/>
      <c r="AW118" s="176">
        <v>1.0</v>
      </c>
      <c r="AX118" s="176">
        <v>0.03</v>
      </c>
      <c r="AY118" s="176">
        <v>0.2</v>
      </c>
      <c r="AZ118" s="176">
        <v>0.36</v>
      </c>
      <c r="BA118" s="176" t="s">
        <v>913</v>
      </c>
      <c r="BB118" s="176">
        <v>1.0</v>
      </c>
      <c r="BC118" s="176">
        <v>1.0</v>
      </c>
      <c r="BD118" s="196" t="s">
        <v>1355</v>
      </c>
      <c r="BE118" s="62"/>
      <c r="BF118" s="62"/>
      <c r="BG118" s="62"/>
      <c r="BH118" s="54"/>
      <c r="BI118" s="54"/>
      <c r="BJ118" s="54"/>
      <c r="BK118" s="54"/>
      <c r="BL118" s="54"/>
      <c r="BM118" s="54"/>
      <c r="BN118" s="54"/>
      <c r="BO118" s="57"/>
      <c r="BP118" s="58" t="s">
        <v>1152</v>
      </c>
      <c r="BQ118" s="58" t="s">
        <v>1356</v>
      </c>
      <c r="BR118" s="58" t="s">
        <v>1357</v>
      </c>
    </row>
    <row r="119">
      <c r="A119" s="176">
        <v>115.0</v>
      </c>
      <c r="B119" s="177" t="s">
        <v>1358</v>
      </c>
      <c r="C119" s="178" t="s">
        <v>127</v>
      </c>
      <c r="D119" s="245">
        <v>3.66</v>
      </c>
      <c r="E119" s="245">
        <v>0.34</v>
      </c>
      <c r="F119" s="245">
        <v>0.0</v>
      </c>
      <c r="G119" s="245">
        <v>0.2</v>
      </c>
      <c r="H119" s="245">
        <v>0.0</v>
      </c>
      <c r="I119" s="245">
        <v>0.1</v>
      </c>
      <c r="J119" s="106">
        <v>3.0</v>
      </c>
      <c r="K119" s="106">
        <v>0.7</v>
      </c>
      <c r="L119" s="106">
        <v>0.0</v>
      </c>
      <c r="M119" s="106">
        <v>0.2</v>
      </c>
      <c r="N119" s="106">
        <v>0.0</v>
      </c>
      <c r="O119" s="106">
        <v>0.1</v>
      </c>
      <c r="P119" s="180">
        <v>1.0</v>
      </c>
      <c r="Q119" s="180">
        <v>1.0</v>
      </c>
      <c r="R119" s="62"/>
      <c r="S119" s="182">
        <v>0.01</v>
      </c>
      <c r="T119" s="183">
        <v>0.03</v>
      </c>
      <c r="U119" s="183">
        <v>0.02</v>
      </c>
      <c r="V119" s="183">
        <v>0.0</v>
      </c>
      <c r="W119" s="183">
        <v>0.0</v>
      </c>
      <c r="X119" s="62"/>
      <c r="Y119" s="176">
        <v>0.0</v>
      </c>
      <c r="Z119" s="176">
        <v>0.0</v>
      </c>
      <c r="AA119" s="176">
        <v>0.0</v>
      </c>
      <c r="AB119" s="176">
        <v>0.0</v>
      </c>
      <c r="AC119" s="176">
        <v>0.0</v>
      </c>
      <c r="AD119" s="176">
        <v>0.0</v>
      </c>
      <c r="AE119" s="176">
        <v>0.0</v>
      </c>
      <c r="AF119" s="62"/>
      <c r="AG119" s="47">
        <v>0.01</v>
      </c>
      <c r="AH119" s="54"/>
      <c r="AI119" s="47">
        <v>0.02</v>
      </c>
      <c r="AJ119" s="54"/>
      <c r="AK119" s="54"/>
      <c r="AL119" s="54"/>
      <c r="AM119" s="54"/>
      <c r="AN119" s="62"/>
      <c r="AO119" s="184">
        <f t="shared" ref="AO119:AS119" si="229">ROUND(E119*(5/12)+K119*(5/12)+S119+Y119-AG119,2)</f>
        <v>0.43</v>
      </c>
      <c r="AP119" s="184">
        <f t="shared" si="229"/>
        <v>0.03</v>
      </c>
      <c r="AQ119" s="184">
        <f t="shared" si="229"/>
        <v>0.17</v>
      </c>
      <c r="AR119" s="184">
        <f t="shared" si="229"/>
        <v>0</v>
      </c>
      <c r="AS119" s="184">
        <f t="shared" si="229"/>
        <v>0.08</v>
      </c>
      <c r="AT119" s="184">
        <f t="shared" ref="AT119:AU119" si="230">P119+AD119-AL119</f>
        <v>1</v>
      </c>
      <c r="AU119" s="184">
        <f t="shared" si="230"/>
        <v>1</v>
      </c>
      <c r="AV119" s="62"/>
      <c r="AW119" s="176">
        <v>0.5</v>
      </c>
      <c r="AX119" s="176">
        <v>0.03</v>
      </c>
      <c r="AY119" s="176">
        <v>0.2</v>
      </c>
      <c r="AZ119" s="176" t="s">
        <v>913</v>
      </c>
      <c r="BA119" s="176">
        <v>0.1</v>
      </c>
      <c r="BB119" s="176">
        <v>1.0</v>
      </c>
      <c r="BC119" s="176">
        <v>1.0</v>
      </c>
      <c r="BD119" s="196" t="s">
        <v>1359</v>
      </c>
      <c r="BE119" s="62"/>
      <c r="BF119" s="62"/>
      <c r="BG119" s="62"/>
      <c r="BH119" s="47">
        <v>1.46</v>
      </c>
      <c r="BI119" s="54"/>
      <c r="BJ119" s="54"/>
      <c r="BK119" s="54"/>
      <c r="BL119" s="54"/>
      <c r="BM119" s="54"/>
      <c r="BN119" s="54"/>
      <c r="BO119" s="57"/>
      <c r="BP119" s="58" t="s">
        <v>1152</v>
      </c>
      <c r="BQ119" s="57"/>
      <c r="BR119" s="57"/>
    </row>
    <row r="120">
      <c r="A120" s="176">
        <v>116.0</v>
      </c>
      <c r="B120" s="177" t="s">
        <v>1360</v>
      </c>
      <c r="C120" s="178" t="s">
        <v>127</v>
      </c>
      <c r="D120" s="245">
        <v>3.7</v>
      </c>
      <c r="E120" s="245">
        <v>1.0</v>
      </c>
      <c r="F120" s="245">
        <v>0.0</v>
      </c>
      <c r="G120" s="245">
        <v>0.2</v>
      </c>
      <c r="H120" s="245">
        <v>0.0</v>
      </c>
      <c r="I120" s="245">
        <v>0.1</v>
      </c>
      <c r="J120" s="106">
        <v>2.0</v>
      </c>
      <c r="K120" s="106">
        <v>1.7</v>
      </c>
      <c r="L120" s="106">
        <v>0.0</v>
      </c>
      <c r="M120" s="106">
        <v>0.2</v>
      </c>
      <c r="N120" s="106">
        <v>0.0</v>
      </c>
      <c r="O120" s="106">
        <v>0.1</v>
      </c>
      <c r="P120" s="180">
        <v>1.0</v>
      </c>
      <c r="Q120" s="180">
        <v>1.0</v>
      </c>
      <c r="R120" s="62"/>
      <c r="S120" s="182">
        <v>0.05</v>
      </c>
      <c r="T120" s="183">
        <v>0.03</v>
      </c>
      <c r="U120" s="183">
        <v>0.03</v>
      </c>
      <c r="V120" s="183">
        <v>0.0</v>
      </c>
      <c r="W120" s="183">
        <v>0.0</v>
      </c>
      <c r="X120" s="62"/>
      <c r="Y120" s="176">
        <v>0.0</v>
      </c>
      <c r="Z120" s="176">
        <v>0.0</v>
      </c>
      <c r="AA120" s="176">
        <v>0.0</v>
      </c>
      <c r="AB120" s="176">
        <v>0.0</v>
      </c>
      <c r="AC120" s="176">
        <v>0.0</v>
      </c>
      <c r="AD120" s="176">
        <v>0.0</v>
      </c>
      <c r="AE120" s="176">
        <v>0.0</v>
      </c>
      <c r="AF120" s="62"/>
      <c r="AG120" s="47">
        <v>0.3</v>
      </c>
      <c r="AH120" s="54"/>
      <c r="AI120" s="47">
        <v>0.02</v>
      </c>
      <c r="AJ120" s="54"/>
      <c r="AK120" s="54"/>
      <c r="AL120" s="54"/>
      <c r="AM120" s="54"/>
      <c r="AN120" s="62"/>
      <c r="AO120" s="184">
        <f t="shared" ref="AO120:AS120" si="231">ROUND(E120*(5/12)+K120*(5/12)+S120+Y120-AG120,2)</f>
        <v>0.88</v>
      </c>
      <c r="AP120" s="184">
        <f t="shared" si="231"/>
        <v>0.03</v>
      </c>
      <c r="AQ120" s="184">
        <f t="shared" si="231"/>
        <v>0.18</v>
      </c>
      <c r="AR120" s="184">
        <f t="shared" si="231"/>
        <v>0</v>
      </c>
      <c r="AS120" s="184">
        <f t="shared" si="231"/>
        <v>0.08</v>
      </c>
      <c r="AT120" s="184">
        <f t="shared" ref="AT120:AU120" si="232">P120+AD120-AL120</f>
        <v>1</v>
      </c>
      <c r="AU120" s="184">
        <f t="shared" si="232"/>
        <v>1</v>
      </c>
      <c r="AV120" s="62"/>
      <c r="AW120" s="176">
        <v>1.0</v>
      </c>
      <c r="AX120" s="176">
        <v>0.03</v>
      </c>
      <c r="AY120" s="176">
        <v>0.2</v>
      </c>
      <c r="AZ120" s="176" t="s">
        <v>913</v>
      </c>
      <c r="BA120" s="176">
        <v>0.1</v>
      </c>
      <c r="BB120" s="176">
        <v>1.0</v>
      </c>
      <c r="BC120" s="176">
        <v>1.0</v>
      </c>
      <c r="BD120" s="196" t="s">
        <v>1361</v>
      </c>
      <c r="BE120" s="62"/>
      <c r="BF120" s="62"/>
      <c r="BG120" s="62"/>
      <c r="BH120" s="54"/>
      <c r="BI120" s="54"/>
      <c r="BJ120" s="54"/>
      <c r="BK120" s="54"/>
      <c r="BL120" s="54"/>
      <c r="BM120" s="54"/>
      <c r="BN120" s="54"/>
      <c r="BO120" s="57"/>
      <c r="BP120" s="58" t="s">
        <v>1152</v>
      </c>
      <c r="BQ120" s="58" t="s">
        <v>1152</v>
      </c>
      <c r="BR120" s="57"/>
    </row>
    <row r="121">
      <c r="A121" s="176">
        <v>117.0</v>
      </c>
      <c r="B121" s="254" t="s">
        <v>1362</v>
      </c>
      <c r="C121" s="178" t="s">
        <v>127</v>
      </c>
      <c r="D121" s="245">
        <v>4.66</v>
      </c>
      <c r="E121" s="245">
        <v>0.0</v>
      </c>
      <c r="F121" s="245">
        <v>0.0</v>
      </c>
      <c r="G121" s="245">
        <v>0.0</v>
      </c>
      <c r="H121" s="245">
        <v>0.0</v>
      </c>
      <c r="I121" s="245">
        <v>0.0</v>
      </c>
      <c r="J121" s="106">
        <v>3.66</v>
      </c>
      <c r="K121" s="106">
        <v>0.34</v>
      </c>
      <c r="L121" s="106">
        <v>0.0</v>
      </c>
      <c r="M121" s="106">
        <v>0.0</v>
      </c>
      <c r="N121" s="106">
        <v>0.0</v>
      </c>
      <c r="O121" s="106">
        <v>0.0</v>
      </c>
      <c r="P121" s="180">
        <v>1.0</v>
      </c>
      <c r="Q121" s="180">
        <v>1.0</v>
      </c>
      <c r="R121" s="62"/>
      <c r="S121" s="182">
        <v>0.01</v>
      </c>
      <c r="T121" s="183">
        <v>0.03</v>
      </c>
      <c r="U121" s="183">
        <v>0.02</v>
      </c>
      <c r="V121" s="183">
        <v>0.0</v>
      </c>
      <c r="W121" s="183">
        <v>0.0</v>
      </c>
      <c r="X121" s="62"/>
      <c r="Y121" s="176">
        <v>0.0</v>
      </c>
      <c r="Z121" s="176">
        <v>0.0</v>
      </c>
      <c r="AA121" s="176">
        <v>0.0</v>
      </c>
      <c r="AB121" s="176">
        <v>0.0</v>
      </c>
      <c r="AC121" s="176">
        <v>0.0</v>
      </c>
      <c r="AD121" s="176">
        <v>0.0</v>
      </c>
      <c r="AE121" s="176">
        <v>0.0</v>
      </c>
      <c r="AF121" s="62"/>
      <c r="AG121" s="54"/>
      <c r="AH121" s="54"/>
      <c r="AI121" s="47">
        <v>0.01</v>
      </c>
      <c r="AJ121" s="54"/>
      <c r="AK121" s="54"/>
      <c r="AL121" s="54"/>
      <c r="AM121" s="54"/>
      <c r="AN121" s="62"/>
      <c r="AO121" s="184">
        <f t="shared" ref="AO121:AS121" si="233">ROUND(E121*(5/12)+K121*(5/12)+S121+Y121-AG121,2)</f>
        <v>0.15</v>
      </c>
      <c r="AP121" s="184">
        <f t="shared" si="233"/>
        <v>0.03</v>
      </c>
      <c r="AQ121" s="184">
        <f t="shared" si="233"/>
        <v>0.01</v>
      </c>
      <c r="AR121" s="184">
        <f t="shared" si="233"/>
        <v>0</v>
      </c>
      <c r="AS121" s="184">
        <f t="shared" si="233"/>
        <v>0</v>
      </c>
      <c r="AT121" s="184">
        <f t="shared" ref="AT121:AU121" si="234">P121+AD121-AL121</f>
        <v>1</v>
      </c>
      <c r="AU121" s="184">
        <f t="shared" si="234"/>
        <v>1</v>
      </c>
      <c r="AV121" s="62"/>
      <c r="AW121" s="176">
        <v>0.5</v>
      </c>
      <c r="AX121" s="176">
        <v>0.0</v>
      </c>
      <c r="AY121" s="176">
        <v>0.0</v>
      </c>
      <c r="AZ121" s="176" t="s">
        <v>913</v>
      </c>
      <c r="BA121" s="176" t="s">
        <v>913</v>
      </c>
      <c r="BB121" s="176">
        <v>1.0</v>
      </c>
      <c r="BC121" s="176">
        <v>2.0</v>
      </c>
      <c r="BD121" s="180" t="s">
        <v>1363</v>
      </c>
      <c r="BE121" s="62"/>
      <c r="BF121" s="62"/>
      <c r="BG121" s="62"/>
      <c r="BH121" s="54"/>
      <c r="BI121" s="54"/>
      <c r="BJ121" s="54"/>
      <c r="BK121" s="54"/>
      <c r="BL121" s="54"/>
      <c r="BM121" s="54"/>
      <c r="BN121" s="54"/>
      <c r="BO121" s="57"/>
      <c r="BP121" s="58" t="s">
        <v>1152</v>
      </c>
      <c r="BQ121" s="58" t="s">
        <v>1364</v>
      </c>
      <c r="BR121" s="57"/>
    </row>
    <row r="122">
      <c r="A122" s="176">
        <v>118.0</v>
      </c>
      <c r="B122" s="254" t="s">
        <v>1365</v>
      </c>
      <c r="C122" s="178" t="s">
        <v>127</v>
      </c>
      <c r="D122" s="245">
        <v>4.0</v>
      </c>
      <c r="E122" s="245">
        <v>0.5</v>
      </c>
      <c r="F122" s="245">
        <v>0.0</v>
      </c>
      <c r="G122" s="245">
        <v>0.0</v>
      </c>
      <c r="H122" s="245">
        <v>0.5</v>
      </c>
      <c r="I122" s="245">
        <v>0.0</v>
      </c>
      <c r="J122" s="106">
        <v>3.16</v>
      </c>
      <c r="K122" s="106">
        <v>0.34</v>
      </c>
      <c r="L122" s="106">
        <v>0.0</v>
      </c>
      <c r="M122" s="106">
        <v>0.0</v>
      </c>
      <c r="N122" s="106">
        <v>0.5</v>
      </c>
      <c r="O122" s="106">
        <v>0.0</v>
      </c>
      <c r="P122" s="180">
        <v>1.0</v>
      </c>
      <c r="Q122" s="180">
        <v>1.0</v>
      </c>
      <c r="R122" s="62"/>
      <c r="S122" s="182">
        <v>0.0</v>
      </c>
      <c r="T122" s="183">
        <v>0.0</v>
      </c>
      <c r="U122" s="183">
        <v>0.0</v>
      </c>
      <c r="V122" s="183">
        <v>0.08</v>
      </c>
      <c r="W122" s="183">
        <v>0.0</v>
      </c>
      <c r="X122" s="62"/>
      <c r="Y122" s="176">
        <v>0.0</v>
      </c>
      <c r="Z122" s="176">
        <v>0.0</v>
      </c>
      <c r="AA122" s="176">
        <v>0.0</v>
      </c>
      <c r="AB122" s="176">
        <v>0.0</v>
      </c>
      <c r="AC122" s="176">
        <v>0.0</v>
      </c>
      <c r="AD122" s="176">
        <v>0.0</v>
      </c>
      <c r="AE122" s="176">
        <v>0.0</v>
      </c>
      <c r="AF122" s="62"/>
      <c r="AG122" s="47">
        <v>0.05</v>
      </c>
      <c r="AH122" s="54"/>
      <c r="AI122" s="54"/>
      <c r="AJ122" s="47">
        <v>0.04</v>
      </c>
      <c r="AK122" s="54"/>
      <c r="AL122" s="54"/>
      <c r="AM122" s="54"/>
      <c r="AN122" s="62"/>
      <c r="AO122" s="184">
        <f t="shared" ref="AO122:AS122" si="235">ROUND(E122*(5/12)+K122*(5/12)+S122+Y122-AG122,2)</f>
        <v>0.3</v>
      </c>
      <c r="AP122" s="184">
        <f t="shared" si="235"/>
        <v>0</v>
      </c>
      <c r="AQ122" s="184">
        <f t="shared" si="235"/>
        <v>0</v>
      </c>
      <c r="AR122" s="184">
        <f t="shared" si="235"/>
        <v>0.46</v>
      </c>
      <c r="AS122" s="184">
        <f t="shared" si="235"/>
        <v>0</v>
      </c>
      <c r="AT122" s="184">
        <f t="shared" ref="AT122:AU122" si="236">P122+AD122-AL122</f>
        <v>1</v>
      </c>
      <c r="AU122" s="184">
        <f t="shared" si="236"/>
        <v>1</v>
      </c>
      <c r="AV122" s="62"/>
      <c r="AW122" s="176">
        <v>0.5</v>
      </c>
      <c r="AX122" s="176" t="s">
        <v>913</v>
      </c>
      <c r="AY122" s="176" t="s">
        <v>913</v>
      </c>
      <c r="AZ122" s="176">
        <v>0.6</v>
      </c>
      <c r="BA122" s="176" t="s">
        <v>913</v>
      </c>
      <c r="BB122" s="176">
        <v>1.0</v>
      </c>
      <c r="BC122" s="176">
        <v>1.0</v>
      </c>
      <c r="BD122" s="196" t="s">
        <v>1366</v>
      </c>
      <c r="BE122" s="62"/>
      <c r="BF122" s="62"/>
      <c r="BG122" s="62"/>
      <c r="BH122" s="192"/>
      <c r="BI122" s="54"/>
      <c r="BJ122" s="54"/>
      <c r="BK122" s="54"/>
      <c r="BL122" s="54"/>
      <c r="BM122" s="192"/>
      <c r="BN122" s="54"/>
      <c r="BO122" s="57"/>
      <c r="BP122" s="58" t="s">
        <v>1152</v>
      </c>
      <c r="BQ122" s="57"/>
      <c r="BR122" s="58"/>
    </row>
    <row r="123">
      <c r="A123" s="176">
        <v>119.0</v>
      </c>
      <c r="B123" s="139" t="s">
        <v>1367</v>
      </c>
      <c r="C123" s="178" t="s">
        <v>127</v>
      </c>
      <c r="D123" s="245">
        <v>3.33</v>
      </c>
      <c r="E123" s="245">
        <v>0.37</v>
      </c>
      <c r="F123" s="245">
        <v>0.0</v>
      </c>
      <c r="G123" s="245">
        <v>0.0</v>
      </c>
      <c r="H123" s="245">
        <v>0.0</v>
      </c>
      <c r="I123" s="245">
        <v>0.3</v>
      </c>
      <c r="J123" s="106">
        <v>3.0</v>
      </c>
      <c r="K123" s="106">
        <v>0.5</v>
      </c>
      <c r="L123" s="106">
        <v>0.0</v>
      </c>
      <c r="M123" s="106">
        <v>0.2</v>
      </c>
      <c r="N123" s="106">
        <v>0.0</v>
      </c>
      <c r="O123" s="106">
        <v>0.3</v>
      </c>
      <c r="P123" s="180">
        <v>1.0</v>
      </c>
      <c r="Q123" s="180">
        <v>1.0</v>
      </c>
      <c r="R123" s="62"/>
      <c r="S123" s="182">
        <v>0.12</v>
      </c>
      <c r="T123" s="183">
        <v>0.0</v>
      </c>
      <c r="U123" s="183">
        <v>0.0</v>
      </c>
      <c r="V123" s="183">
        <v>0.0</v>
      </c>
      <c r="W123" s="183">
        <v>0.05</v>
      </c>
      <c r="X123" s="62"/>
      <c r="Y123" s="176">
        <v>0.0</v>
      </c>
      <c r="Z123" s="176">
        <v>0.0</v>
      </c>
      <c r="AA123" s="176">
        <v>0.0</v>
      </c>
      <c r="AB123" s="176">
        <v>0.0</v>
      </c>
      <c r="AC123" s="176">
        <v>0.0</v>
      </c>
      <c r="AD123" s="176">
        <v>0.0</v>
      </c>
      <c r="AE123" s="176">
        <v>0.0</v>
      </c>
      <c r="AF123" s="62"/>
      <c r="AG123" s="47">
        <v>0.12</v>
      </c>
      <c r="AH123" s="54"/>
      <c r="AI123" s="54"/>
      <c r="AJ123" s="54"/>
      <c r="AK123" s="54"/>
      <c r="AL123" s="54"/>
      <c r="AM123" s="54"/>
      <c r="AN123" s="62"/>
      <c r="AO123" s="184">
        <f t="shared" ref="AO123:AS123" si="237">ROUND(E123*(5/12)+K123*(5/12)+S123+Y123-AG123,2)</f>
        <v>0.36</v>
      </c>
      <c r="AP123" s="184">
        <f t="shared" si="237"/>
        <v>0</v>
      </c>
      <c r="AQ123" s="184">
        <f t="shared" si="237"/>
        <v>0.08</v>
      </c>
      <c r="AR123" s="184">
        <f t="shared" si="237"/>
        <v>0</v>
      </c>
      <c r="AS123" s="184">
        <f t="shared" si="237"/>
        <v>0.3</v>
      </c>
      <c r="AT123" s="184">
        <f t="shared" ref="AT123:AU123" si="238">P123+AD123-AL123</f>
        <v>1</v>
      </c>
      <c r="AU123" s="184">
        <f t="shared" si="238"/>
        <v>1</v>
      </c>
      <c r="AV123" s="62"/>
      <c r="AW123" s="176">
        <v>0.5</v>
      </c>
      <c r="AX123" s="176" t="s">
        <v>913</v>
      </c>
      <c r="AY123" s="176">
        <v>0.08</v>
      </c>
      <c r="AZ123" s="176" t="s">
        <v>913</v>
      </c>
      <c r="BA123" s="176">
        <v>0.3</v>
      </c>
      <c r="BB123" s="176">
        <v>1.0</v>
      </c>
      <c r="BC123" s="176">
        <v>1.0</v>
      </c>
      <c r="BD123" s="196" t="s">
        <v>1368</v>
      </c>
      <c r="BE123" s="62"/>
      <c r="BF123" s="62"/>
      <c r="BG123" s="62"/>
      <c r="BH123" s="54"/>
      <c r="BI123" s="54"/>
      <c r="BJ123" s="54"/>
      <c r="BK123" s="54"/>
      <c r="BL123" s="54"/>
      <c r="BM123" s="192"/>
      <c r="BN123" s="54"/>
      <c r="BO123" s="57"/>
      <c r="BP123" s="58" t="s">
        <v>1152</v>
      </c>
      <c r="BQ123" s="58" t="s">
        <v>1369</v>
      </c>
      <c r="BR123" s="57"/>
    </row>
    <row r="124">
      <c r="A124" s="176">
        <v>120.0</v>
      </c>
      <c r="B124" s="117" t="s">
        <v>1370</v>
      </c>
      <c r="C124" s="178" t="s">
        <v>127</v>
      </c>
      <c r="D124" s="245">
        <v>4.0</v>
      </c>
      <c r="E124" s="245">
        <v>0.0</v>
      </c>
      <c r="F124" s="245">
        <v>0.0</v>
      </c>
      <c r="G124" s="245">
        <v>0.0</v>
      </c>
      <c r="H124" s="245">
        <v>0.0</v>
      </c>
      <c r="I124" s="245">
        <v>0.0</v>
      </c>
      <c r="J124" s="106">
        <v>4.0</v>
      </c>
      <c r="K124" s="106">
        <v>0.0</v>
      </c>
      <c r="L124" s="106">
        <v>0.0</v>
      </c>
      <c r="M124" s="106">
        <v>0.0</v>
      </c>
      <c r="N124" s="106">
        <v>0.0</v>
      </c>
      <c r="O124" s="106">
        <v>0.0</v>
      </c>
      <c r="P124" s="180">
        <v>1.0</v>
      </c>
      <c r="Q124" s="180">
        <v>1.0</v>
      </c>
      <c r="R124" s="62"/>
      <c r="S124" s="182">
        <v>0.06</v>
      </c>
      <c r="T124" s="183">
        <v>0.0</v>
      </c>
      <c r="U124" s="183">
        <v>0.0</v>
      </c>
      <c r="V124" s="183">
        <v>0.0</v>
      </c>
      <c r="W124" s="183">
        <v>0.0</v>
      </c>
      <c r="X124" s="62"/>
      <c r="Y124" s="176">
        <v>0.0</v>
      </c>
      <c r="Z124" s="176">
        <v>0.0</v>
      </c>
      <c r="AA124" s="176">
        <v>0.0</v>
      </c>
      <c r="AB124" s="176">
        <v>0.0</v>
      </c>
      <c r="AC124" s="176">
        <v>0.0</v>
      </c>
      <c r="AD124" s="176">
        <v>0.0</v>
      </c>
      <c r="AE124" s="176">
        <v>0.0</v>
      </c>
      <c r="AF124" s="62"/>
      <c r="AG124" s="54"/>
      <c r="AH124" s="54"/>
      <c r="AI124" s="54"/>
      <c r="AJ124" s="54"/>
      <c r="AK124" s="54"/>
      <c r="AL124" s="54"/>
      <c r="AM124" s="54"/>
      <c r="AN124" s="62"/>
      <c r="AO124" s="184">
        <f t="shared" ref="AO124:AS124" si="239">ROUND(E124*(5/12)+K124*(5/12)+S124+Y124-AG124,2)</f>
        <v>0.06</v>
      </c>
      <c r="AP124" s="184">
        <f t="shared" si="239"/>
        <v>0</v>
      </c>
      <c r="AQ124" s="184">
        <f t="shared" si="239"/>
        <v>0</v>
      </c>
      <c r="AR124" s="184">
        <f t="shared" si="239"/>
        <v>0</v>
      </c>
      <c r="AS124" s="184">
        <f t="shared" si="239"/>
        <v>0</v>
      </c>
      <c r="AT124" s="184">
        <f t="shared" ref="AT124:AU124" si="240">P124+AD124-AL124</f>
        <v>1</v>
      </c>
      <c r="AU124" s="184">
        <f t="shared" si="240"/>
        <v>1</v>
      </c>
      <c r="AV124" s="62"/>
      <c r="AW124" s="176">
        <v>0.0</v>
      </c>
      <c r="AX124" s="176" t="s">
        <v>913</v>
      </c>
      <c r="AY124" s="176" t="s">
        <v>913</v>
      </c>
      <c r="AZ124" s="176" t="s">
        <v>913</v>
      </c>
      <c r="BA124" s="176" t="s">
        <v>913</v>
      </c>
      <c r="BB124" s="176">
        <v>0.0</v>
      </c>
      <c r="BC124" s="176">
        <v>1.0</v>
      </c>
      <c r="BD124" s="256" t="s">
        <v>1371</v>
      </c>
      <c r="BE124" s="62"/>
      <c r="BF124" s="62"/>
      <c r="BG124" s="62"/>
      <c r="BH124" s="54"/>
      <c r="BI124" s="54"/>
      <c r="BJ124" s="54"/>
      <c r="BK124" s="54"/>
      <c r="BL124" s="54"/>
      <c r="BM124" s="54"/>
      <c r="BN124" s="54"/>
      <c r="BO124" s="57"/>
      <c r="BP124" s="58" t="s">
        <v>1152</v>
      </c>
      <c r="BQ124" s="57"/>
      <c r="BR124" s="58"/>
    </row>
    <row r="125">
      <c r="A125" s="176">
        <v>121.0</v>
      </c>
      <c r="B125" s="117" t="s">
        <v>1372</v>
      </c>
      <c r="C125" s="178" t="s">
        <v>127</v>
      </c>
      <c r="D125" s="245">
        <v>4.33</v>
      </c>
      <c r="E125" s="245">
        <v>0.0</v>
      </c>
      <c r="F125" s="245">
        <v>0.0</v>
      </c>
      <c r="G125" s="245">
        <v>0.0</v>
      </c>
      <c r="H125" s="245">
        <v>0.0</v>
      </c>
      <c r="I125" s="245">
        <v>0.0</v>
      </c>
      <c r="J125" s="106">
        <v>3.33</v>
      </c>
      <c r="K125" s="106">
        <v>0.67</v>
      </c>
      <c r="L125" s="106">
        <v>0.0</v>
      </c>
      <c r="M125" s="106">
        <v>0.0</v>
      </c>
      <c r="N125" s="106">
        <v>0.0</v>
      </c>
      <c r="O125" s="106">
        <v>0.0</v>
      </c>
      <c r="P125" s="180">
        <v>1.0</v>
      </c>
      <c r="Q125" s="180">
        <v>1.0</v>
      </c>
      <c r="R125" s="62"/>
      <c r="S125" s="182">
        <v>0.11</v>
      </c>
      <c r="T125" s="183">
        <v>0.0</v>
      </c>
      <c r="U125" s="183">
        <v>0.0</v>
      </c>
      <c r="V125" s="183">
        <v>0.0</v>
      </c>
      <c r="W125" s="183">
        <v>0.0</v>
      </c>
      <c r="X125" s="62"/>
      <c r="Y125" s="176">
        <v>0.0</v>
      </c>
      <c r="Z125" s="176">
        <v>0.0</v>
      </c>
      <c r="AA125" s="176">
        <v>0.0</v>
      </c>
      <c r="AB125" s="176">
        <v>0.0</v>
      </c>
      <c r="AC125" s="176">
        <v>0.0</v>
      </c>
      <c r="AD125" s="176">
        <v>0.0</v>
      </c>
      <c r="AE125" s="176">
        <v>0.0</v>
      </c>
      <c r="AF125" s="62"/>
      <c r="AG125" s="54"/>
      <c r="AH125" s="54"/>
      <c r="AI125" s="54"/>
      <c r="AJ125" s="54"/>
      <c r="AK125" s="54"/>
      <c r="AL125" s="54"/>
      <c r="AM125" s="54"/>
      <c r="AN125" s="62"/>
      <c r="AO125" s="184">
        <f t="shared" ref="AO125:AS125" si="241">ROUND(E125*(5/12)+K125*(5/12)+S125+Y125-AG125,2)</f>
        <v>0.39</v>
      </c>
      <c r="AP125" s="184">
        <f t="shared" si="241"/>
        <v>0</v>
      </c>
      <c r="AQ125" s="184">
        <f t="shared" si="241"/>
        <v>0</v>
      </c>
      <c r="AR125" s="184">
        <f t="shared" si="241"/>
        <v>0</v>
      </c>
      <c r="AS125" s="184">
        <f t="shared" si="241"/>
        <v>0</v>
      </c>
      <c r="AT125" s="184">
        <f t="shared" ref="AT125:AU125" si="242">P125+AD125-AL125</f>
        <v>1</v>
      </c>
      <c r="AU125" s="184">
        <f t="shared" si="242"/>
        <v>1</v>
      </c>
      <c r="AV125" s="62"/>
      <c r="AW125" s="176">
        <v>0.5</v>
      </c>
      <c r="AX125" s="176" t="s">
        <v>913</v>
      </c>
      <c r="AY125" s="176" t="s">
        <v>913</v>
      </c>
      <c r="AZ125" s="176" t="s">
        <v>913</v>
      </c>
      <c r="BA125" s="176" t="s">
        <v>913</v>
      </c>
      <c r="BB125" s="176">
        <v>1.0</v>
      </c>
      <c r="BC125" s="176">
        <v>1.0</v>
      </c>
      <c r="BD125" s="196" t="s">
        <v>1373</v>
      </c>
      <c r="BE125" s="62"/>
      <c r="BF125" s="62"/>
      <c r="BG125" s="62"/>
      <c r="BH125" s="54"/>
      <c r="BI125" s="54"/>
      <c r="BJ125" s="54"/>
      <c r="BK125" s="54"/>
      <c r="BL125" s="54"/>
      <c r="BM125" s="72"/>
      <c r="BN125" s="72"/>
      <c r="BO125" s="57"/>
      <c r="BP125" s="58" t="s">
        <v>1152</v>
      </c>
      <c r="BQ125" s="58" t="s">
        <v>1374</v>
      </c>
      <c r="BR125" s="57"/>
    </row>
    <row r="126">
      <c r="A126" s="176">
        <v>122.0</v>
      </c>
      <c r="B126" s="255" t="s">
        <v>1375</v>
      </c>
      <c r="C126" s="178" t="s">
        <v>127</v>
      </c>
      <c r="D126" s="245">
        <v>4.0</v>
      </c>
      <c r="E126" s="245">
        <v>0.34</v>
      </c>
      <c r="F126" s="245">
        <v>0.0</v>
      </c>
      <c r="G126" s="245">
        <v>0.0</v>
      </c>
      <c r="H126" s="245">
        <v>0.0</v>
      </c>
      <c r="I126" s="245">
        <v>0.0</v>
      </c>
      <c r="J126" s="106">
        <v>3.66</v>
      </c>
      <c r="K126" s="106">
        <v>0.34</v>
      </c>
      <c r="L126" s="106">
        <v>0.0</v>
      </c>
      <c r="M126" s="106">
        <v>0.0</v>
      </c>
      <c r="N126" s="106">
        <v>0.0</v>
      </c>
      <c r="O126" s="106">
        <v>0.0</v>
      </c>
      <c r="P126" s="180">
        <v>1.0</v>
      </c>
      <c r="Q126" s="180">
        <v>1.0</v>
      </c>
      <c r="R126" s="62"/>
      <c r="S126" s="182">
        <v>0.08</v>
      </c>
      <c r="T126" s="183">
        <v>0.0</v>
      </c>
      <c r="U126" s="183">
        <v>0.03</v>
      </c>
      <c r="V126" s="183">
        <v>0.0</v>
      </c>
      <c r="W126" s="183">
        <v>0.0</v>
      </c>
      <c r="X126" s="62"/>
      <c r="Y126" s="176">
        <v>0.0</v>
      </c>
      <c r="Z126" s="176">
        <v>0.0</v>
      </c>
      <c r="AA126" s="176">
        <v>0.0</v>
      </c>
      <c r="AB126" s="176">
        <v>0.0</v>
      </c>
      <c r="AC126" s="176">
        <v>0.0</v>
      </c>
      <c r="AD126" s="176">
        <v>0.0</v>
      </c>
      <c r="AE126" s="176">
        <v>0.0</v>
      </c>
      <c r="AF126" s="62"/>
      <c r="AG126" s="47"/>
      <c r="AH126" s="54"/>
      <c r="AI126" s="54"/>
      <c r="AJ126" s="54"/>
      <c r="AK126" s="54"/>
      <c r="AL126" s="54"/>
      <c r="AM126" s="47">
        <v>0.42</v>
      </c>
      <c r="AN126" s="62"/>
      <c r="AO126" s="184">
        <f t="shared" ref="AO126:AS126" si="243">ROUND(E126*(5/12)+K126*(5/12)+S126+Y126-AG126,2)</f>
        <v>0.36</v>
      </c>
      <c r="AP126" s="184">
        <f t="shared" si="243"/>
        <v>0</v>
      </c>
      <c r="AQ126" s="184">
        <f t="shared" si="243"/>
        <v>0.03</v>
      </c>
      <c r="AR126" s="184">
        <f t="shared" si="243"/>
        <v>0</v>
      </c>
      <c r="AS126" s="184">
        <f t="shared" si="243"/>
        <v>0</v>
      </c>
      <c r="AT126" s="184">
        <f t="shared" ref="AT126:AU126" si="244">P126+AD126-AL126</f>
        <v>1</v>
      </c>
      <c r="AU126" s="184">
        <f t="shared" si="244"/>
        <v>0.58</v>
      </c>
      <c r="AV126" s="62"/>
      <c r="AW126" s="176">
        <v>0.5</v>
      </c>
      <c r="AX126" s="176" t="s">
        <v>913</v>
      </c>
      <c r="AY126" s="176">
        <v>0.0</v>
      </c>
      <c r="AZ126" s="176" t="s">
        <v>913</v>
      </c>
      <c r="BA126" s="176" t="s">
        <v>913</v>
      </c>
      <c r="BB126" s="176">
        <v>1.0</v>
      </c>
      <c r="BC126" s="176">
        <v>1.0</v>
      </c>
      <c r="BD126" s="180" t="s">
        <v>1376</v>
      </c>
      <c r="BE126" s="62"/>
      <c r="BF126" s="62"/>
      <c r="BG126" s="62"/>
      <c r="BH126" s="71"/>
      <c r="BI126" s="72"/>
      <c r="BJ126" s="54"/>
      <c r="BK126" s="54"/>
      <c r="BL126" s="54"/>
      <c r="BM126" s="71"/>
      <c r="BN126" s="54"/>
      <c r="BO126" s="57"/>
      <c r="BP126" s="58" t="s">
        <v>1152</v>
      </c>
      <c r="BQ126" s="58" t="s">
        <v>1377</v>
      </c>
      <c r="BR126" s="58"/>
    </row>
    <row r="127">
      <c r="A127" s="176">
        <v>123.0</v>
      </c>
      <c r="B127" s="257" t="s">
        <v>1378</v>
      </c>
      <c r="C127" s="178" t="s">
        <v>127</v>
      </c>
      <c r="D127" s="245">
        <v>3.66</v>
      </c>
      <c r="E127" s="245">
        <v>0.4</v>
      </c>
      <c r="F127" s="245">
        <v>0.0</v>
      </c>
      <c r="G127" s="245">
        <v>0.3</v>
      </c>
      <c r="H127" s="245">
        <v>0.0</v>
      </c>
      <c r="I127" s="245">
        <v>0.0</v>
      </c>
      <c r="J127" s="258"/>
      <c r="K127" s="258"/>
      <c r="L127" s="258"/>
      <c r="M127" s="258"/>
      <c r="N127" s="258"/>
      <c r="O127" s="258"/>
      <c r="P127" s="180">
        <v>1.0</v>
      </c>
      <c r="Q127" s="180">
        <v>1.0</v>
      </c>
      <c r="R127" s="62"/>
      <c r="S127" s="182">
        <v>0.02</v>
      </c>
      <c r="T127" s="183">
        <v>0.0</v>
      </c>
      <c r="U127" s="183">
        <v>0.0</v>
      </c>
      <c r="V127" s="183">
        <v>0.03</v>
      </c>
      <c r="W127" s="183">
        <v>0.0</v>
      </c>
      <c r="X127" s="62"/>
      <c r="Y127" s="176">
        <v>0.0</v>
      </c>
      <c r="Z127" s="176">
        <v>0.0</v>
      </c>
      <c r="AA127" s="176">
        <v>0.0</v>
      </c>
      <c r="AB127" s="176">
        <v>0.0</v>
      </c>
      <c r="AC127" s="176">
        <v>0.0</v>
      </c>
      <c r="AD127" s="176">
        <v>0.0</v>
      </c>
      <c r="AE127" s="176">
        <v>0.0</v>
      </c>
      <c r="AF127" s="62"/>
      <c r="AG127" s="47"/>
      <c r="AH127" s="54"/>
      <c r="AI127" s="54"/>
      <c r="AJ127" s="54"/>
      <c r="AK127" s="54"/>
      <c r="AL127" s="54"/>
      <c r="AM127" s="54"/>
      <c r="AN127" s="62"/>
      <c r="AO127" s="184">
        <f t="shared" ref="AO127:AS127" si="245">ROUND(E127*(5/12)+K127*(5/12)+S127+Y127-AG127,2)</f>
        <v>0.19</v>
      </c>
      <c r="AP127" s="184">
        <f t="shared" si="245"/>
        <v>0</v>
      </c>
      <c r="AQ127" s="184">
        <f t="shared" si="245"/>
        <v>0.13</v>
      </c>
      <c r="AR127" s="184">
        <f t="shared" si="245"/>
        <v>0.03</v>
      </c>
      <c r="AS127" s="184">
        <f t="shared" si="245"/>
        <v>0</v>
      </c>
      <c r="AT127" s="184">
        <f t="shared" ref="AT127:AU127" si="246">P127+AD127-AL127</f>
        <v>1</v>
      </c>
      <c r="AU127" s="184">
        <f t="shared" si="246"/>
        <v>1</v>
      </c>
      <c r="AV127" s="62"/>
      <c r="AW127" s="202"/>
      <c r="AX127" s="202"/>
      <c r="AY127" s="202"/>
      <c r="AZ127" s="202"/>
      <c r="BA127" s="202"/>
      <c r="BB127" s="202"/>
      <c r="BC127" s="202"/>
      <c r="BD127" s="228"/>
      <c r="BE127" s="62"/>
      <c r="BF127" s="62"/>
      <c r="BG127" s="62"/>
      <c r="BH127" s="72"/>
      <c r="BI127" s="72"/>
      <c r="BJ127" s="54"/>
      <c r="BK127" s="54"/>
      <c r="BL127" s="54"/>
      <c r="BM127" s="72"/>
      <c r="BN127" s="72"/>
      <c r="BO127" s="72"/>
      <c r="BP127" s="57"/>
      <c r="BQ127" s="57"/>
      <c r="BR127" s="58"/>
    </row>
    <row r="128">
      <c r="A128" s="176">
        <v>124.0</v>
      </c>
      <c r="B128" s="208" t="s">
        <v>1379</v>
      </c>
      <c r="C128" s="178" t="s">
        <v>127</v>
      </c>
      <c r="D128" s="245">
        <v>4.0</v>
      </c>
      <c r="E128" s="245">
        <v>0.0</v>
      </c>
      <c r="F128" s="245">
        <v>0.0</v>
      </c>
      <c r="G128" s="245">
        <v>0.0</v>
      </c>
      <c r="H128" s="245">
        <v>0.0</v>
      </c>
      <c r="I128" s="245">
        <v>0.0</v>
      </c>
      <c r="J128" s="106">
        <v>4.0</v>
      </c>
      <c r="K128" s="106">
        <v>0.0</v>
      </c>
      <c r="L128" s="106">
        <v>0.0</v>
      </c>
      <c r="M128" s="106">
        <v>0.0</v>
      </c>
      <c r="N128" s="106">
        <v>0.0</v>
      </c>
      <c r="O128" s="106">
        <v>0.0</v>
      </c>
      <c r="P128" s="180">
        <v>1.0</v>
      </c>
      <c r="Q128" s="180">
        <v>1.0</v>
      </c>
      <c r="R128" s="62"/>
      <c r="S128" s="182">
        <v>0.06</v>
      </c>
      <c r="T128" s="183">
        <v>0.0</v>
      </c>
      <c r="U128" s="183">
        <v>0.0</v>
      </c>
      <c r="V128" s="183">
        <v>0.0</v>
      </c>
      <c r="W128" s="183">
        <v>0.0</v>
      </c>
      <c r="X128" s="62"/>
      <c r="Y128" s="176">
        <v>0.0</v>
      </c>
      <c r="Z128" s="176">
        <v>0.0</v>
      </c>
      <c r="AA128" s="176">
        <v>0.0</v>
      </c>
      <c r="AB128" s="176">
        <v>0.0</v>
      </c>
      <c r="AC128" s="176">
        <v>0.0</v>
      </c>
      <c r="AD128" s="176">
        <v>0.0</v>
      </c>
      <c r="AE128" s="176">
        <v>0.0</v>
      </c>
      <c r="AF128" s="62"/>
      <c r="AG128" s="47"/>
      <c r="AH128" s="54"/>
      <c r="AI128" s="54"/>
      <c r="AJ128" s="54"/>
      <c r="AK128" s="54"/>
      <c r="AL128" s="54"/>
      <c r="AM128" s="47">
        <v>0.17</v>
      </c>
      <c r="AN128" s="62"/>
      <c r="AO128" s="184">
        <f t="shared" ref="AO128:AS128" si="247">ROUND(E128*(5/12)+K128*(5/12)+S128+Y128-AG128,2)</f>
        <v>0.06</v>
      </c>
      <c r="AP128" s="184">
        <f t="shared" si="247"/>
        <v>0</v>
      </c>
      <c r="AQ128" s="184">
        <f t="shared" si="247"/>
        <v>0</v>
      </c>
      <c r="AR128" s="184">
        <f t="shared" si="247"/>
        <v>0</v>
      </c>
      <c r="AS128" s="184">
        <f t="shared" si="247"/>
        <v>0</v>
      </c>
      <c r="AT128" s="184">
        <f t="shared" ref="AT128:AU128" si="248">P128+AD128-AL128</f>
        <v>1</v>
      </c>
      <c r="AU128" s="184">
        <f t="shared" si="248"/>
        <v>0.83</v>
      </c>
      <c r="AV128" s="62"/>
      <c r="AW128" s="176">
        <v>0.0</v>
      </c>
      <c r="AX128" s="176" t="s">
        <v>913</v>
      </c>
      <c r="AY128" s="176" t="s">
        <v>913</v>
      </c>
      <c r="AZ128" s="176" t="s">
        <v>913</v>
      </c>
      <c r="BA128" s="176" t="s">
        <v>913</v>
      </c>
      <c r="BB128" s="176">
        <v>1.0</v>
      </c>
      <c r="BC128" s="176">
        <v>1.0</v>
      </c>
      <c r="BD128" s="259" t="s">
        <v>1380</v>
      </c>
      <c r="BE128" s="62"/>
      <c r="BF128" s="62"/>
      <c r="BG128" s="62"/>
      <c r="BH128" s="72"/>
      <c r="BI128" s="72"/>
      <c r="BJ128" s="54"/>
      <c r="BK128" s="54"/>
      <c r="BL128" s="54"/>
      <c r="BM128" s="72"/>
      <c r="BN128" s="72"/>
      <c r="BO128" s="72"/>
      <c r="BP128" s="58" t="s">
        <v>1152</v>
      </c>
      <c r="BQ128" s="58" t="s">
        <v>1381</v>
      </c>
      <c r="BR128" s="57"/>
    </row>
    <row r="129">
      <c r="A129" s="176">
        <v>125.0</v>
      </c>
      <c r="B129" s="208" t="s">
        <v>1382</v>
      </c>
      <c r="C129" s="178" t="s">
        <v>127</v>
      </c>
      <c r="D129" s="245">
        <v>4.33</v>
      </c>
      <c r="E129" s="245">
        <v>0.0</v>
      </c>
      <c r="F129" s="245">
        <v>0.0</v>
      </c>
      <c r="G129" s="245">
        <v>0.0</v>
      </c>
      <c r="H129" s="245">
        <v>0.0</v>
      </c>
      <c r="I129" s="245">
        <v>0.0</v>
      </c>
      <c r="J129" s="106">
        <v>3.66</v>
      </c>
      <c r="K129" s="106">
        <v>0.34</v>
      </c>
      <c r="L129" s="106">
        <v>0.0</v>
      </c>
      <c r="M129" s="106">
        <v>0.0</v>
      </c>
      <c r="N129" s="106">
        <v>0.0</v>
      </c>
      <c r="O129" s="106">
        <v>0.0</v>
      </c>
      <c r="P129" s="180">
        <v>1.0</v>
      </c>
      <c r="Q129" s="180">
        <v>1.0</v>
      </c>
      <c r="R129" s="62"/>
      <c r="S129" s="187">
        <v>0.11</v>
      </c>
      <c r="T129" s="188">
        <v>0.0</v>
      </c>
      <c r="U129" s="188">
        <v>0.0</v>
      </c>
      <c r="V129" s="188">
        <v>0.0</v>
      </c>
      <c r="W129" s="188">
        <v>0.0</v>
      </c>
      <c r="X129" s="62"/>
      <c r="Y129" s="176">
        <v>0.0</v>
      </c>
      <c r="Z129" s="176">
        <v>0.0</v>
      </c>
      <c r="AA129" s="176">
        <v>0.0</v>
      </c>
      <c r="AB129" s="176">
        <v>0.0</v>
      </c>
      <c r="AC129" s="176">
        <v>0.0</v>
      </c>
      <c r="AD129" s="176">
        <v>0.0</v>
      </c>
      <c r="AE129" s="176">
        <v>0.0</v>
      </c>
      <c r="AF129" s="62"/>
      <c r="AG129" s="54"/>
      <c r="AH129" s="54"/>
      <c r="AI129" s="54"/>
      <c r="AJ129" s="54"/>
      <c r="AK129" s="54"/>
      <c r="AL129" s="54"/>
      <c r="AM129" s="47">
        <v>0.17</v>
      </c>
      <c r="AN129" s="62"/>
      <c r="AO129" s="184">
        <f t="shared" ref="AO129:AS129" si="249">ROUND(E129*(5/12)+K129*(5/12)+S129+Y129-AG129,2)</f>
        <v>0.25</v>
      </c>
      <c r="AP129" s="184">
        <f t="shared" si="249"/>
        <v>0</v>
      </c>
      <c r="AQ129" s="184">
        <f t="shared" si="249"/>
        <v>0</v>
      </c>
      <c r="AR129" s="184">
        <f t="shared" si="249"/>
        <v>0</v>
      </c>
      <c r="AS129" s="184">
        <f t="shared" si="249"/>
        <v>0</v>
      </c>
      <c r="AT129" s="184">
        <f t="shared" ref="AT129:AU129" si="250">P129+AD129-AL129</f>
        <v>1</v>
      </c>
      <c r="AU129" s="184">
        <f t="shared" si="250"/>
        <v>0.83</v>
      </c>
      <c r="AV129" s="62"/>
      <c r="AW129" s="176">
        <v>0.25</v>
      </c>
      <c r="AX129" s="176" t="s">
        <v>913</v>
      </c>
      <c r="AY129" s="176" t="s">
        <v>913</v>
      </c>
      <c r="AZ129" s="176" t="s">
        <v>913</v>
      </c>
      <c r="BA129" s="176" t="s">
        <v>913</v>
      </c>
      <c r="BB129" s="176">
        <v>1.0</v>
      </c>
      <c r="BC129" s="176">
        <v>1.0</v>
      </c>
      <c r="BD129" s="180" t="s">
        <v>1383</v>
      </c>
      <c r="BE129" s="62"/>
      <c r="BF129" s="62"/>
      <c r="BG129" s="62"/>
      <c r="BH129" s="54"/>
      <c r="BI129" s="54"/>
      <c r="BJ129" s="54"/>
      <c r="BK129" s="54"/>
      <c r="BL129" s="54"/>
      <c r="BM129" s="54"/>
      <c r="BN129" s="54"/>
      <c r="BO129" s="57"/>
      <c r="BP129" s="58" t="s">
        <v>1152</v>
      </c>
      <c r="BQ129" s="58" t="s">
        <v>1384</v>
      </c>
      <c r="BR129" s="57"/>
    </row>
    <row r="130">
      <c r="A130" s="176">
        <v>126.0</v>
      </c>
      <c r="B130" s="260" t="s">
        <v>1385</v>
      </c>
      <c r="C130" s="178" t="s">
        <v>127</v>
      </c>
      <c r="D130" s="245">
        <v>4.0</v>
      </c>
      <c r="E130" s="245">
        <v>0.0</v>
      </c>
      <c r="F130" s="245">
        <v>0.0</v>
      </c>
      <c r="G130" s="245">
        <v>0.0</v>
      </c>
      <c r="H130" s="245">
        <v>0.0</v>
      </c>
      <c r="I130" s="245">
        <v>0.0</v>
      </c>
      <c r="J130" s="106">
        <v>4.0</v>
      </c>
      <c r="K130" s="106">
        <v>0.0</v>
      </c>
      <c r="L130" s="106">
        <v>0.0</v>
      </c>
      <c r="M130" s="106">
        <v>0.0</v>
      </c>
      <c r="N130" s="106">
        <v>0.0</v>
      </c>
      <c r="O130" s="106">
        <v>0.0</v>
      </c>
      <c r="P130" s="180">
        <v>1.0</v>
      </c>
      <c r="Q130" s="180">
        <v>1.0</v>
      </c>
      <c r="R130" s="62"/>
      <c r="S130" s="182">
        <v>0.11</v>
      </c>
      <c r="T130" s="183">
        <v>0.0</v>
      </c>
      <c r="U130" s="183">
        <v>0.0</v>
      </c>
      <c r="V130" s="183">
        <v>0.0</v>
      </c>
      <c r="W130" s="183">
        <v>0.0</v>
      </c>
      <c r="X130" s="62"/>
      <c r="Y130" s="176">
        <v>0.0</v>
      </c>
      <c r="Z130" s="176">
        <v>0.0</v>
      </c>
      <c r="AA130" s="176">
        <v>0.0</v>
      </c>
      <c r="AB130" s="176">
        <v>0.0</v>
      </c>
      <c r="AC130" s="176">
        <v>0.0</v>
      </c>
      <c r="AD130" s="176">
        <v>0.0</v>
      </c>
      <c r="AE130" s="176">
        <v>0.0</v>
      </c>
      <c r="AF130" s="62"/>
      <c r="AG130" s="54"/>
      <c r="AH130" s="54"/>
      <c r="AI130" s="54"/>
      <c r="AJ130" s="54"/>
      <c r="AK130" s="54"/>
      <c r="AL130" s="54"/>
      <c r="AM130" s="54"/>
      <c r="AN130" s="62"/>
      <c r="AO130" s="184">
        <f t="shared" ref="AO130:AS130" si="251">ROUND(E130*(5/12)+K130*(5/12)+S130+Y130-AG130,2)</f>
        <v>0.11</v>
      </c>
      <c r="AP130" s="184">
        <f t="shared" si="251"/>
        <v>0</v>
      </c>
      <c r="AQ130" s="184">
        <f t="shared" si="251"/>
        <v>0</v>
      </c>
      <c r="AR130" s="184">
        <f t="shared" si="251"/>
        <v>0</v>
      </c>
      <c r="AS130" s="184">
        <f t="shared" si="251"/>
        <v>0</v>
      </c>
      <c r="AT130" s="184">
        <f t="shared" ref="AT130:AU130" si="252">P130+AD130-AL130</f>
        <v>1</v>
      </c>
      <c r="AU130" s="184">
        <f t="shared" si="252"/>
        <v>1</v>
      </c>
      <c r="AV130" s="62"/>
      <c r="AW130" s="176">
        <v>0.166</v>
      </c>
      <c r="AX130" s="176" t="s">
        <v>913</v>
      </c>
      <c r="AY130" s="176" t="s">
        <v>913</v>
      </c>
      <c r="AZ130" s="176" t="s">
        <v>913</v>
      </c>
      <c r="BA130" s="176" t="s">
        <v>913</v>
      </c>
      <c r="BB130" s="176">
        <v>0.0</v>
      </c>
      <c r="BC130" s="176">
        <v>0.0</v>
      </c>
      <c r="BD130" s="195" t="s">
        <v>1386</v>
      </c>
      <c r="BE130" s="62"/>
      <c r="BF130" s="62"/>
      <c r="BG130" s="62"/>
      <c r="BH130" s="54"/>
      <c r="BI130" s="54"/>
      <c r="BJ130" s="54"/>
      <c r="BK130" s="54"/>
      <c r="BL130" s="54"/>
      <c r="BM130" s="54"/>
      <c r="BN130" s="54"/>
      <c r="BO130" s="57"/>
      <c r="BP130" s="58" t="s">
        <v>1152</v>
      </c>
      <c r="BQ130" s="57"/>
      <c r="BR130" s="57"/>
    </row>
    <row r="131">
      <c r="A131" s="176">
        <v>127.0</v>
      </c>
      <c r="B131" s="260" t="s">
        <v>1387</v>
      </c>
      <c r="C131" s="178" t="s">
        <v>127</v>
      </c>
      <c r="D131" s="245">
        <v>4.33</v>
      </c>
      <c r="E131" s="245">
        <v>0.0</v>
      </c>
      <c r="F131" s="245">
        <v>0.0</v>
      </c>
      <c r="G131" s="245">
        <v>0.0</v>
      </c>
      <c r="H131" s="245">
        <v>0.0</v>
      </c>
      <c r="I131" s="245">
        <v>0.0</v>
      </c>
      <c r="J131" s="106">
        <v>4.0</v>
      </c>
      <c r="K131" s="106">
        <v>0.0</v>
      </c>
      <c r="L131" s="106">
        <v>0.0</v>
      </c>
      <c r="M131" s="106">
        <v>0.0</v>
      </c>
      <c r="N131" s="106">
        <v>0.0</v>
      </c>
      <c r="O131" s="106">
        <v>0.0</v>
      </c>
      <c r="P131" s="180">
        <v>1.0</v>
      </c>
      <c r="Q131" s="180">
        <v>1.0</v>
      </c>
      <c r="R131" s="62"/>
      <c r="S131" s="182">
        <v>0.06</v>
      </c>
      <c r="T131" s="183">
        <v>0.0</v>
      </c>
      <c r="U131" s="183">
        <v>0.0</v>
      </c>
      <c r="V131" s="183">
        <v>0.0</v>
      </c>
      <c r="W131" s="183">
        <v>0.0</v>
      </c>
      <c r="X131" s="62"/>
      <c r="Y131" s="176">
        <v>0.0</v>
      </c>
      <c r="Z131" s="176">
        <v>0.0</v>
      </c>
      <c r="AA131" s="176">
        <v>0.0</v>
      </c>
      <c r="AB131" s="176">
        <v>0.0</v>
      </c>
      <c r="AC131" s="176">
        <v>0.0</v>
      </c>
      <c r="AD131" s="176">
        <v>0.0</v>
      </c>
      <c r="AE131" s="176">
        <v>0.0</v>
      </c>
      <c r="AF131" s="62"/>
      <c r="AG131" s="54"/>
      <c r="AH131" s="54"/>
      <c r="AI131" s="54"/>
      <c r="AJ131" s="54"/>
      <c r="AK131" s="54"/>
      <c r="AL131" s="54"/>
      <c r="AM131" s="54"/>
      <c r="AN131" s="62"/>
      <c r="AO131" s="184">
        <f t="shared" ref="AO131:AS131" si="253">ROUND(E131*(5/12)+K131*(5/12)+S131+Y131-AG131,2)</f>
        <v>0.06</v>
      </c>
      <c r="AP131" s="184">
        <f t="shared" si="253"/>
        <v>0</v>
      </c>
      <c r="AQ131" s="184">
        <f t="shared" si="253"/>
        <v>0</v>
      </c>
      <c r="AR131" s="184">
        <f t="shared" si="253"/>
        <v>0</v>
      </c>
      <c r="AS131" s="184">
        <f t="shared" si="253"/>
        <v>0</v>
      </c>
      <c r="AT131" s="184">
        <f t="shared" ref="AT131:AU131" si="254">P131+AD131-AL131</f>
        <v>1</v>
      </c>
      <c r="AU131" s="184">
        <f t="shared" si="254"/>
        <v>1</v>
      </c>
      <c r="AV131" s="62"/>
      <c r="AW131" s="176">
        <v>0.0</v>
      </c>
      <c r="AX131" s="176" t="s">
        <v>913</v>
      </c>
      <c r="AY131" s="176" t="s">
        <v>913</v>
      </c>
      <c r="AZ131" s="176" t="s">
        <v>913</v>
      </c>
      <c r="BA131" s="176" t="s">
        <v>913</v>
      </c>
      <c r="BB131" s="176">
        <v>1.0</v>
      </c>
      <c r="BC131" s="176">
        <v>1.0</v>
      </c>
      <c r="BD131" s="194" t="s">
        <v>1388</v>
      </c>
      <c r="BE131" s="62"/>
      <c r="BF131" s="62"/>
      <c r="BG131" s="62"/>
      <c r="BH131" s="54"/>
      <c r="BI131" s="54"/>
      <c r="BJ131" s="54"/>
      <c r="BK131" s="54"/>
      <c r="BL131" s="54"/>
      <c r="BM131" s="54"/>
      <c r="BN131" s="54"/>
      <c r="BO131" s="57"/>
      <c r="BP131" s="58" t="s">
        <v>1152</v>
      </c>
      <c r="BQ131" s="57"/>
      <c r="BR131" s="57"/>
    </row>
    <row r="132">
      <c r="A132" s="176">
        <v>128.0</v>
      </c>
      <c r="B132" s="260" t="s">
        <v>1389</v>
      </c>
      <c r="C132" s="178" t="s">
        <v>127</v>
      </c>
      <c r="D132" s="245">
        <v>4.0</v>
      </c>
      <c r="E132" s="245">
        <v>0.0</v>
      </c>
      <c r="F132" s="245">
        <v>0.0</v>
      </c>
      <c r="G132" s="245">
        <v>0.0</v>
      </c>
      <c r="H132" s="245">
        <v>0.0</v>
      </c>
      <c r="I132" s="245">
        <v>0.0</v>
      </c>
      <c r="J132" s="106">
        <v>3.0</v>
      </c>
      <c r="K132" s="106">
        <v>1.0</v>
      </c>
      <c r="L132" s="106">
        <v>0.0</v>
      </c>
      <c r="M132" s="106">
        <v>0.0</v>
      </c>
      <c r="N132" s="106">
        <v>0.0</v>
      </c>
      <c r="O132" s="106">
        <v>0.0</v>
      </c>
      <c r="P132" s="180">
        <v>1.0</v>
      </c>
      <c r="Q132" s="180">
        <v>1.0</v>
      </c>
      <c r="R132" s="62"/>
      <c r="S132" s="182">
        <v>0.06</v>
      </c>
      <c r="T132" s="183">
        <v>0.0</v>
      </c>
      <c r="U132" s="183">
        <v>0.0</v>
      </c>
      <c r="V132" s="183">
        <v>0.0</v>
      </c>
      <c r="W132" s="183">
        <v>0.0</v>
      </c>
      <c r="X132" s="62"/>
      <c r="Y132" s="176">
        <v>0.0</v>
      </c>
      <c r="Z132" s="176">
        <v>0.0</v>
      </c>
      <c r="AA132" s="176">
        <v>0.0</v>
      </c>
      <c r="AB132" s="176">
        <v>0.0</v>
      </c>
      <c r="AC132" s="176">
        <v>0.0</v>
      </c>
      <c r="AD132" s="176">
        <v>0.0</v>
      </c>
      <c r="AE132" s="176">
        <v>0.0</v>
      </c>
      <c r="AF132" s="62"/>
      <c r="AG132" s="54"/>
      <c r="AH132" s="54"/>
      <c r="AI132" s="54"/>
      <c r="AJ132" s="54"/>
      <c r="AK132" s="54"/>
      <c r="AL132" s="54"/>
      <c r="AM132" s="54"/>
      <c r="AN132" s="62"/>
      <c r="AO132" s="184">
        <f t="shared" ref="AO132:AS132" si="255">ROUND(E132*(5/12)+K132*(5/12)+S132+Y132-AG132,2)</f>
        <v>0.48</v>
      </c>
      <c r="AP132" s="184">
        <f t="shared" si="255"/>
        <v>0</v>
      </c>
      <c r="AQ132" s="184">
        <f t="shared" si="255"/>
        <v>0</v>
      </c>
      <c r="AR132" s="184">
        <f t="shared" si="255"/>
        <v>0</v>
      </c>
      <c r="AS132" s="184">
        <f t="shared" si="255"/>
        <v>0</v>
      </c>
      <c r="AT132" s="184">
        <f t="shared" ref="AT132:AU132" si="256">P132+AD132-AL132</f>
        <v>1</v>
      </c>
      <c r="AU132" s="184">
        <f t="shared" si="256"/>
        <v>1</v>
      </c>
      <c r="AV132" s="62"/>
      <c r="AW132" s="176">
        <v>0.0</v>
      </c>
      <c r="AX132" s="176" t="s">
        <v>913</v>
      </c>
      <c r="AY132" s="176" t="s">
        <v>913</v>
      </c>
      <c r="AZ132" s="176" t="s">
        <v>913</v>
      </c>
      <c r="BA132" s="176" t="s">
        <v>913</v>
      </c>
      <c r="BB132" s="176">
        <v>0.0</v>
      </c>
      <c r="BC132" s="176">
        <v>1.0</v>
      </c>
      <c r="BD132" s="194" t="s">
        <v>1390</v>
      </c>
      <c r="BE132" s="62"/>
      <c r="BF132" s="62"/>
      <c r="BG132" s="62"/>
      <c r="BH132" s="54"/>
      <c r="BI132" s="54"/>
      <c r="BJ132" s="54"/>
      <c r="BK132" s="54"/>
      <c r="BL132" s="54"/>
      <c r="BM132" s="54"/>
      <c r="BN132" s="54"/>
      <c r="BO132" s="57"/>
      <c r="BP132" s="58" t="s">
        <v>1152</v>
      </c>
      <c r="BQ132" s="57"/>
      <c r="BR132" s="57"/>
    </row>
    <row r="133">
      <c r="A133" s="176">
        <v>129.0</v>
      </c>
      <c r="B133" s="260" t="s">
        <v>1391</v>
      </c>
      <c r="C133" s="178" t="s">
        <v>127</v>
      </c>
      <c r="D133" s="245">
        <v>4.0</v>
      </c>
      <c r="E133" s="245">
        <v>0.0</v>
      </c>
      <c r="F133" s="245">
        <v>0.0</v>
      </c>
      <c r="G133" s="245">
        <v>0.0</v>
      </c>
      <c r="H133" s="245">
        <v>0.0</v>
      </c>
      <c r="I133" s="245">
        <v>0.0</v>
      </c>
      <c r="J133" s="106">
        <v>4.0</v>
      </c>
      <c r="K133" s="106">
        <v>0.0</v>
      </c>
      <c r="L133" s="106">
        <v>0.0</v>
      </c>
      <c r="M133" s="106">
        <v>0.0</v>
      </c>
      <c r="N133" s="106">
        <v>0.0</v>
      </c>
      <c r="O133" s="106">
        <v>0.0</v>
      </c>
      <c r="P133" s="180">
        <v>1.0</v>
      </c>
      <c r="Q133" s="180">
        <v>1.0</v>
      </c>
      <c r="R133" s="62"/>
      <c r="S133" s="182">
        <v>0.06</v>
      </c>
      <c r="T133" s="183">
        <v>0.0</v>
      </c>
      <c r="U133" s="183">
        <v>0.0</v>
      </c>
      <c r="V133" s="183">
        <v>0.0</v>
      </c>
      <c r="W133" s="183">
        <v>0.0</v>
      </c>
      <c r="X133" s="62"/>
      <c r="Y133" s="176">
        <v>0.0</v>
      </c>
      <c r="Z133" s="176">
        <v>0.0</v>
      </c>
      <c r="AA133" s="176">
        <v>0.0</v>
      </c>
      <c r="AB133" s="176">
        <v>0.0</v>
      </c>
      <c r="AC133" s="176">
        <v>0.0</v>
      </c>
      <c r="AD133" s="176">
        <v>0.0</v>
      </c>
      <c r="AE133" s="176">
        <v>0.0</v>
      </c>
      <c r="AF133" s="62"/>
      <c r="AG133" s="54"/>
      <c r="AH133" s="54"/>
      <c r="AI133" s="54"/>
      <c r="AJ133" s="54"/>
      <c r="AK133" s="54"/>
      <c r="AL133" s="54"/>
      <c r="AM133" s="54"/>
      <c r="AN133" s="62"/>
      <c r="AO133" s="184">
        <f t="shared" ref="AO133:AS133" si="257">ROUND(E133*(5/12)+K133*(5/12)+S133+Y133-AG133,2)</f>
        <v>0.06</v>
      </c>
      <c r="AP133" s="184">
        <f t="shared" si="257"/>
        <v>0</v>
      </c>
      <c r="AQ133" s="184">
        <f t="shared" si="257"/>
        <v>0</v>
      </c>
      <c r="AR133" s="184">
        <f t="shared" si="257"/>
        <v>0</v>
      </c>
      <c r="AS133" s="184">
        <f t="shared" si="257"/>
        <v>0</v>
      </c>
      <c r="AT133" s="184">
        <f t="shared" ref="AT133:AU133" si="258">P133+AD133-AL133</f>
        <v>1</v>
      </c>
      <c r="AU133" s="184">
        <f t="shared" si="258"/>
        <v>1</v>
      </c>
      <c r="AV133" s="62"/>
      <c r="AW133" s="176">
        <v>0.0</v>
      </c>
      <c r="AX133" s="176" t="s">
        <v>913</v>
      </c>
      <c r="AY133" s="176" t="s">
        <v>913</v>
      </c>
      <c r="AZ133" s="176" t="s">
        <v>913</v>
      </c>
      <c r="BA133" s="176" t="s">
        <v>913</v>
      </c>
      <c r="BB133" s="176">
        <v>0.0</v>
      </c>
      <c r="BC133" s="176">
        <v>1.0</v>
      </c>
      <c r="BD133" s="194" t="s">
        <v>1392</v>
      </c>
      <c r="BE133" s="62"/>
      <c r="BF133" s="62"/>
      <c r="BG133" s="62"/>
      <c r="BH133" s="54"/>
      <c r="BI133" s="54"/>
      <c r="BJ133" s="54"/>
      <c r="BK133" s="54"/>
      <c r="BL133" s="54"/>
      <c r="BM133" s="54"/>
      <c r="BN133" s="54"/>
      <c r="BO133" s="57"/>
      <c r="BP133" s="58" t="s">
        <v>1152</v>
      </c>
      <c r="BQ133" s="57"/>
      <c r="BR133" s="57"/>
    </row>
    <row r="134">
      <c r="A134" s="176">
        <v>130.0</v>
      </c>
      <c r="B134" s="260" t="s">
        <v>1393</v>
      </c>
      <c r="C134" s="178" t="s">
        <v>127</v>
      </c>
      <c r="D134" s="245">
        <v>3.0</v>
      </c>
      <c r="E134" s="245">
        <v>0.4</v>
      </c>
      <c r="F134" s="245">
        <v>0.0</v>
      </c>
      <c r="G134" s="106">
        <v>0.3</v>
      </c>
      <c r="H134" s="106">
        <v>0.3</v>
      </c>
      <c r="I134" s="106">
        <v>0.0</v>
      </c>
      <c r="J134" s="106">
        <v>3.0</v>
      </c>
      <c r="K134" s="106">
        <v>0.4</v>
      </c>
      <c r="L134" s="106">
        <v>0.0</v>
      </c>
      <c r="M134" s="106">
        <v>0.3</v>
      </c>
      <c r="N134" s="106">
        <v>0.3</v>
      </c>
      <c r="O134" s="106">
        <v>0.0</v>
      </c>
      <c r="P134" s="180">
        <v>1.0</v>
      </c>
      <c r="Q134" s="180">
        <v>1.0</v>
      </c>
      <c r="R134" s="62"/>
      <c r="S134" s="182">
        <v>0.12</v>
      </c>
      <c r="T134" s="183">
        <v>0.0</v>
      </c>
      <c r="U134" s="183">
        <v>0.02</v>
      </c>
      <c r="V134" s="183">
        <v>0.03</v>
      </c>
      <c r="W134" s="183">
        <v>0.0</v>
      </c>
      <c r="X134" s="62"/>
      <c r="Y134" s="176">
        <v>0.0</v>
      </c>
      <c r="Z134" s="176">
        <v>0.0</v>
      </c>
      <c r="AA134" s="176">
        <v>0.0</v>
      </c>
      <c r="AB134" s="176">
        <v>0.0</v>
      </c>
      <c r="AC134" s="176">
        <v>0.0</v>
      </c>
      <c r="AD134" s="176">
        <v>0.0</v>
      </c>
      <c r="AE134" s="176">
        <v>0.0</v>
      </c>
      <c r="AF134" s="62"/>
      <c r="AG134" s="47">
        <v>0.21</v>
      </c>
      <c r="AH134" s="54"/>
      <c r="AI134" s="47">
        <v>0.01</v>
      </c>
      <c r="AJ134" s="54"/>
      <c r="AK134" s="54"/>
      <c r="AL134" s="47">
        <v>0.67</v>
      </c>
      <c r="AM134" s="47">
        <v>0.17</v>
      </c>
      <c r="AN134" s="62"/>
      <c r="AO134" s="184">
        <f t="shared" ref="AO134:AS134" si="259">ROUND(E134*(5/12)+K134*(5/12)+S134+Y134-AG134,2)</f>
        <v>0.24</v>
      </c>
      <c r="AP134" s="184">
        <f t="shared" si="259"/>
        <v>0</v>
      </c>
      <c r="AQ134" s="184">
        <f t="shared" si="259"/>
        <v>0.26</v>
      </c>
      <c r="AR134" s="184">
        <f t="shared" si="259"/>
        <v>0.28</v>
      </c>
      <c r="AS134" s="184">
        <f t="shared" si="259"/>
        <v>0</v>
      </c>
      <c r="AT134" s="184">
        <f t="shared" ref="AT134:AU134" si="260">P134+AD134-AL134</f>
        <v>0.33</v>
      </c>
      <c r="AU134" s="184">
        <f t="shared" si="260"/>
        <v>0.83</v>
      </c>
      <c r="AV134" s="62"/>
      <c r="AW134" s="176">
        <v>0.5</v>
      </c>
      <c r="AX134" s="176" t="s">
        <v>913</v>
      </c>
      <c r="AY134" s="176">
        <v>0.26</v>
      </c>
      <c r="AZ134" s="176">
        <v>0.33</v>
      </c>
      <c r="BA134" s="176" t="s">
        <v>913</v>
      </c>
      <c r="BB134" s="176">
        <v>1.0</v>
      </c>
      <c r="BC134" s="176">
        <v>1.0</v>
      </c>
      <c r="BD134" s="196" t="s">
        <v>1394</v>
      </c>
      <c r="BE134" s="62"/>
      <c r="BF134" s="62"/>
      <c r="BG134" s="62"/>
      <c r="BH134" s="54"/>
      <c r="BI134" s="54"/>
      <c r="BJ134" s="54"/>
      <c r="BK134" s="54"/>
      <c r="BL134" s="54"/>
      <c r="BM134" s="54"/>
      <c r="BN134" s="54"/>
      <c r="BO134" s="57"/>
      <c r="BP134" s="58" t="s">
        <v>1152</v>
      </c>
      <c r="BQ134" s="57"/>
      <c r="BR134" s="58" t="s">
        <v>1395</v>
      </c>
    </row>
    <row r="135">
      <c r="A135" s="176">
        <v>131.0</v>
      </c>
      <c r="B135" s="260" t="s">
        <v>1396</v>
      </c>
      <c r="C135" s="178" t="s">
        <v>127</v>
      </c>
      <c r="D135" s="245">
        <v>4.33</v>
      </c>
      <c r="E135" s="245">
        <v>0.0</v>
      </c>
      <c r="F135" s="245">
        <v>0.0</v>
      </c>
      <c r="G135" s="106">
        <v>0.2</v>
      </c>
      <c r="H135" s="106">
        <v>0.0</v>
      </c>
      <c r="I135" s="106">
        <v>0.0</v>
      </c>
      <c r="J135" s="106">
        <v>3.0</v>
      </c>
      <c r="K135" s="106">
        <v>0.8</v>
      </c>
      <c r="L135" s="106">
        <v>0.0</v>
      </c>
      <c r="M135" s="106">
        <v>0.2</v>
      </c>
      <c r="N135" s="106">
        <v>0.0</v>
      </c>
      <c r="O135" s="106">
        <v>0.0</v>
      </c>
      <c r="P135" s="180">
        <v>1.0</v>
      </c>
      <c r="Q135" s="180">
        <v>1.0</v>
      </c>
      <c r="R135" s="62"/>
      <c r="S135" s="182">
        <v>0.06</v>
      </c>
      <c r="T135" s="183">
        <v>0.0</v>
      </c>
      <c r="U135" s="183">
        <v>0.0</v>
      </c>
      <c r="V135" s="183">
        <v>0.0</v>
      </c>
      <c r="W135" s="183">
        <v>0.0</v>
      </c>
      <c r="X135" s="62"/>
      <c r="Y135" s="176">
        <v>0.0</v>
      </c>
      <c r="Z135" s="176">
        <v>0.0</v>
      </c>
      <c r="AA135" s="176">
        <v>0.0</v>
      </c>
      <c r="AB135" s="176">
        <v>0.0</v>
      </c>
      <c r="AC135" s="176">
        <v>0.0</v>
      </c>
      <c r="AD135" s="176">
        <v>0.0</v>
      </c>
      <c r="AE135" s="176">
        <v>0.0</v>
      </c>
      <c r="AF135" s="62"/>
      <c r="AG135" s="54"/>
      <c r="AH135" s="54"/>
      <c r="AI135" s="54"/>
      <c r="AJ135" s="54"/>
      <c r="AK135" s="54"/>
      <c r="AL135" s="54"/>
      <c r="AM135" s="54"/>
      <c r="AN135" s="62"/>
      <c r="AO135" s="184">
        <f t="shared" ref="AO135:AS135" si="261">ROUND(E135*(5/12)+K135*(5/12)+S135+Y135-AG135,2)</f>
        <v>0.39</v>
      </c>
      <c r="AP135" s="184">
        <f t="shared" si="261"/>
        <v>0</v>
      </c>
      <c r="AQ135" s="184">
        <f t="shared" si="261"/>
        <v>0.17</v>
      </c>
      <c r="AR135" s="184">
        <f t="shared" si="261"/>
        <v>0</v>
      </c>
      <c r="AS135" s="184">
        <f t="shared" si="261"/>
        <v>0</v>
      </c>
      <c r="AT135" s="184">
        <f t="shared" ref="AT135:AU135" si="262">P135+AD135-AL135</f>
        <v>1</v>
      </c>
      <c r="AU135" s="184">
        <f t="shared" si="262"/>
        <v>1</v>
      </c>
      <c r="AV135" s="62"/>
      <c r="AW135" s="202"/>
      <c r="AX135" s="202"/>
      <c r="AY135" s="202"/>
      <c r="AZ135" s="202"/>
      <c r="BA135" s="202"/>
      <c r="BB135" s="202"/>
      <c r="BC135" s="202"/>
      <c r="BD135" s="261"/>
      <c r="BE135" s="62"/>
      <c r="BF135" s="62"/>
      <c r="BG135" s="62"/>
      <c r="BH135" s="54"/>
      <c r="BI135" s="54"/>
      <c r="BJ135" s="54"/>
      <c r="BK135" s="54"/>
      <c r="BL135" s="54"/>
      <c r="BM135" s="54"/>
      <c r="BN135" s="54"/>
      <c r="BO135" s="57"/>
      <c r="BP135" s="58" t="s">
        <v>1152</v>
      </c>
      <c r="BQ135" s="57"/>
      <c r="BR135" s="57"/>
    </row>
    <row r="136">
      <c r="A136" s="176">
        <v>132.0</v>
      </c>
      <c r="B136" s="260" t="s">
        <v>1397</v>
      </c>
      <c r="C136" s="178" t="s">
        <v>127</v>
      </c>
      <c r="D136" s="245">
        <v>3.6</v>
      </c>
      <c r="E136" s="245">
        <v>0.2</v>
      </c>
      <c r="F136" s="106">
        <v>0.1</v>
      </c>
      <c r="G136" s="106">
        <v>0.0</v>
      </c>
      <c r="H136" s="106">
        <v>0.0</v>
      </c>
      <c r="I136" s="106">
        <v>0.1</v>
      </c>
      <c r="J136" s="106">
        <v>3.0</v>
      </c>
      <c r="K136" s="106">
        <v>0.8</v>
      </c>
      <c r="L136" s="106">
        <v>0.1</v>
      </c>
      <c r="M136" s="106">
        <v>0.0</v>
      </c>
      <c r="N136" s="106">
        <v>0.0</v>
      </c>
      <c r="O136" s="106">
        <v>0.1</v>
      </c>
      <c r="P136" s="180">
        <v>1.0</v>
      </c>
      <c r="Q136" s="180">
        <v>1.0</v>
      </c>
      <c r="R136" s="62"/>
      <c r="S136" s="187">
        <v>0.1</v>
      </c>
      <c r="T136" s="188">
        <v>0.03</v>
      </c>
      <c r="U136" s="188">
        <v>0.0</v>
      </c>
      <c r="V136" s="188">
        <v>0.03</v>
      </c>
      <c r="W136" s="188">
        <v>0.0</v>
      </c>
      <c r="X136" s="62"/>
      <c r="Y136" s="176">
        <v>0.0</v>
      </c>
      <c r="Z136" s="176">
        <v>0.0</v>
      </c>
      <c r="AA136" s="176">
        <v>0.0</v>
      </c>
      <c r="AB136" s="176">
        <v>0.0</v>
      </c>
      <c r="AC136" s="176">
        <v>0.0</v>
      </c>
      <c r="AD136" s="176">
        <v>0.0</v>
      </c>
      <c r="AE136" s="176">
        <v>0.0</v>
      </c>
      <c r="AF136" s="62"/>
      <c r="AG136" s="54"/>
      <c r="AH136" s="54"/>
      <c r="AI136" s="54"/>
      <c r="AJ136" s="54"/>
      <c r="AK136" s="54"/>
      <c r="AL136" s="54"/>
      <c r="AM136" s="54"/>
      <c r="AN136" s="62"/>
      <c r="AO136" s="184">
        <f t="shared" ref="AO136:AS136" si="263">ROUND(E136*(5/12)+K136*(5/12)+S136+Y136-AG136,2)</f>
        <v>0.52</v>
      </c>
      <c r="AP136" s="184">
        <f t="shared" si="263"/>
        <v>0.11</v>
      </c>
      <c r="AQ136" s="184">
        <f t="shared" si="263"/>
        <v>0</v>
      </c>
      <c r="AR136" s="184">
        <f t="shared" si="263"/>
        <v>0.03</v>
      </c>
      <c r="AS136" s="184">
        <f t="shared" si="263"/>
        <v>0.08</v>
      </c>
      <c r="AT136" s="184">
        <f t="shared" ref="AT136:AU136" si="264">P136+AD136-AL136</f>
        <v>1</v>
      </c>
      <c r="AU136" s="184">
        <f t="shared" si="264"/>
        <v>1</v>
      </c>
      <c r="AV136" s="62"/>
      <c r="AW136" s="176">
        <v>1.0</v>
      </c>
      <c r="AX136" s="176">
        <v>0.11</v>
      </c>
      <c r="AY136" s="176" t="s">
        <v>913</v>
      </c>
      <c r="AZ136" s="176">
        <v>0.03</v>
      </c>
      <c r="BA136" s="176">
        <v>0.16</v>
      </c>
      <c r="BB136" s="176">
        <v>1.0</v>
      </c>
      <c r="BC136" s="176">
        <v>1.0</v>
      </c>
      <c r="BD136" s="191" t="s">
        <v>1398</v>
      </c>
      <c r="BE136" s="62"/>
      <c r="BF136" s="62"/>
      <c r="BG136" s="62"/>
      <c r="BH136" s="54"/>
      <c r="BI136" s="54"/>
      <c r="BJ136" s="54"/>
      <c r="BK136" s="54"/>
      <c r="BL136" s="54"/>
      <c r="BM136" s="54"/>
      <c r="BN136" s="54"/>
      <c r="BO136" s="57"/>
      <c r="BP136" s="58" t="s">
        <v>1152</v>
      </c>
      <c r="BQ136" s="57"/>
      <c r="BR136" s="57"/>
    </row>
    <row r="137">
      <c r="A137" s="176">
        <v>133.0</v>
      </c>
      <c r="B137" s="208" t="s">
        <v>150</v>
      </c>
      <c r="C137" s="178" t="s">
        <v>127</v>
      </c>
      <c r="D137" s="245">
        <v>4.0</v>
      </c>
      <c r="E137" s="245">
        <v>0.0</v>
      </c>
      <c r="F137" s="106">
        <v>0.0</v>
      </c>
      <c r="G137" s="106">
        <v>0.0</v>
      </c>
      <c r="H137" s="106">
        <v>0.0</v>
      </c>
      <c r="I137" s="106">
        <v>0.0</v>
      </c>
      <c r="J137" s="106">
        <v>3.66</v>
      </c>
      <c r="K137" s="106">
        <v>0.34</v>
      </c>
      <c r="L137" s="106">
        <v>0.0</v>
      </c>
      <c r="M137" s="106">
        <v>0.0</v>
      </c>
      <c r="N137" s="106">
        <v>0.0</v>
      </c>
      <c r="O137" s="106">
        <v>0.0</v>
      </c>
      <c r="P137" s="180">
        <v>1.0</v>
      </c>
      <c r="Q137" s="180">
        <v>1.0</v>
      </c>
      <c r="R137" s="62"/>
      <c r="S137" s="176">
        <v>0.0</v>
      </c>
      <c r="T137" s="176">
        <v>0.0</v>
      </c>
      <c r="U137" s="176">
        <v>0.0</v>
      </c>
      <c r="V137" s="176">
        <v>0.0</v>
      </c>
      <c r="W137" s="176">
        <v>0.0</v>
      </c>
      <c r="X137" s="62"/>
      <c r="Y137" s="176">
        <v>0.0</v>
      </c>
      <c r="Z137" s="176">
        <v>0.0</v>
      </c>
      <c r="AA137" s="176">
        <v>0.0</v>
      </c>
      <c r="AB137" s="176">
        <v>0.0</v>
      </c>
      <c r="AC137" s="176">
        <v>0.0</v>
      </c>
      <c r="AD137" s="176">
        <v>0.0</v>
      </c>
      <c r="AE137" s="176">
        <v>0.0</v>
      </c>
      <c r="AF137" s="62"/>
      <c r="AG137" s="54"/>
      <c r="AH137" s="54"/>
      <c r="AI137" s="54"/>
      <c r="AJ137" s="54"/>
      <c r="AK137" s="54"/>
      <c r="AL137" s="54"/>
      <c r="AM137" s="54"/>
      <c r="AN137" s="62"/>
      <c r="AO137" s="184">
        <f t="shared" ref="AO137:AS137" si="265">ROUND(E137*(5/12)+K137*(5/12)+S137+Y137-AG137,2)</f>
        <v>0.14</v>
      </c>
      <c r="AP137" s="184">
        <f t="shared" si="265"/>
        <v>0</v>
      </c>
      <c r="AQ137" s="184">
        <f t="shared" si="265"/>
        <v>0</v>
      </c>
      <c r="AR137" s="184">
        <f t="shared" si="265"/>
        <v>0</v>
      </c>
      <c r="AS137" s="184">
        <f t="shared" si="265"/>
        <v>0</v>
      </c>
      <c r="AT137" s="184">
        <f t="shared" ref="AT137:AU137" si="266">P137+AD137-AL137</f>
        <v>1</v>
      </c>
      <c r="AU137" s="184">
        <f t="shared" si="266"/>
        <v>1</v>
      </c>
      <c r="AV137" s="62"/>
      <c r="AW137" s="176">
        <v>0.25</v>
      </c>
      <c r="AX137" s="176" t="s">
        <v>913</v>
      </c>
      <c r="AY137" s="176" t="s">
        <v>913</v>
      </c>
      <c r="AZ137" s="176" t="s">
        <v>913</v>
      </c>
      <c r="BA137" s="176" t="s">
        <v>913</v>
      </c>
      <c r="BB137" s="176">
        <v>1.0</v>
      </c>
      <c r="BC137" s="176">
        <v>1.0</v>
      </c>
      <c r="BD137" s="191" t="s">
        <v>1399</v>
      </c>
      <c r="BE137" s="62"/>
      <c r="BF137" s="62"/>
      <c r="BG137" s="62"/>
      <c r="BH137" s="54"/>
      <c r="BI137" s="54"/>
      <c r="BJ137" s="54"/>
      <c r="BK137" s="54"/>
      <c r="BL137" s="54"/>
      <c r="BM137" s="54"/>
      <c r="BN137" s="54"/>
      <c r="BO137" s="57"/>
      <c r="BP137" s="58" t="s">
        <v>1152</v>
      </c>
      <c r="BQ137" s="57"/>
      <c r="BR137" s="57"/>
    </row>
    <row r="138">
      <c r="A138" s="176">
        <v>134.0</v>
      </c>
      <c r="B138" s="260" t="s">
        <v>1400</v>
      </c>
      <c r="C138" s="178" t="s">
        <v>127</v>
      </c>
      <c r="D138" s="245">
        <v>4.0</v>
      </c>
      <c r="E138" s="245">
        <v>0.0</v>
      </c>
      <c r="F138" s="106">
        <v>0.6</v>
      </c>
      <c r="G138" s="106">
        <v>0.0</v>
      </c>
      <c r="H138" s="106">
        <v>0.0</v>
      </c>
      <c r="I138" s="106">
        <v>0.0</v>
      </c>
      <c r="J138" s="106">
        <v>3.3</v>
      </c>
      <c r="K138" s="106">
        <v>0.0</v>
      </c>
      <c r="L138" s="106">
        <v>0.7</v>
      </c>
      <c r="M138" s="106">
        <v>0.0</v>
      </c>
      <c r="N138" s="106">
        <v>0.0</v>
      </c>
      <c r="O138" s="106">
        <v>0.0</v>
      </c>
      <c r="P138" s="180">
        <v>1.0</v>
      </c>
      <c r="Q138" s="180">
        <v>1.0</v>
      </c>
      <c r="R138" s="62"/>
      <c r="S138" s="176">
        <v>0.0</v>
      </c>
      <c r="T138" s="176">
        <v>0.0</v>
      </c>
      <c r="U138" s="176">
        <v>0.0</v>
      </c>
      <c r="V138" s="176">
        <v>0.0</v>
      </c>
      <c r="W138" s="176">
        <v>0.0</v>
      </c>
      <c r="X138" s="62"/>
      <c r="Y138" s="176">
        <v>0.0</v>
      </c>
      <c r="Z138" s="176">
        <v>0.0</v>
      </c>
      <c r="AA138" s="176">
        <v>0.0</v>
      </c>
      <c r="AB138" s="176">
        <v>0.0</v>
      </c>
      <c r="AC138" s="176">
        <v>0.0</v>
      </c>
      <c r="AD138" s="176">
        <v>0.0</v>
      </c>
      <c r="AE138" s="176">
        <v>0.0</v>
      </c>
      <c r="AF138" s="62"/>
      <c r="AG138" s="54"/>
      <c r="AH138" s="54"/>
      <c r="AI138" s="54"/>
      <c r="AJ138" s="54"/>
      <c r="AK138" s="54"/>
      <c r="AL138" s="54"/>
      <c r="AM138" s="54"/>
      <c r="AN138" s="62"/>
      <c r="AO138" s="184">
        <f t="shared" ref="AO138:AS138" si="267">ROUND(E138*(5/12)+K138*(5/12)+S138+Y138-AG138,2)</f>
        <v>0</v>
      </c>
      <c r="AP138" s="184">
        <f t="shared" si="267"/>
        <v>0.54</v>
      </c>
      <c r="AQ138" s="184">
        <f t="shared" si="267"/>
        <v>0</v>
      </c>
      <c r="AR138" s="184">
        <f t="shared" si="267"/>
        <v>0</v>
      </c>
      <c r="AS138" s="184">
        <f t="shared" si="267"/>
        <v>0</v>
      </c>
      <c r="AT138" s="184">
        <f t="shared" ref="AT138:AU138" si="268">P138+AD138-AL138</f>
        <v>1</v>
      </c>
      <c r="AU138" s="184">
        <f t="shared" si="268"/>
        <v>1</v>
      </c>
      <c r="AV138" s="62"/>
      <c r="AW138" s="202"/>
      <c r="AX138" s="202"/>
      <c r="AY138" s="202"/>
      <c r="AZ138" s="202"/>
      <c r="BA138" s="202"/>
      <c r="BB138" s="202"/>
      <c r="BC138" s="202"/>
      <c r="BD138" s="228"/>
      <c r="BE138" s="62"/>
      <c r="BF138" s="62"/>
      <c r="BG138" s="62"/>
      <c r="BH138" s="54"/>
      <c r="BI138" s="54"/>
      <c r="BJ138" s="54"/>
      <c r="BK138" s="54"/>
      <c r="BL138" s="54"/>
      <c r="BM138" s="54"/>
      <c r="BN138" s="54"/>
      <c r="BO138" s="57"/>
      <c r="BP138" s="57"/>
      <c r="BQ138" s="57"/>
      <c r="BR138" s="57"/>
    </row>
    <row r="139">
      <c r="A139" s="176">
        <v>135.0</v>
      </c>
      <c r="B139" s="118" t="s">
        <v>1401</v>
      </c>
      <c r="C139" s="178" t="s">
        <v>127</v>
      </c>
      <c r="D139" s="258"/>
      <c r="E139" s="258"/>
      <c r="F139" s="258"/>
      <c r="G139" s="258"/>
      <c r="H139" s="258"/>
      <c r="I139" s="258"/>
      <c r="J139" s="106">
        <v>4.0</v>
      </c>
      <c r="K139" s="106">
        <v>0.0</v>
      </c>
      <c r="L139" s="106">
        <v>0.0</v>
      </c>
      <c r="M139" s="106">
        <v>0.0</v>
      </c>
      <c r="N139" s="106">
        <v>0.0</v>
      </c>
      <c r="O139" s="106">
        <v>0.0</v>
      </c>
      <c r="P139" s="180">
        <v>1.0</v>
      </c>
      <c r="Q139" s="180">
        <v>1.0</v>
      </c>
      <c r="R139" s="62"/>
      <c r="S139" s="182">
        <v>0.0</v>
      </c>
      <c r="T139" s="183">
        <v>0.0</v>
      </c>
      <c r="U139" s="183">
        <v>0.0</v>
      </c>
      <c r="V139" s="183">
        <v>0.0</v>
      </c>
      <c r="W139" s="183">
        <v>0.0</v>
      </c>
      <c r="X139" s="62"/>
      <c r="Y139" s="176">
        <v>0.0</v>
      </c>
      <c r="Z139" s="176">
        <v>0.0</v>
      </c>
      <c r="AA139" s="176">
        <v>0.0</v>
      </c>
      <c r="AB139" s="176">
        <v>0.0</v>
      </c>
      <c r="AC139" s="176">
        <v>0.0</v>
      </c>
      <c r="AD139" s="176">
        <v>0.0</v>
      </c>
      <c r="AE139" s="176">
        <v>0.0</v>
      </c>
      <c r="AF139" s="62"/>
      <c r="AG139" s="47"/>
      <c r="AH139" s="54"/>
      <c r="AI139" s="54"/>
      <c r="AJ139" s="54"/>
      <c r="AK139" s="54"/>
      <c r="AL139" s="54"/>
      <c r="AM139" s="54"/>
      <c r="AN139" s="62"/>
      <c r="AO139" s="184">
        <f t="shared" ref="AO139:AS139" si="269">ROUND(E139*(5/12)+K139*(5/12)+S139+Y139-AG139,2)</f>
        <v>0</v>
      </c>
      <c r="AP139" s="184">
        <f t="shared" si="269"/>
        <v>0</v>
      </c>
      <c r="AQ139" s="184">
        <f t="shared" si="269"/>
        <v>0</v>
      </c>
      <c r="AR139" s="184">
        <f t="shared" si="269"/>
        <v>0</v>
      </c>
      <c r="AS139" s="184">
        <f t="shared" si="269"/>
        <v>0</v>
      </c>
      <c r="AT139" s="184">
        <f t="shared" ref="AT139:AU139" si="270">P139+AD139-AL139</f>
        <v>1</v>
      </c>
      <c r="AU139" s="184">
        <f t="shared" si="270"/>
        <v>1</v>
      </c>
      <c r="AV139" s="62"/>
      <c r="AW139" s="176" t="s">
        <v>913</v>
      </c>
      <c r="AX139" s="176" t="s">
        <v>913</v>
      </c>
      <c r="AY139" s="176" t="s">
        <v>913</v>
      </c>
      <c r="AZ139" s="176" t="s">
        <v>913</v>
      </c>
      <c r="BA139" s="176" t="s">
        <v>913</v>
      </c>
      <c r="BB139" s="176">
        <v>0.0</v>
      </c>
      <c r="BC139" s="176">
        <v>0.0</v>
      </c>
      <c r="BD139" s="194" t="s">
        <v>1402</v>
      </c>
      <c r="BE139" s="62"/>
      <c r="BF139" s="62"/>
      <c r="BG139" s="62"/>
      <c r="BH139" s="54"/>
      <c r="BI139" s="54"/>
      <c r="BJ139" s="54"/>
      <c r="BK139" s="54"/>
      <c r="BL139" s="54"/>
      <c r="BM139" s="54"/>
      <c r="BN139" s="54"/>
      <c r="BO139" s="57"/>
      <c r="BP139" s="58"/>
      <c r="BQ139" s="57"/>
      <c r="BR139" s="57"/>
    </row>
    <row r="140">
      <c r="A140" s="176">
        <v>136.0</v>
      </c>
      <c r="B140" s="118" t="s">
        <v>1403</v>
      </c>
      <c r="C140" s="178" t="s">
        <v>127</v>
      </c>
      <c r="D140" s="258"/>
      <c r="E140" s="258"/>
      <c r="F140" s="258"/>
      <c r="G140" s="258"/>
      <c r="H140" s="258"/>
      <c r="I140" s="258"/>
      <c r="J140" s="106">
        <v>0.0</v>
      </c>
      <c r="K140" s="106">
        <v>4.0</v>
      </c>
      <c r="L140" s="106">
        <v>0.0</v>
      </c>
      <c r="M140" s="106">
        <v>0.0</v>
      </c>
      <c r="N140" s="106">
        <v>0.0</v>
      </c>
      <c r="O140" s="106">
        <v>0.0</v>
      </c>
      <c r="P140" s="180">
        <v>0.25</v>
      </c>
      <c r="Q140" s="180">
        <v>0.25</v>
      </c>
      <c r="R140" s="62"/>
      <c r="S140" s="182">
        <v>0.0</v>
      </c>
      <c r="T140" s="183">
        <v>0.0</v>
      </c>
      <c r="U140" s="183">
        <v>0.0</v>
      </c>
      <c r="V140" s="183">
        <v>0.0</v>
      </c>
      <c r="W140" s="183">
        <v>0.0</v>
      </c>
      <c r="X140" s="62"/>
      <c r="Y140" s="176">
        <v>0.0</v>
      </c>
      <c r="Z140" s="176">
        <v>0.0</v>
      </c>
      <c r="AA140" s="176">
        <v>0.0</v>
      </c>
      <c r="AB140" s="176">
        <v>0.0</v>
      </c>
      <c r="AC140" s="176">
        <v>0.0</v>
      </c>
      <c r="AD140" s="176">
        <v>0.0</v>
      </c>
      <c r="AE140" s="176">
        <v>0.0</v>
      </c>
      <c r="AF140" s="62"/>
      <c r="AG140" s="47"/>
      <c r="AH140" s="54"/>
      <c r="AI140" s="54"/>
      <c r="AJ140" s="54"/>
      <c r="AK140" s="54"/>
      <c r="AL140" s="54"/>
      <c r="AM140" s="54"/>
      <c r="AN140" s="62"/>
      <c r="AO140" s="176">
        <v>1.0</v>
      </c>
      <c r="AP140" s="184">
        <f t="shared" ref="AP140:AS140" si="271">ROUND(F140*(5/12)+L140*(5/12)+T140+Z140-AH140,2)</f>
        <v>0</v>
      </c>
      <c r="AQ140" s="184">
        <f t="shared" si="271"/>
        <v>0</v>
      </c>
      <c r="AR140" s="184">
        <f t="shared" si="271"/>
        <v>0</v>
      </c>
      <c r="AS140" s="184">
        <f t="shared" si="271"/>
        <v>0</v>
      </c>
      <c r="AT140" s="184">
        <f t="shared" ref="AT140:AU140" si="272">P140+AD140-AL140</f>
        <v>0.25</v>
      </c>
      <c r="AU140" s="184">
        <f t="shared" si="272"/>
        <v>0.25</v>
      </c>
      <c r="AV140" s="62"/>
      <c r="AW140" s="176">
        <v>0.5</v>
      </c>
      <c r="AX140" s="176" t="s">
        <v>913</v>
      </c>
      <c r="AY140" s="176" t="s">
        <v>913</v>
      </c>
      <c r="AZ140" s="176" t="s">
        <v>913</v>
      </c>
      <c r="BA140" s="176" t="s">
        <v>913</v>
      </c>
      <c r="BB140" s="176">
        <v>0.0</v>
      </c>
      <c r="BC140" s="176">
        <v>0.0</v>
      </c>
      <c r="BD140" s="194" t="s">
        <v>1404</v>
      </c>
      <c r="BE140" s="62"/>
      <c r="BF140" s="62"/>
      <c r="BG140" s="62"/>
      <c r="BH140" s="54"/>
      <c r="BI140" s="54"/>
      <c r="BJ140" s="54"/>
      <c r="BK140" s="54"/>
      <c r="BL140" s="54"/>
      <c r="BM140" s="54"/>
      <c r="BN140" s="54"/>
      <c r="BO140" s="57"/>
      <c r="BP140" s="58"/>
      <c r="BQ140" s="57"/>
      <c r="BR140" s="57"/>
    </row>
    <row r="141">
      <c r="A141" s="176">
        <v>137.0</v>
      </c>
      <c r="B141" s="118" t="s">
        <v>1405</v>
      </c>
      <c r="C141" s="178" t="s">
        <v>127</v>
      </c>
      <c r="D141" s="258"/>
      <c r="E141" s="258"/>
      <c r="F141" s="258"/>
      <c r="G141" s="258"/>
      <c r="H141" s="258"/>
      <c r="I141" s="258"/>
      <c r="J141" s="106">
        <v>0.0</v>
      </c>
      <c r="K141" s="106">
        <v>4.0</v>
      </c>
      <c r="L141" s="106">
        <v>0.0</v>
      </c>
      <c r="M141" s="106">
        <v>0.0</v>
      </c>
      <c r="N141" s="106">
        <v>0.0</v>
      </c>
      <c r="O141" s="106">
        <v>0.0</v>
      </c>
      <c r="P141" s="180">
        <v>0.17</v>
      </c>
      <c r="Q141" s="180">
        <v>0.17</v>
      </c>
      <c r="R141" s="62"/>
      <c r="S141" s="182">
        <v>0.0</v>
      </c>
      <c r="T141" s="183">
        <v>0.0</v>
      </c>
      <c r="U141" s="183">
        <v>0.0</v>
      </c>
      <c r="V141" s="183">
        <v>0.0</v>
      </c>
      <c r="W141" s="183">
        <v>0.0</v>
      </c>
      <c r="X141" s="62"/>
      <c r="Y141" s="176">
        <v>0.0</v>
      </c>
      <c r="Z141" s="176">
        <v>0.0</v>
      </c>
      <c r="AA141" s="176">
        <v>0.0</v>
      </c>
      <c r="AB141" s="176">
        <v>0.0</v>
      </c>
      <c r="AC141" s="176">
        <v>0.0</v>
      </c>
      <c r="AD141" s="176">
        <v>0.0</v>
      </c>
      <c r="AE141" s="176">
        <v>0.0</v>
      </c>
      <c r="AF141" s="62"/>
      <c r="AG141" s="47"/>
      <c r="AH141" s="54"/>
      <c r="AI141" s="54"/>
      <c r="AJ141" s="54"/>
      <c r="AK141" s="54"/>
      <c r="AL141" s="54"/>
      <c r="AM141" s="54"/>
      <c r="AN141" s="62"/>
      <c r="AO141" s="176">
        <v>0.67</v>
      </c>
      <c r="AP141" s="184">
        <f t="shared" ref="AP141:AS141" si="273">ROUND(F141*(5/12)+L141*(5/12)+T141+Z141-AH141,2)</f>
        <v>0</v>
      </c>
      <c r="AQ141" s="184">
        <f t="shared" si="273"/>
        <v>0</v>
      </c>
      <c r="AR141" s="184">
        <f t="shared" si="273"/>
        <v>0</v>
      </c>
      <c r="AS141" s="184">
        <f t="shared" si="273"/>
        <v>0</v>
      </c>
      <c r="AT141" s="184">
        <f t="shared" ref="AT141:AU141" si="274">P141+AD141-AL141</f>
        <v>0.17</v>
      </c>
      <c r="AU141" s="184">
        <f t="shared" si="274"/>
        <v>0.17</v>
      </c>
      <c r="AV141" s="62"/>
      <c r="AW141" s="176">
        <v>0.5</v>
      </c>
      <c r="AX141" s="176" t="s">
        <v>913</v>
      </c>
      <c r="AY141" s="176" t="s">
        <v>913</v>
      </c>
      <c r="AZ141" s="176" t="s">
        <v>913</v>
      </c>
      <c r="BA141" s="176" t="s">
        <v>913</v>
      </c>
      <c r="BB141" s="176">
        <v>0.0</v>
      </c>
      <c r="BC141" s="176">
        <v>0.0</v>
      </c>
      <c r="BD141" s="194" t="s">
        <v>1406</v>
      </c>
      <c r="BE141" s="62"/>
      <c r="BF141" s="62"/>
      <c r="BG141" s="62"/>
      <c r="BH141" s="54"/>
      <c r="BI141" s="54"/>
      <c r="BJ141" s="54"/>
      <c r="BK141" s="54"/>
      <c r="BL141" s="54"/>
      <c r="BM141" s="54"/>
      <c r="BN141" s="54"/>
      <c r="BO141" s="57"/>
      <c r="BP141" s="58" t="s">
        <v>1152</v>
      </c>
      <c r="BQ141" s="57"/>
      <c r="BR141" s="57"/>
    </row>
    <row r="142">
      <c r="A142" s="176">
        <v>138.0</v>
      </c>
      <c r="B142" s="122" t="s">
        <v>1407</v>
      </c>
      <c r="C142" s="178" t="s">
        <v>127</v>
      </c>
      <c r="D142" s="258"/>
      <c r="E142" s="258"/>
      <c r="F142" s="258"/>
      <c r="G142" s="258"/>
      <c r="H142" s="258"/>
      <c r="I142" s="258"/>
      <c r="J142" s="106">
        <v>0.0</v>
      </c>
      <c r="K142" s="106">
        <v>4.0</v>
      </c>
      <c r="L142" s="106">
        <v>0.0</v>
      </c>
      <c r="M142" s="106">
        <v>0.0</v>
      </c>
      <c r="N142" s="106">
        <v>0.0</v>
      </c>
      <c r="O142" s="106">
        <v>0.0</v>
      </c>
      <c r="P142" s="180">
        <v>0.0</v>
      </c>
      <c r="Q142" s="180">
        <v>0.0</v>
      </c>
      <c r="R142" s="62"/>
      <c r="S142" s="182">
        <v>0.0</v>
      </c>
      <c r="T142" s="183">
        <v>0.0</v>
      </c>
      <c r="U142" s="183">
        <v>0.0</v>
      </c>
      <c r="V142" s="183">
        <v>0.0</v>
      </c>
      <c r="W142" s="183">
        <v>0.0</v>
      </c>
      <c r="X142" s="62"/>
      <c r="Y142" s="176">
        <v>0.0</v>
      </c>
      <c r="Z142" s="176">
        <v>0.0</v>
      </c>
      <c r="AA142" s="176">
        <v>0.0</v>
      </c>
      <c r="AB142" s="176">
        <v>0.0</v>
      </c>
      <c r="AC142" s="176">
        <v>0.0</v>
      </c>
      <c r="AD142" s="176">
        <v>0.0</v>
      </c>
      <c r="AE142" s="176">
        <v>0.0</v>
      </c>
      <c r="AF142" s="62"/>
      <c r="AG142" s="47"/>
      <c r="AH142" s="54"/>
      <c r="AI142" s="54"/>
      <c r="AJ142" s="54"/>
      <c r="AK142" s="54"/>
      <c r="AL142" s="54"/>
      <c r="AM142" s="54"/>
      <c r="AN142" s="62"/>
      <c r="AO142" s="176">
        <v>0.0</v>
      </c>
      <c r="AP142" s="184">
        <f t="shared" ref="AP142:AS142" si="275">ROUND(F142*(5/12)+L142*(5/12)+T142+Z142-AH142,2)</f>
        <v>0</v>
      </c>
      <c r="AQ142" s="184">
        <f t="shared" si="275"/>
        <v>0</v>
      </c>
      <c r="AR142" s="184">
        <f t="shared" si="275"/>
        <v>0</v>
      </c>
      <c r="AS142" s="184">
        <f t="shared" si="275"/>
        <v>0</v>
      </c>
      <c r="AT142" s="184">
        <f t="shared" ref="AT142:AU142" si="276">P142+AD142-AL142</f>
        <v>0</v>
      </c>
      <c r="AU142" s="184">
        <f t="shared" si="276"/>
        <v>0</v>
      </c>
      <c r="AV142" s="62"/>
      <c r="AW142" s="176" t="s">
        <v>913</v>
      </c>
      <c r="AX142" s="176" t="s">
        <v>913</v>
      </c>
      <c r="AY142" s="176" t="s">
        <v>913</v>
      </c>
      <c r="AZ142" s="176" t="s">
        <v>913</v>
      </c>
      <c r="BA142" s="176" t="s">
        <v>913</v>
      </c>
      <c r="BB142" s="176" t="s">
        <v>913</v>
      </c>
      <c r="BC142" s="176" t="s">
        <v>913</v>
      </c>
      <c r="BD142" s="180"/>
      <c r="BE142" s="62"/>
      <c r="BF142" s="62"/>
      <c r="BG142" s="62"/>
      <c r="BH142" s="54"/>
      <c r="BI142" s="54"/>
      <c r="BJ142" s="54"/>
      <c r="BK142" s="54"/>
      <c r="BL142" s="54"/>
      <c r="BM142" s="54"/>
      <c r="BN142" s="54"/>
      <c r="BO142" s="57"/>
      <c r="BP142" s="58"/>
      <c r="BQ142" s="57"/>
      <c r="BR142" s="57"/>
    </row>
    <row r="143">
      <c r="A143" s="176">
        <v>139.0</v>
      </c>
      <c r="B143" s="177" t="s">
        <v>1408</v>
      </c>
      <c r="C143" s="178" t="s">
        <v>1409</v>
      </c>
      <c r="D143" s="245">
        <v>0.0</v>
      </c>
      <c r="E143" s="245">
        <v>0.0</v>
      </c>
      <c r="F143" s="106">
        <v>0.9</v>
      </c>
      <c r="G143" s="106">
        <v>0.0</v>
      </c>
      <c r="H143" s="106">
        <v>0.15</v>
      </c>
      <c r="I143" s="106">
        <v>0.95</v>
      </c>
      <c r="J143" s="106">
        <v>0.0</v>
      </c>
      <c r="K143" s="106">
        <v>0.0</v>
      </c>
      <c r="L143" s="106">
        <v>0.0</v>
      </c>
      <c r="M143" s="106">
        <v>0.0</v>
      </c>
      <c r="N143" s="106">
        <v>0.15</v>
      </c>
      <c r="O143" s="106">
        <v>0.95</v>
      </c>
      <c r="P143" s="180">
        <v>1.0</v>
      </c>
      <c r="Q143" s="180">
        <v>1.0</v>
      </c>
      <c r="R143" s="62"/>
      <c r="S143" s="182">
        <v>0.14</v>
      </c>
      <c r="T143" s="183">
        <v>0.05</v>
      </c>
      <c r="U143" s="183">
        <v>0.05</v>
      </c>
      <c r="V143" s="183">
        <v>0.23</v>
      </c>
      <c r="W143" s="183">
        <v>0.04</v>
      </c>
      <c r="X143" s="62"/>
      <c r="Y143" s="176">
        <v>0.0</v>
      </c>
      <c r="Z143" s="176">
        <v>0.0</v>
      </c>
      <c r="AA143" s="176">
        <v>0.0</v>
      </c>
      <c r="AB143" s="176">
        <v>0.0</v>
      </c>
      <c r="AC143" s="176">
        <v>0.0</v>
      </c>
      <c r="AD143" s="176">
        <v>0.0</v>
      </c>
      <c r="AE143" s="176">
        <v>0.0</v>
      </c>
      <c r="AF143" s="62"/>
      <c r="AG143" s="47">
        <v>0.49</v>
      </c>
      <c r="AH143" s="54"/>
      <c r="AI143" s="54"/>
      <c r="AJ143" s="54"/>
      <c r="AK143" s="54"/>
      <c r="AL143" s="54"/>
      <c r="AM143" s="54"/>
      <c r="AN143" s="62"/>
      <c r="AO143" s="184">
        <f t="shared" ref="AO143:AS143" si="277">ROUND(E143*(5/12)+K143*(5/12)+S143+Y143-AG143,2)</f>
        <v>-0.35</v>
      </c>
      <c r="AP143" s="184">
        <f t="shared" si="277"/>
        <v>0.43</v>
      </c>
      <c r="AQ143" s="184">
        <f t="shared" si="277"/>
        <v>0.05</v>
      </c>
      <c r="AR143" s="184">
        <f t="shared" si="277"/>
        <v>0.36</v>
      </c>
      <c r="AS143" s="184">
        <f t="shared" si="277"/>
        <v>0.83</v>
      </c>
      <c r="AT143" s="184">
        <f t="shared" ref="AT143:AU143" si="278">P143+AD143-AL143</f>
        <v>1</v>
      </c>
      <c r="AU143" s="184">
        <f t="shared" si="278"/>
        <v>1</v>
      </c>
      <c r="AV143" s="62"/>
      <c r="AW143" s="176">
        <v>0.0</v>
      </c>
      <c r="AX143" s="176">
        <v>0.44</v>
      </c>
      <c r="AY143" s="176">
        <v>0.05</v>
      </c>
      <c r="AZ143" s="176">
        <v>0.0</v>
      </c>
      <c r="BA143" s="176">
        <v>0.83</v>
      </c>
      <c r="BB143" s="176">
        <v>1.0</v>
      </c>
      <c r="BC143" s="176">
        <v>0.0</v>
      </c>
      <c r="BD143" s="194" t="s">
        <v>1410</v>
      </c>
      <c r="BE143" s="62"/>
      <c r="BF143" s="62"/>
      <c r="BG143" s="62"/>
      <c r="BH143" s="54"/>
      <c r="BI143" s="54"/>
      <c r="BJ143" s="54"/>
      <c r="BK143" s="54"/>
      <c r="BL143" s="54"/>
      <c r="BM143" s="54"/>
      <c r="BN143" s="54"/>
      <c r="BO143" s="57"/>
      <c r="BP143" s="58" t="s">
        <v>1152</v>
      </c>
      <c r="BQ143" s="57"/>
      <c r="BR143" s="57"/>
    </row>
    <row r="144">
      <c r="A144" s="176">
        <v>140.0</v>
      </c>
      <c r="B144" s="231" t="s">
        <v>1411</v>
      </c>
      <c r="C144" s="178" t="s">
        <v>1409</v>
      </c>
      <c r="D144" s="245">
        <v>3.0</v>
      </c>
      <c r="E144" s="245">
        <v>0.8</v>
      </c>
      <c r="F144" s="106">
        <v>0.2</v>
      </c>
      <c r="G144" s="106">
        <v>0.3</v>
      </c>
      <c r="H144" s="106">
        <v>0.2</v>
      </c>
      <c r="I144" s="106">
        <v>0.2</v>
      </c>
      <c r="J144" s="106">
        <v>3.0</v>
      </c>
      <c r="K144" s="106">
        <v>0.2</v>
      </c>
      <c r="L144" s="106">
        <v>0.3</v>
      </c>
      <c r="M144" s="106">
        <v>0.3</v>
      </c>
      <c r="N144" s="106">
        <v>0.0</v>
      </c>
      <c r="O144" s="106">
        <v>0.2</v>
      </c>
      <c r="P144" s="180">
        <v>1.0</v>
      </c>
      <c r="Q144" s="180">
        <v>1.0</v>
      </c>
      <c r="R144" s="62"/>
      <c r="S144" s="182">
        <v>0.08</v>
      </c>
      <c r="T144" s="183">
        <v>0.02</v>
      </c>
      <c r="U144" s="183">
        <v>0.0</v>
      </c>
      <c r="V144" s="183">
        <v>0.0</v>
      </c>
      <c r="W144" s="183">
        <v>0.03</v>
      </c>
      <c r="X144" s="62"/>
      <c r="Y144" s="176">
        <v>0.0</v>
      </c>
      <c r="Z144" s="176">
        <v>0.0</v>
      </c>
      <c r="AA144" s="176">
        <v>0.0</v>
      </c>
      <c r="AB144" s="176">
        <v>0.0</v>
      </c>
      <c r="AC144" s="176">
        <v>0.0</v>
      </c>
      <c r="AD144" s="176">
        <v>0.0</v>
      </c>
      <c r="AE144" s="176">
        <v>0.0</v>
      </c>
      <c r="AF144" s="62"/>
      <c r="AG144" s="54"/>
      <c r="AH144" s="54"/>
      <c r="AI144" s="54"/>
      <c r="AJ144" s="47">
        <v>0.16</v>
      </c>
      <c r="AK144" s="54"/>
      <c r="AL144" s="54"/>
      <c r="AM144" s="54"/>
      <c r="AN144" s="62"/>
      <c r="AO144" s="184">
        <f t="shared" ref="AO144:AS144" si="279">ROUND(E144*(5/12)+K144*(5/12)+S144+Y144-AG144,2)</f>
        <v>0.5</v>
      </c>
      <c r="AP144" s="184">
        <f t="shared" si="279"/>
        <v>0.23</v>
      </c>
      <c r="AQ144" s="184">
        <f t="shared" si="279"/>
        <v>0.25</v>
      </c>
      <c r="AR144" s="184">
        <f t="shared" si="279"/>
        <v>-0.08</v>
      </c>
      <c r="AS144" s="184">
        <f t="shared" si="279"/>
        <v>0.2</v>
      </c>
      <c r="AT144" s="184">
        <f t="shared" ref="AT144:AU144" si="280">P144+AD144-AL144</f>
        <v>1</v>
      </c>
      <c r="AU144" s="184">
        <f t="shared" si="280"/>
        <v>1</v>
      </c>
      <c r="AV144" s="62"/>
      <c r="AW144" s="176">
        <v>0.5</v>
      </c>
      <c r="AX144" s="176">
        <v>0.1</v>
      </c>
      <c r="AY144" s="176">
        <v>0.0</v>
      </c>
      <c r="AZ144" s="176">
        <v>0.0</v>
      </c>
      <c r="BA144" s="176">
        <v>0.1</v>
      </c>
      <c r="BB144" s="176">
        <v>1.0</v>
      </c>
      <c r="BC144" s="176">
        <v>2.0</v>
      </c>
      <c r="BD144" s="180" t="s">
        <v>1412</v>
      </c>
      <c r="BE144" s="62"/>
      <c r="BF144" s="62"/>
      <c r="BG144" s="62"/>
      <c r="BH144" s="54"/>
      <c r="BI144" s="54"/>
      <c r="BJ144" s="54"/>
      <c r="BK144" s="54"/>
      <c r="BL144" s="54"/>
      <c r="BM144" s="54"/>
      <c r="BN144" s="54"/>
      <c r="BO144" s="57"/>
      <c r="BP144" s="58" t="s">
        <v>1152</v>
      </c>
      <c r="BQ144" s="57"/>
      <c r="BR144" s="57"/>
    </row>
    <row r="145">
      <c r="A145" s="176">
        <v>141.0</v>
      </c>
      <c r="B145" s="117" t="s">
        <v>1413</v>
      </c>
      <c r="C145" s="178" t="s">
        <v>1409</v>
      </c>
      <c r="D145" s="245">
        <v>4.0</v>
      </c>
      <c r="E145" s="245">
        <v>0.8</v>
      </c>
      <c r="F145" s="106">
        <v>0.2</v>
      </c>
      <c r="G145" s="106">
        <v>0.3</v>
      </c>
      <c r="H145" s="106">
        <v>0.0</v>
      </c>
      <c r="I145" s="106">
        <v>0.0</v>
      </c>
      <c r="J145" s="106">
        <v>3.0</v>
      </c>
      <c r="K145" s="106">
        <v>0.4</v>
      </c>
      <c r="L145" s="106">
        <v>0.3</v>
      </c>
      <c r="M145" s="106">
        <v>0.3</v>
      </c>
      <c r="N145" s="106">
        <v>0.0</v>
      </c>
      <c r="O145" s="106">
        <v>0.0</v>
      </c>
      <c r="P145" s="180">
        <v>1.0</v>
      </c>
      <c r="Q145" s="180">
        <v>1.0</v>
      </c>
      <c r="R145" s="62"/>
      <c r="S145" s="187">
        <v>0.0</v>
      </c>
      <c r="T145" s="188">
        <v>0.0</v>
      </c>
      <c r="U145" s="188">
        <v>0.0</v>
      </c>
      <c r="V145" s="188">
        <v>0.0</v>
      </c>
      <c r="W145" s="188">
        <v>0.02</v>
      </c>
      <c r="X145" s="62"/>
      <c r="Y145" s="176">
        <v>0.0</v>
      </c>
      <c r="Z145" s="176">
        <v>0.0</v>
      </c>
      <c r="AA145" s="176">
        <v>0.0</v>
      </c>
      <c r="AB145" s="176">
        <v>0.0</v>
      </c>
      <c r="AC145" s="176">
        <v>0.0</v>
      </c>
      <c r="AD145" s="176">
        <v>0.0</v>
      </c>
      <c r="AE145" s="176">
        <v>0.0</v>
      </c>
      <c r="AF145" s="62"/>
      <c r="AG145" s="54"/>
      <c r="AH145" s="54"/>
      <c r="AI145" s="54"/>
      <c r="AJ145" s="54"/>
      <c r="AK145" s="54"/>
      <c r="AL145" s="54"/>
      <c r="AM145" s="54"/>
      <c r="AN145" s="62"/>
      <c r="AO145" s="184">
        <f t="shared" ref="AO145:AS145" si="281">ROUND(E145*(5/12)+K145*(5/12)+S145+Y145-AG145,2)</f>
        <v>0.5</v>
      </c>
      <c r="AP145" s="184">
        <f t="shared" si="281"/>
        <v>0.21</v>
      </c>
      <c r="AQ145" s="184">
        <f t="shared" si="281"/>
        <v>0.25</v>
      </c>
      <c r="AR145" s="184">
        <f t="shared" si="281"/>
        <v>0</v>
      </c>
      <c r="AS145" s="184">
        <f t="shared" si="281"/>
        <v>0.02</v>
      </c>
      <c r="AT145" s="184">
        <f t="shared" ref="AT145:AU145" si="282">P145+AD145-AL145</f>
        <v>1</v>
      </c>
      <c r="AU145" s="184">
        <f t="shared" si="282"/>
        <v>1</v>
      </c>
      <c r="AV145" s="62"/>
      <c r="AW145" s="176">
        <v>1.0</v>
      </c>
      <c r="AX145" s="176">
        <v>0.1</v>
      </c>
      <c r="AY145" s="176">
        <v>0.0</v>
      </c>
      <c r="AZ145" s="176" t="s">
        <v>913</v>
      </c>
      <c r="BA145" s="176">
        <v>0.02</v>
      </c>
      <c r="BB145" s="176">
        <v>1.0</v>
      </c>
      <c r="BC145" s="176">
        <v>1.0</v>
      </c>
      <c r="BD145" s="180" t="s">
        <v>1414</v>
      </c>
      <c r="BE145" s="62"/>
      <c r="BF145" s="62"/>
      <c r="BG145" s="62"/>
      <c r="BH145" s="262"/>
      <c r="BI145" s="54"/>
      <c r="BJ145" s="54"/>
      <c r="BK145" s="54"/>
      <c r="BL145" s="54"/>
      <c r="BM145" s="263"/>
      <c r="BN145" s="54"/>
      <c r="BO145" s="57"/>
      <c r="BP145" s="58" t="s">
        <v>1152</v>
      </c>
      <c r="BQ145" s="57"/>
      <c r="BR145" s="57"/>
    </row>
    <row r="146">
      <c r="A146" s="176">
        <v>142.0</v>
      </c>
      <c r="B146" s="208" t="s">
        <v>1415</v>
      </c>
      <c r="C146" s="178" t="s">
        <v>1409</v>
      </c>
      <c r="D146" s="245">
        <v>4.0</v>
      </c>
      <c r="E146" s="245">
        <v>0.4</v>
      </c>
      <c r="F146" s="106">
        <v>0.2</v>
      </c>
      <c r="G146" s="106">
        <v>0.3</v>
      </c>
      <c r="H146" s="106">
        <v>0.4</v>
      </c>
      <c r="I146" s="106">
        <v>0.0</v>
      </c>
      <c r="J146" s="106">
        <v>3.0</v>
      </c>
      <c r="K146" s="106">
        <v>0.3</v>
      </c>
      <c r="L146" s="106">
        <v>0.2</v>
      </c>
      <c r="M146" s="106">
        <v>0.3</v>
      </c>
      <c r="N146" s="106">
        <v>0.2</v>
      </c>
      <c r="O146" s="106">
        <v>0.0</v>
      </c>
      <c r="P146" s="180">
        <v>1.0</v>
      </c>
      <c r="Q146" s="180">
        <v>1.0</v>
      </c>
      <c r="R146" s="62"/>
      <c r="S146" s="182">
        <v>0.1</v>
      </c>
      <c r="T146" s="183">
        <v>0.03</v>
      </c>
      <c r="U146" s="183">
        <v>0.0</v>
      </c>
      <c r="V146" s="183">
        <v>0.03</v>
      </c>
      <c r="W146" s="183">
        <v>0.0</v>
      </c>
      <c r="X146" s="62"/>
      <c r="Y146" s="176">
        <v>0.0</v>
      </c>
      <c r="Z146" s="176">
        <v>0.0</v>
      </c>
      <c r="AA146" s="176">
        <v>0.0</v>
      </c>
      <c r="AB146" s="176">
        <v>0.0</v>
      </c>
      <c r="AC146" s="176">
        <v>0.0</v>
      </c>
      <c r="AD146" s="176">
        <v>0.0</v>
      </c>
      <c r="AE146" s="176">
        <v>0.0</v>
      </c>
      <c r="AF146" s="62"/>
      <c r="AG146" s="54"/>
      <c r="AH146" s="54"/>
      <c r="AI146" s="54"/>
      <c r="AJ146" s="54"/>
      <c r="AK146" s="54"/>
      <c r="AL146" s="54"/>
      <c r="AM146" s="54"/>
      <c r="AN146" s="62"/>
      <c r="AO146" s="184">
        <f t="shared" ref="AO146:AS146" si="283">ROUND(E146*(5/12)+K146*(5/12)+S146+Y146-AG146,2)</f>
        <v>0.39</v>
      </c>
      <c r="AP146" s="184">
        <f t="shared" si="283"/>
        <v>0.2</v>
      </c>
      <c r="AQ146" s="184">
        <f t="shared" si="283"/>
        <v>0.25</v>
      </c>
      <c r="AR146" s="184">
        <f t="shared" si="283"/>
        <v>0.28</v>
      </c>
      <c r="AS146" s="184">
        <f t="shared" si="283"/>
        <v>0</v>
      </c>
      <c r="AT146" s="184">
        <f t="shared" ref="AT146:AU146" si="284">P146+AD146-AL146</f>
        <v>1</v>
      </c>
      <c r="AU146" s="184">
        <f t="shared" si="284"/>
        <v>1</v>
      </c>
      <c r="AV146" s="62"/>
      <c r="AW146" s="176">
        <v>0.0</v>
      </c>
      <c r="AX146" s="176">
        <v>0.0</v>
      </c>
      <c r="AY146" s="176">
        <v>0.0</v>
      </c>
      <c r="AZ146" s="176">
        <v>0.0</v>
      </c>
      <c r="BA146" s="176" t="s">
        <v>913</v>
      </c>
      <c r="BB146" s="176">
        <v>0.0</v>
      </c>
      <c r="BC146" s="176">
        <v>1.0</v>
      </c>
      <c r="BD146" s="195" t="s">
        <v>1416</v>
      </c>
      <c r="BE146" s="62"/>
      <c r="BF146" s="62"/>
      <c r="BG146" s="62"/>
      <c r="BH146" s="192"/>
      <c r="BI146" s="54"/>
      <c r="BJ146" s="54"/>
      <c r="BK146" s="54"/>
      <c r="BL146" s="54"/>
      <c r="BM146" s="54"/>
      <c r="BN146" s="192"/>
      <c r="BO146" s="57"/>
      <c r="BP146" s="58" t="s">
        <v>1152</v>
      </c>
      <c r="BQ146" s="57"/>
      <c r="BR146" s="57"/>
    </row>
    <row r="147">
      <c r="A147" s="176">
        <v>143.0</v>
      </c>
      <c r="B147" s="208" t="s">
        <v>1417</v>
      </c>
      <c r="C147" s="178" t="s">
        <v>1409</v>
      </c>
      <c r="D147" s="245">
        <v>3.0</v>
      </c>
      <c r="E147" s="245">
        <v>0.8</v>
      </c>
      <c r="F147" s="106">
        <v>0.2</v>
      </c>
      <c r="G147" s="106">
        <v>0.3</v>
      </c>
      <c r="H147" s="106">
        <v>0.0</v>
      </c>
      <c r="I147" s="106">
        <v>0.0</v>
      </c>
      <c r="J147" s="106">
        <v>3.0</v>
      </c>
      <c r="K147" s="106">
        <v>0.2</v>
      </c>
      <c r="L147" s="106">
        <v>0.3</v>
      </c>
      <c r="M147" s="106">
        <v>0.3</v>
      </c>
      <c r="N147" s="106">
        <v>0.2</v>
      </c>
      <c r="O147" s="106">
        <v>0.0</v>
      </c>
      <c r="P147" s="180">
        <v>1.0</v>
      </c>
      <c r="Q147" s="180">
        <v>1.0</v>
      </c>
      <c r="R147" s="62"/>
      <c r="S147" s="187">
        <v>0.08</v>
      </c>
      <c r="T147" s="188">
        <v>0.0</v>
      </c>
      <c r="U147" s="188">
        <v>0.03</v>
      </c>
      <c r="V147" s="188">
        <v>0.02</v>
      </c>
      <c r="W147" s="188">
        <v>0.02</v>
      </c>
      <c r="X147" s="62"/>
      <c r="Y147" s="176">
        <v>0.0</v>
      </c>
      <c r="Z147" s="176">
        <v>0.0</v>
      </c>
      <c r="AA147" s="176">
        <v>0.0</v>
      </c>
      <c r="AB147" s="176">
        <v>0.0</v>
      </c>
      <c r="AC147" s="176">
        <v>0.0</v>
      </c>
      <c r="AD147" s="176">
        <v>0.0</v>
      </c>
      <c r="AE147" s="176">
        <v>0.0</v>
      </c>
      <c r="AF147" s="62"/>
      <c r="AG147" s="47"/>
      <c r="AH147" s="54"/>
      <c r="AI147" s="54"/>
      <c r="AJ147" s="54"/>
      <c r="AK147" s="54"/>
      <c r="AL147" s="54"/>
      <c r="AM147" s="47"/>
      <c r="AN147" s="62"/>
      <c r="AO147" s="184">
        <f t="shared" ref="AO147:AS147" si="285">ROUND(E147*(5/12)+K147*(5/12)+S147+Y147-AG147,2)</f>
        <v>0.5</v>
      </c>
      <c r="AP147" s="184">
        <f t="shared" si="285"/>
        <v>0.21</v>
      </c>
      <c r="AQ147" s="184">
        <f t="shared" si="285"/>
        <v>0.28</v>
      </c>
      <c r="AR147" s="184">
        <f t="shared" si="285"/>
        <v>0.1</v>
      </c>
      <c r="AS147" s="184">
        <f t="shared" si="285"/>
        <v>0.02</v>
      </c>
      <c r="AT147" s="184">
        <f t="shared" ref="AT147:AU147" si="286">P147+AD147-AL147</f>
        <v>1</v>
      </c>
      <c r="AU147" s="184">
        <f t="shared" si="286"/>
        <v>1</v>
      </c>
      <c r="AV147" s="62"/>
      <c r="AW147" s="176">
        <v>0.5</v>
      </c>
      <c r="AX147" s="176">
        <v>0.0</v>
      </c>
      <c r="AY147" s="176">
        <v>0.25</v>
      </c>
      <c r="AZ147" s="176">
        <v>0.0</v>
      </c>
      <c r="BA147" s="176">
        <v>0.0</v>
      </c>
      <c r="BB147" s="176">
        <v>1.0</v>
      </c>
      <c r="BC147" s="176">
        <v>1.0</v>
      </c>
      <c r="BD147" s="74" t="s">
        <v>1418</v>
      </c>
      <c r="BE147" s="62"/>
      <c r="BF147" s="62"/>
      <c r="BG147" s="62"/>
      <c r="BH147" s="54"/>
      <c r="BI147" s="54"/>
      <c r="BJ147" s="54"/>
      <c r="BK147" s="54"/>
      <c r="BL147" s="54"/>
      <c r="BM147" s="54"/>
      <c r="BN147" s="54"/>
      <c r="BO147" s="57"/>
      <c r="BP147" s="58" t="s">
        <v>1152</v>
      </c>
      <c r="BQ147" s="58" t="s">
        <v>1419</v>
      </c>
      <c r="BR147" s="57"/>
    </row>
    <row r="148">
      <c r="A148" s="176">
        <v>144.0</v>
      </c>
      <c r="B148" s="208" t="s">
        <v>1420</v>
      </c>
      <c r="C148" s="178" t="s">
        <v>1409</v>
      </c>
      <c r="D148" s="245">
        <v>4.0</v>
      </c>
      <c r="E148" s="245">
        <v>0.6</v>
      </c>
      <c r="F148" s="106">
        <v>0.2</v>
      </c>
      <c r="G148" s="106">
        <v>0.3</v>
      </c>
      <c r="H148" s="106">
        <v>0.2</v>
      </c>
      <c r="I148" s="106">
        <v>0.0</v>
      </c>
      <c r="J148" s="106">
        <v>3.0</v>
      </c>
      <c r="K148" s="106">
        <v>0.5</v>
      </c>
      <c r="L148" s="106">
        <v>0.2</v>
      </c>
      <c r="M148" s="106">
        <v>0.3</v>
      </c>
      <c r="N148" s="106">
        <v>0.0</v>
      </c>
      <c r="O148" s="106">
        <v>0.0</v>
      </c>
      <c r="P148" s="180">
        <v>1.0</v>
      </c>
      <c r="Q148" s="180">
        <v>1.0</v>
      </c>
      <c r="R148" s="62"/>
      <c r="S148" s="187">
        <v>0.0</v>
      </c>
      <c r="T148" s="187">
        <v>0.0</v>
      </c>
      <c r="U148" s="187">
        <v>0.0</v>
      </c>
      <c r="V148" s="187">
        <v>0.0</v>
      </c>
      <c r="W148" s="187">
        <v>0.0</v>
      </c>
      <c r="X148" s="62"/>
      <c r="Y148" s="176">
        <v>0.0</v>
      </c>
      <c r="Z148" s="176">
        <v>0.0</v>
      </c>
      <c r="AA148" s="176">
        <v>0.0</v>
      </c>
      <c r="AB148" s="176">
        <v>0.0</v>
      </c>
      <c r="AC148" s="176">
        <v>0.0</v>
      </c>
      <c r="AD148" s="176">
        <v>0.0</v>
      </c>
      <c r="AE148" s="176">
        <v>0.0</v>
      </c>
      <c r="AF148" s="62"/>
      <c r="AG148" s="54"/>
      <c r="AH148" s="54"/>
      <c r="AI148" s="54"/>
      <c r="AJ148" s="54"/>
      <c r="AK148" s="54"/>
      <c r="AL148" s="54"/>
      <c r="AM148" s="54"/>
      <c r="AN148" s="62"/>
      <c r="AO148" s="184">
        <f t="shared" ref="AO148:AS148" si="287">ROUND(E148*(5/12)+K148*(5/12)+S148+Y148-AG148,2)</f>
        <v>0.46</v>
      </c>
      <c r="AP148" s="184">
        <f t="shared" si="287"/>
        <v>0.17</v>
      </c>
      <c r="AQ148" s="184">
        <f t="shared" si="287"/>
        <v>0.25</v>
      </c>
      <c r="AR148" s="184">
        <f t="shared" si="287"/>
        <v>0.08</v>
      </c>
      <c r="AS148" s="184">
        <f t="shared" si="287"/>
        <v>0</v>
      </c>
      <c r="AT148" s="184">
        <f t="shared" ref="AT148:AU148" si="288">P148+AD148-AL148</f>
        <v>1</v>
      </c>
      <c r="AU148" s="184">
        <f t="shared" si="288"/>
        <v>1</v>
      </c>
      <c r="AV148" s="62"/>
      <c r="AW148" s="176">
        <v>0.0</v>
      </c>
      <c r="AX148" s="176">
        <v>0.0</v>
      </c>
      <c r="AY148" s="176">
        <v>0.0</v>
      </c>
      <c r="AZ148" s="176">
        <v>0.0</v>
      </c>
      <c r="BA148" s="176" t="s">
        <v>913</v>
      </c>
      <c r="BB148" s="176">
        <v>1.0</v>
      </c>
      <c r="BC148" s="176">
        <v>0.0</v>
      </c>
      <c r="BD148" s="74" t="s">
        <v>1421</v>
      </c>
      <c r="BE148" s="62"/>
      <c r="BF148" s="62"/>
      <c r="BG148" s="62"/>
      <c r="BH148" s="192"/>
      <c r="BI148" s="72"/>
      <c r="BJ148" s="54"/>
      <c r="BK148" s="54"/>
      <c r="BL148" s="54"/>
      <c r="BM148" s="54"/>
      <c r="BN148" s="72"/>
      <c r="BO148" s="72"/>
      <c r="BP148" s="58"/>
      <c r="BQ148" s="58"/>
      <c r="BR148" s="57"/>
    </row>
    <row r="149">
      <c r="A149" s="176">
        <v>145.0</v>
      </c>
      <c r="B149" s="233" t="s">
        <v>1422</v>
      </c>
      <c r="C149" s="178" t="s">
        <v>1409</v>
      </c>
      <c r="D149" s="245">
        <v>4.0</v>
      </c>
      <c r="E149" s="245">
        <v>0.4</v>
      </c>
      <c r="F149" s="106">
        <v>0.0</v>
      </c>
      <c r="G149" s="106">
        <v>0.3</v>
      </c>
      <c r="H149" s="106">
        <v>0.0</v>
      </c>
      <c r="I149" s="106">
        <v>0.0</v>
      </c>
      <c r="J149" s="264"/>
      <c r="K149" s="258"/>
      <c r="L149" s="258"/>
      <c r="M149" s="258"/>
      <c r="N149" s="258"/>
      <c r="O149" s="258"/>
      <c r="P149" s="180">
        <v>1.0</v>
      </c>
      <c r="Q149" s="180">
        <v>1.0</v>
      </c>
      <c r="R149" s="62"/>
      <c r="S149" s="182">
        <v>0.06</v>
      </c>
      <c r="T149" s="183">
        <v>0.0</v>
      </c>
      <c r="U149" s="183">
        <v>0.0</v>
      </c>
      <c r="V149" s="183">
        <v>0.0</v>
      </c>
      <c r="W149" s="183">
        <v>0.0</v>
      </c>
      <c r="X149" s="62"/>
      <c r="Y149" s="176">
        <v>0.0</v>
      </c>
      <c r="Z149" s="176">
        <v>0.0</v>
      </c>
      <c r="AA149" s="176">
        <v>0.0</v>
      </c>
      <c r="AB149" s="176">
        <v>0.0</v>
      </c>
      <c r="AC149" s="176">
        <v>0.0</v>
      </c>
      <c r="AD149" s="176">
        <v>0.0</v>
      </c>
      <c r="AE149" s="176">
        <v>0.0</v>
      </c>
      <c r="AF149" s="62"/>
      <c r="AG149" s="47"/>
      <c r="AH149" s="47"/>
      <c r="AI149" s="47"/>
      <c r="AJ149" s="54"/>
      <c r="AK149" s="54"/>
      <c r="AL149" s="54"/>
      <c r="AM149" s="54"/>
      <c r="AN149" s="62"/>
      <c r="AO149" s="184">
        <f t="shared" ref="AO149:AS149" si="289">ROUND(E149*(5/12)+K149*(5/12)+S149+Y149-AG149,2)</f>
        <v>0.23</v>
      </c>
      <c r="AP149" s="184">
        <f t="shared" si="289"/>
        <v>0</v>
      </c>
      <c r="AQ149" s="184">
        <f t="shared" si="289"/>
        <v>0.13</v>
      </c>
      <c r="AR149" s="184">
        <f t="shared" si="289"/>
        <v>0</v>
      </c>
      <c r="AS149" s="184">
        <f t="shared" si="289"/>
        <v>0</v>
      </c>
      <c r="AT149" s="184">
        <f t="shared" ref="AT149:AU149" si="290">P149+AD149-AL149</f>
        <v>1</v>
      </c>
      <c r="AU149" s="184">
        <f t="shared" si="290"/>
        <v>1</v>
      </c>
      <c r="AV149" s="62"/>
      <c r="AW149" s="202"/>
      <c r="AX149" s="202"/>
      <c r="AY149" s="202"/>
      <c r="AZ149" s="202"/>
      <c r="BA149" s="202"/>
      <c r="BB149" s="202"/>
      <c r="BC149" s="202"/>
      <c r="BD149" s="203"/>
      <c r="BE149" s="62"/>
      <c r="BF149" s="62"/>
      <c r="BG149" s="62"/>
      <c r="BH149" s="54"/>
      <c r="BI149" s="54"/>
      <c r="BJ149" s="54"/>
      <c r="BK149" s="54"/>
      <c r="BL149" s="54"/>
      <c r="BM149" s="54"/>
      <c r="BN149" s="54"/>
      <c r="BO149" s="57"/>
      <c r="BP149" s="57"/>
      <c r="BQ149" s="57"/>
      <c r="BR149" s="57"/>
    </row>
    <row r="150">
      <c r="A150" s="176">
        <v>146.0</v>
      </c>
      <c r="B150" s="208" t="s">
        <v>1423</v>
      </c>
      <c r="C150" s="178" t="s">
        <v>1409</v>
      </c>
      <c r="D150" s="245">
        <v>4.0</v>
      </c>
      <c r="E150" s="245">
        <v>0.7</v>
      </c>
      <c r="F150" s="106">
        <v>0.2</v>
      </c>
      <c r="G150" s="106">
        <v>0.3</v>
      </c>
      <c r="H150" s="106">
        <v>0.0</v>
      </c>
      <c r="I150" s="106">
        <v>0.0</v>
      </c>
      <c r="J150" s="47">
        <v>3.0</v>
      </c>
      <c r="K150" s="106">
        <v>0.3</v>
      </c>
      <c r="L150" s="106">
        <v>0.2</v>
      </c>
      <c r="M150" s="106">
        <v>0.3</v>
      </c>
      <c r="N150" s="106">
        <v>0.2</v>
      </c>
      <c r="O150" s="106">
        <v>0.0</v>
      </c>
      <c r="P150" s="180">
        <v>1.0</v>
      </c>
      <c r="Q150" s="180">
        <v>1.0</v>
      </c>
      <c r="R150" s="62"/>
      <c r="S150" s="182">
        <v>0.05</v>
      </c>
      <c r="T150" s="183">
        <v>0.0</v>
      </c>
      <c r="U150" s="183">
        <v>0.0</v>
      </c>
      <c r="V150" s="183">
        <v>0.01</v>
      </c>
      <c r="W150" s="183">
        <v>0.0</v>
      </c>
      <c r="X150" s="62"/>
      <c r="Y150" s="176">
        <v>0.0</v>
      </c>
      <c r="Z150" s="176">
        <v>0.0</v>
      </c>
      <c r="AA150" s="176">
        <v>0.0</v>
      </c>
      <c r="AB150" s="176">
        <v>0.0</v>
      </c>
      <c r="AC150" s="176">
        <v>0.0</v>
      </c>
      <c r="AD150" s="176">
        <v>0.0</v>
      </c>
      <c r="AE150" s="176">
        <v>0.0</v>
      </c>
      <c r="AF150" s="62"/>
      <c r="AG150" s="47"/>
      <c r="AH150" s="47"/>
      <c r="AI150" s="47"/>
      <c r="AJ150" s="54"/>
      <c r="AK150" s="54"/>
      <c r="AL150" s="54"/>
      <c r="AM150" s="54"/>
      <c r="AN150" s="62"/>
      <c r="AO150" s="184">
        <f t="shared" ref="AO150:AS150" si="291">ROUND(E150*(5/12)+K150*(5/12)+S150+Y150-AG150,2)</f>
        <v>0.47</v>
      </c>
      <c r="AP150" s="184">
        <f t="shared" si="291"/>
        <v>0.17</v>
      </c>
      <c r="AQ150" s="184">
        <f t="shared" si="291"/>
        <v>0.25</v>
      </c>
      <c r="AR150" s="184">
        <f t="shared" si="291"/>
        <v>0.09</v>
      </c>
      <c r="AS150" s="184">
        <f t="shared" si="291"/>
        <v>0</v>
      </c>
      <c r="AT150" s="184">
        <f t="shared" ref="AT150:AU150" si="292">P150+AD150-AL150</f>
        <v>1</v>
      </c>
      <c r="AU150" s="184">
        <f t="shared" si="292"/>
        <v>1</v>
      </c>
      <c r="AV150" s="62"/>
      <c r="AW150" s="176">
        <v>0.0</v>
      </c>
      <c r="AX150" s="176">
        <v>0.2</v>
      </c>
      <c r="AY150" s="176">
        <v>0.0</v>
      </c>
      <c r="AZ150" s="176">
        <v>0.0</v>
      </c>
      <c r="BA150" s="176" t="s">
        <v>913</v>
      </c>
      <c r="BB150" s="176">
        <v>1.0</v>
      </c>
      <c r="BC150" s="176">
        <v>0.0</v>
      </c>
      <c r="BD150" s="195" t="s">
        <v>1424</v>
      </c>
      <c r="BE150" s="62"/>
      <c r="BF150" s="62"/>
      <c r="BG150" s="62"/>
      <c r="BH150" s="72"/>
      <c r="BI150" s="72"/>
      <c r="BJ150" s="77"/>
      <c r="BK150" s="77"/>
      <c r="BL150" s="77"/>
      <c r="BM150" s="72"/>
      <c r="BN150" s="72"/>
      <c r="BO150" s="58"/>
      <c r="BP150" s="58" t="s">
        <v>1152</v>
      </c>
      <c r="BQ150" s="57"/>
      <c r="BR150" s="57"/>
    </row>
    <row r="151">
      <c r="A151" s="176">
        <v>147.0</v>
      </c>
      <c r="B151" s="231" t="s">
        <v>1425</v>
      </c>
      <c r="C151" s="178" t="s">
        <v>1409</v>
      </c>
      <c r="D151" s="245">
        <v>4.0</v>
      </c>
      <c r="E151" s="245">
        <v>0.7</v>
      </c>
      <c r="F151" s="106">
        <v>0.2</v>
      </c>
      <c r="G151" s="106">
        <v>0.2</v>
      </c>
      <c r="H151" s="106">
        <v>0.2</v>
      </c>
      <c r="I151" s="106">
        <v>0.0</v>
      </c>
      <c r="J151" s="47">
        <v>3.0</v>
      </c>
      <c r="K151" s="106">
        <v>0.6</v>
      </c>
      <c r="L151" s="106">
        <v>0.2</v>
      </c>
      <c r="M151" s="106">
        <v>0.2</v>
      </c>
      <c r="N151" s="106">
        <v>0.0</v>
      </c>
      <c r="O151" s="106">
        <v>0.0</v>
      </c>
      <c r="P151" s="180">
        <v>1.0</v>
      </c>
      <c r="Q151" s="180">
        <v>1.0</v>
      </c>
      <c r="R151" s="62"/>
      <c r="S151" s="182">
        <v>0.07</v>
      </c>
      <c r="T151" s="183">
        <v>0.06</v>
      </c>
      <c r="U151" s="183">
        <v>0.03</v>
      </c>
      <c r="V151" s="183">
        <v>0.0</v>
      </c>
      <c r="W151" s="183">
        <v>0.0</v>
      </c>
      <c r="X151" s="62"/>
      <c r="Y151" s="176">
        <v>0.0</v>
      </c>
      <c r="Z151" s="176">
        <v>0.0</v>
      </c>
      <c r="AA151" s="176">
        <v>0.0</v>
      </c>
      <c r="AB151" s="176">
        <v>0.0</v>
      </c>
      <c r="AC151" s="176">
        <v>0.0</v>
      </c>
      <c r="AD151" s="176">
        <v>0.0</v>
      </c>
      <c r="AE151" s="176">
        <v>0.0</v>
      </c>
      <c r="AF151" s="62"/>
      <c r="AG151" s="47"/>
      <c r="AH151" s="47"/>
      <c r="AI151" s="47"/>
      <c r="AJ151" s="54"/>
      <c r="AK151" s="54"/>
      <c r="AL151" s="54"/>
      <c r="AM151" s="54"/>
      <c r="AN151" s="62"/>
      <c r="AO151" s="184">
        <f t="shared" ref="AO151:AS151" si="293">ROUND(E151*(5/12)+K151*(5/12)+S151+Y151-AG151,2)</f>
        <v>0.61</v>
      </c>
      <c r="AP151" s="184">
        <f t="shared" si="293"/>
        <v>0.23</v>
      </c>
      <c r="AQ151" s="184">
        <f t="shared" si="293"/>
        <v>0.2</v>
      </c>
      <c r="AR151" s="184">
        <f t="shared" si="293"/>
        <v>0.08</v>
      </c>
      <c r="AS151" s="184">
        <f t="shared" si="293"/>
        <v>0</v>
      </c>
      <c r="AT151" s="184">
        <f t="shared" ref="AT151:AU151" si="294">P151+AD151-AL151</f>
        <v>1</v>
      </c>
      <c r="AU151" s="184">
        <f t="shared" si="294"/>
        <v>1</v>
      </c>
      <c r="AV151" s="62"/>
      <c r="AW151" s="202"/>
      <c r="AX151" s="202"/>
      <c r="AY151" s="202"/>
      <c r="AZ151" s="202"/>
      <c r="BA151" s="202"/>
      <c r="BB151" s="202"/>
      <c r="BC151" s="202"/>
      <c r="BD151" s="228"/>
      <c r="BE151" s="62"/>
      <c r="BF151" s="62"/>
      <c r="BG151" s="62"/>
      <c r="BH151" s="54"/>
      <c r="BI151" s="54"/>
      <c r="BJ151" s="54"/>
      <c r="BK151" s="54"/>
      <c r="BL151" s="54"/>
      <c r="BM151" s="54"/>
      <c r="BN151" s="54"/>
      <c r="BO151" s="57"/>
      <c r="BP151" s="58" t="s">
        <v>1152</v>
      </c>
      <c r="BQ151" s="57"/>
      <c r="BR151" s="57"/>
    </row>
    <row r="152">
      <c r="A152" s="176">
        <v>148.0</v>
      </c>
      <c r="B152" s="208" t="s">
        <v>1426</v>
      </c>
      <c r="C152" s="178" t="s">
        <v>1409</v>
      </c>
      <c r="D152" s="245">
        <v>4.0</v>
      </c>
      <c r="E152" s="245">
        <v>0.6</v>
      </c>
      <c r="F152" s="106">
        <v>0.0</v>
      </c>
      <c r="G152" s="106">
        <v>0.0</v>
      </c>
      <c r="H152" s="106">
        <v>0.0</v>
      </c>
      <c r="I152" s="106">
        <v>0.0</v>
      </c>
      <c r="J152" s="47">
        <v>3.0</v>
      </c>
      <c r="K152" s="106">
        <v>1.0</v>
      </c>
      <c r="L152" s="106">
        <v>0.0</v>
      </c>
      <c r="M152" s="106">
        <v>0.0</v>
      </c>
      <c r="N152" s="106">
        <v>0.0</v>
      </c>
      <c r="O152" s="106">
        <v>0.0</v>
      </c>
      <c r="P152" s="180">
        <v>1.0</v>
      </c>
      <c r="Q152" s="180">
        <v>1.0</v>
      </c>
      <c r="R152" s="62"/>
      <c r="S152" s="182">
        <v>0.08</v>
      </c>
      <c r="T152" s="183">
        <v>0.02</v>
      </c>
      <c r="U152" s="183">
        <v>0.03</v>
      </c>
      <c r="V152" s="183">
        <v>0.03</v>
      </c>
      <c r="W152" s="183">
        <v>0.0</v>
      </c>
      <c r="X152" s="62"/>
      <c r="Y152" s="176">
        <v>0.0</v>
      </c>
      <c r="Z152" s="176">
        <v>0.0</v>
      </c>
      <c r="AA152" s="176">
        <v>0.0</v>
      </c>
      <c r="AB152" s="176">
        <v>0.0</v>
      </c>
      <c r="AC152" s="176">
        <v>0.0</v>
      </c>
      <c r="AD152" s="176">
        <v>0.0</v>
      </c>
      <c r="AE152" s="176">
        <v>0.0</v>
      </c>
      <c r="AF152" s="62"/>
      <c r="AG152" s="47"/>
      <c r="AH152" s="47"/>
      <c r="AI152" s="47"/>
      <c r="AJ152" s="54"/>
      <c r="AK152" s="54"/>
      <c r="AL152" s="54"/>
      <c r="AM152" s="54"/>
      <c r="AN152" s="62"/>
      <c r="AO152" s="184">
        <f t="shared" ref="AO152:AS152" si="295">ROUND(E152*(5/12)+K152*(5/12)+S152+Y152-AG152,2)</f>
        <v>0.75</v>
      </c>
      <c r="AP152" s="184">
        <f t="shared" si="295"/>
        <v>0.02</v>
      </c>
      <c r="AQ152" s="184">
        <f t="shared" si="295"/>
        <v>0.03</v>
      </c>
      <c r="AR152" s="184">
        <f t="shared" si="295"/>
        <v>0.03</v>
      </c>
      <c r="AS152" s="184">
        <f t="shared" si="295"/>
        <v>0</v>
      </c>
      <c r="AT152" s="184">
        <f t="shared" ref="AT152:AU152" si="296">P152+AD152-AL152</f>
        <v>1</v>
      </c>
      <c r="AU152" s="184">
        <f t="shared" si="296"/>
        <v>1</v>
      </c>
      <c r="AV152" s="62"/>
      <c r="AW152" s="176">
        <v>0.0</v>
      </c>
      <c r="AX152" s="176">
        <v>0.0</v>
      </c>
      <c r="AY152" s="176">
        <v>0.0</v>
      </c>
      <c r="AZ152" s="176">
        <v>0.0</v>
      </c>
      <c r="BA152" s="176" t="s">
        <v>913</v>
      </c>
      <c r="BB152" s="176" t="s">
        <v>913</v>
      </c>
      <c r="BC152" s="176" t="s">
        <v>913</v>
      </c>
      <c r="BD152" s="195" t="s">
        <v>1427</v>
      </c>
      <c r="BE152" s="62"/>
      <c r="BF152" s="62"/>
      <c r="BG152" s="62"/>
      <c r="BH152" s="72"/>
      <c r="BI152" s="72"/>
      <c r="BJ152" s="54"/>
      <c r="BK152" s="54"/>
      <c r="BL152" s="54"/>
      <c r="BM152" s="54"/>
      <c r="BN152" s="54"/>
      <c r="BO152" s="57"/>
      <c r="BP152" s="57"/>
      <c r="BQ152" s="57"/>
      <c r="BR152" s="57"/>
    </row>
    <row r="153">
      <c r="A153" s="176">
        <v>149.0</v>
      </c>
      <c r="B153" s="208" t="s">
        <v>1428</v>
      </c>
      <c r="C153" s="178" t="s">
        <v>1409</v>
      </c>
      <c r="D153" s="245">
        <v>4.0</v>
      </c>
      <c r="E153" s="245">
        <v>0.0</v>
      </c>
      <c r="F153" s="106">
        <v>0.0</v>
      </c>
      <c r="G153" s="106">
        <v>0.0</v>
      </c>
      <c r="H153" s="106">
        <v>0.0</v>
      </c>
      <c r="I153" s="106">
        <v>0.0</v>
      </c>
      <c r="J153" s="47">
        <v>3.0</v>
      </c>
      <c r="K153" s="106">
        <v>1.0</v>
      </c>
      <c r="L153" s="106">
        <v>0.0</v>
      </c>
      <c r="M153" s="106">
        <v>0.0</v>
      </c>
      <c r="N153" s="106">
        <v>0.0</v>
      </c>
      <c r="O153" s="106">
        <v>0.0</v>
      </c>
      <c r="P153" s="180">
        <v>1.0</v>
      </c>
      <c r="Q153" s="180">
        <v>1.0</v>
      </c>
      <c r="R153" s="62"/>
      <c r="S153" s="176">
        <v>0.0</v>
      </c>
      <c r="T153" s="176">
        <v>0.0</v>
      </c>
      <c r="U153" s="176">
        <v>0.0</v>
      </c>
      <c r="V153" s="176">
        <v>0.0</v>
      </c>
      <c r="W153" s="176">
        <v>0.0</v>
      </c>
      <c r="X153" s="62"/>
      <c r="Y153" s="176">
        <v>0.0</v>
      </c>
      <c r="Z153" s="176">
        <v>0.0</v>
      </c>
      <c r="AA153" s="176">
        <v>0.0</v>
      </c>
      <c r="AB153" s="176">
        <v>0.0</v>
      </c>
      <c r="AC153" s="176">
        <v>0.0</v>
      </c>
      <c r="AD153" s="176">
        <v>0.0</v>
      </c>
      <c r="AE153" s="176">
        <v>0.0</v>
      </c>
      <c r="AF153" s="62"/>
      <c r="AG153" s="47"/>
      <c r="AH153" s="47"/>
      <c r="AI153" s="47"/>
      <c r="AJ153" s="54"/>
      <c r="AK153" s="54"/>
      <c r="AL153" s="54"/>
      <c r="AM153" s="54"/>
      <c r="AN153" s="62"/>
      <c r="AO153" s="184">
        <f t="shared" ref="AO153:AS153" si="297">ROUND(E153*(5/12)+K153*(5/12)+S153+Y153-AG153,2)</f>
        <v>0.42</v>
      </c>
      <c r="AP153" s="184">
        <f t="shared" si="297"/>
        <v>0</v>
      </c>
      <c r="AQ153" s="184">
        <f t="shared" si="297"/>
        <v>0</v>
      </c>
      <c r="AR153" s="184">
        <f t="shared" si="297"/>
        <v>0</v>
      </c>
      <c r="AS153" s="184">
        <f t="shared" si="297"/>
        <v>0</v>
      </c>
      <c r="AT153" s="184">
        <f t="shared" ref="AT153:AU153" si="298">P153+AD153-AL153</f>
        <v>1</v>
      </c>
      <c r="AU153" s="184">
        <f t="shared" si="298"/>
        <v>1</v>
      </c>
      <c r="AV153" s="62"/>
      <c r="AW153" s="202"/>
      <c r="AX153" s="202"/>
      <c r="AY153" s="202"/>
      <c r="AZ153" s="202"/>
      <c r="BA153" s="202"/>
      <c r="BB153" s="202"/>
      <c r="BC153" s="202"/>
      <c r="BD153" s="228"/>
      <c r="BE153" s="62"/>
      <c r="BF153" s="62"/>
      <c r="BG153" s="62"/>
      <c r="BH153" s="54"/>
      <c r="BI153" s="54"/>
      <c r="BJ153" s="54"/>
      <c r="BK153" s="54"/>
      <c r="BL153" s="54"/>
      <c r="BM153" s="54"/>
      <c r="BN153" s="54"/>
      <c r="BO153" s="57"/>
      <c r="BP153" s="58"/>
      <c r="BQ153" s="57"/>
      <c r="BR153" s="57"/>
    </row>
    <row r="154">
      <c r="A154" s="176">
        <v>150.0</v>
      </c>
      <c r="B154" s="208" t="s">
        <v>1429</v>
      </c>
      <c r="C154" s="178" t="s">
        <v>1409</v>
      </c>
      <c r="D154" s="245">
        <v>4.0</v>
      </c>
      <c r="E154" s="245">
        <v>0.6</v>
      </c>
      <c r="F154" s="106">
        <v>0.0</v>
      </c>
      <c r="G154" s="106">
        <v>0.0</v>
      </c>
      <c r="H154" s="106">
        <v>0.0</v>
      </c>
      <c r="I154" s="106">
        <v>0.0</v>
      </c>
      <c r="J154" s="47">
        <v>3.0</v>
      </c>
      <c r="K154" s="106">
        <v>1.0</v>
      </c>
      <c r="L154" s="106">
        <v>0.0</v>
      </c>
      <c r="M154" s="106">
        <v>0.0</v>
      </c>
      <c r="N154" s="106">
        <v>0.0</v>
      </c>
      <c r="O154" s="106">
        <v>0.0</v>
      </c>
      <c r="P154" s="180">
        <v>1.0</v>
      </c>
      <c r="Q154" s="180">
        <v>1.0</v>
      </c>
      <c r="R154" s="62"/>
      <c r="S154" s="176">
        <v>0.0</v>
      </c>
      <c r="T154" s="176">
        <v>0.0</v>
      </c>
      <c r="U154" s="176">
        <v>0.0</v>
      </c>
      <c r="V154" s="176">
        <v>0.0</v>
      </c>
      <c r="W154" s="176">
        <v>0.0</v>
      </c>
      <c r="X154" s="62"/>
      <c r="Y154" s="176">
        <v>0.0</v>
      </c>
      <c r="Z154" s="176">
        <v>0.0</v>
      </c>
      <c r="AA154" s="176">
        <v>0.0</v>
      </c>
      <c r="AB154" s="176">
        <v>0.0</v>
      </c>
      <c r="AC154" s="176">
        <v>0.0</v>
      </c>
      <c r="AD154" s="176">
        <v>0.0</v>
      </c>
      <c r="AE154" s="176">
        <v>0.0</v>
      </c>
      <c r="AF154" s="62"/>
      <c r="AG154" s="47"/>
      <c r="AH154" s="47"/>
      <c r="AI154" s="47"/>
      <c r="AJ154" s="54"/>
      <c r="AK154" s="54"/>
      <c r="AL154" s="54"/>
      <c r="AM154" s="54"/>
      <c r="AN154" s="62"/>
      <c r="AO154" s="184">
        <f t="shared" ref="AO154:AS154" si="299">ROUND(E154*(5/12)+K154*(5/12)+S154+Y154-AG154,2)</f>
        <v>0.67</v>
      </c>
      <c r="AP154" s="184">
        <f t="shared" si="299"/>
        <v>0</v>
      </c>
      <c r="AQ154" s="184">
        <f t="shared" si="299"/>
        <v>0</v>
      </c>
      <c r="AR154" s="184">
        <f t="shared" si="299"/>
        <v>0</v>
      </c>
      <c r="AS154" s="184">
        <f t="shared" si="299"/>
        <v>0</v>
      </c>
      <c r="AT154" s="184">
        <f t="shared" ref="AT154:AU154" si="300">P154+AD154-AL154</f>
        <v>1</v>
      </c>
      <c r="AU154" s="184">
        <f t="shared" si="300"/>
        <v>1</v>
      </c>
      <c r="AV154" s="62"/>
      <c r="AW154" s="176">
        <v>0.0</v>
      </c>
      <c r="AX154" s="176" t="s">
        <v>913</v>
      </c>
      <c r="AY154" s="176" t="s">
        <v>913</v>
      </c>
      <c r="AZ154" s="176" t="s">
        <v>913</v>
      </c>
      <c r="BA154" s="176" t="s">
        <v>913</v>
      </c>
      <c r="BB154" s="176">
        <v>1.0</v>
      </c>
      <c r="BC154" s="176">
        <v>0.0</v>
      </c>
      <c r="BD154" s="195" t="s">
        <v>1430</v>
      </c>
      <c r="BE154" s="62"/>
      <c r="BF154" s="62"/>
      <c r="BG154" s="62"/>
      <c r="BH154" s="54"/>
      <c r="BI154" s="54"/>
      <c r="BJ154" s="54"/>
      <c r="BK154" s="54"/>
      <c r="BL154" s="54"/>
      <c r="BM154" s="54"/>
      <c r="BN154" s="54"/>
      <c r="BO154" s="57"/>
      <c r="BP154" s="57"/>
      <c r="BQ154" s="57"/>
      <c r="BR154" s="57"/>
    </row>
    <row r="155">
      <c r="A155" s="176">
        <v>151.0</v>
      </c>
      <c r="B155" s="208" t="s">
        <v>1431</v>
      </c>
      <c r="C155" s="178" t="s">
        <v>1409</v>
      </c>
      <c r="D155" s="245">
        <v>4.0</v>
      </c>
      <c r="E155" s="245">
        <v>0.3</v>
      </c>
      <c r="F155" s="106">
        <v>0.0</v>
      </c>
      <c r="G155" s="106">
        <v>0.0</v>
      </c>
      <c r="H155" s="106">
        <v>0.0</v>
      </c>
      <c r="I155" s="106">
        <v>0.0</v>
      </c>
      <c r="J155" s="47">
        <v>4.0</v>
      </c>
      <c r="K155" s="106">
        <v>0.0</v>
      </c>
      <c r="L155" s="106">
        <v>0.0</v>
      </c>
      <c r="M155" s="106">
        <v>0.0</v>
      </c>
      <c r="N155" s="106">
        <v>0.0</v>
      </c>
      <c r="O155" s="106">
        <v>0.0</v>
      </c>
      <c r="P155" s="180">
        <v>1.0</v>
      </c>
      <c r="Q155" s="180">
        <v>1.0</v>
      </c>
      <c r="R155" s="62"/>
      <c r="S155" s="176">
        <v>0.0</v>
      </c>
      <c r="T155" s="176">
        <v>0.0</v>
      </c>
      <c r="U155" s="176">
        <v>0.0</v>
      </c>
      <c r="V155" s="176">
        <v>0.0</v>
      </c>
      <c r="W155" s="176">
        <v>0.0</v>
      </c>
      <c r="X155" s="62"/>
      <c r="Y155" s="176">
        <v>0.0</v>
      </c>
      <c r="Z155" s="176">
        <v>0.0</v>
      </c>
      <c r="AA155" s="176">
        <v>0.0</v>
      </c>
      <c r="AB155" s="176">
        <v>0.0</v>
      </c>
      <c r="AC155" s="176">
        <v>0.0</v>
      </c>
      <c r="AD155" s="176">
        <v>0.0</v>
      </c>
      <c r="AE155" s="176">
        <v>0.0</v>
      </c>
      <c r="AF155" s="62"/>
      <c r="AG155" s="47"/>
      <c r="AH155" s="47"/>
      <c r="AI155" s="47"/>
      <c r="AJ155" s="54"/>
      <c r="AK155" s="54"/>
      <c r="AL155" s="54"/>
      <c r="AM155" s="54"/>
      <c r="AN155" s="62"/>
      <c r="AO155" s="184">
        <f t="shared" ref="AO155:AS155" si="301">ROUND(E155*(5/12)+K155*(5/12)+S155+Y155-AG155,2)</f>
        <v>0.13</v>
      </c>
      <c r="AP155" s="184">
        <f t="shared" si="301"/>
        <v>0</v>
      </c>
      <c r="AQ155" s="184">
        <f t="shared" si="301"/>
        <v>0</v>
      </c>
      <c r="AR155" s="184">
        <f t="shared" si="301"/>
        <v>0</v>
      </c>
      <c r="AS155" s="184">
        <f t="shared" si="301"/>
        <v>0</v>
      </c>
      <c r="AT155" s="184">
        <f t="shared" ref="AT155:AU155" si="302">P155+AD155-AL155</f>
        <v>1</v>
      </c>
      <c r="AU155" s="184">
        <f t="shared" si="302"/>
        <v>1</v>
      </c>
      <c r="AV155" s="62"/>
      <c r="AW155" s="202"/>
      <c r="AX155" s="202"/>
      <c r="AY155" s="202"/>
      <c r="AZ155" s="202"/>
      <c r="BA155" s="202"/>
      <c r="BB155" s="202"/>
      <c r="BC155" s="202"/>
      <c r="BD155" s="228"/>
      <c r="BE155" s="62"/>
      <c r="BF155" s="62"/>
      <c r="BG155" s="62"/>
      <c r="BH155" s="54"/>
      <c r="BI155" s="54"/>
      <c r="BJ155" s="54"/>
      <c r="BK155" s="54"/>
      <c r="BL155" s="54"/>
      <c r="BM155" s="54"/>
      <c r="BN155" s="54"/>
      <c r="BO155" s="57"/>
      <c r="BP155" s="58"/>
      <c r="BQ155" s="57"/>
      <c r="BR155" s="57"/>
    </row>
    <row r="156">
      <c r="A156" s="176">
        <v>152.0</v>
      </c>
      <c r="B156" s="208" t="s">
        <v>1432</v>
      </c>
      <c r="C156" s="178" t="s">
        <v>1409</v>
      </c>
      <c r="D156" s="245">
        <v>4.0</v>
      </c>
      <c r="E156" s="245">
        <v>0.5</v>
      </c>
      <c r="F156" s="245">
        <v>0.0</v>
      </c>
      <c r="G156" s="245">
        <v>0.0</v>
      </c>
      <c r="H156" s="245">
        <v>0.0</v>
      </c>
      <c r="I156" s="245">
        <v>0.0</v>
      </c>
      <c r="J156" s="47">
        <v>4.0</v>
      </c>
      <c r="K156" s="106">
        <v>0.0</v>
      </c>
      <c r="L156" s="106">
        <v>0.0</v>
      </c>
      <c r="M156" s="106">
        <v>0.0</v>
      </c>
      <c r="N156" s="106">
        <v>0.0</v>
      </c>
      <c r="O156" s="106">
        <v>0.0</v>
      </c>
      <c r="P156" s="180">
        <v>1.0</v>
      </c>
      <c r="Q156" s="180">
        <v>1.0</v>
      </c>
      <c r="R156" s="62"/>
      <c r="S156" s="176">
        <v>0.0</v>
      </c>
      <c r="T156" s="176">
        <v>0.0</v>
      </c>
      <c r="U156" s="176">
        <v>0.0</v>
      </c>
      <c r="V156" s="176">
        <v>0.0</v>
      </c>
      <c r="W156" s="176">
        <v>0.0</v>
      </c>
      <c r="X156" s="62"/>
      <c r="Y156" s="176">
        <v>0.0</v>
      </c>
      <c r="Z156" s="176">
        <v>0.0</v>
      </c>
      <c r="AA156" s="176">
        <v>0.0</v>
      </c>
      <c r="AB156" s="176">
        <v>0.0</v>
      </c>
      <c r="AC156" s="176">
        <v>0.0</v>
      </c>
      <c r="AD156" s="176">
        <v>0.0</v>
      </c>
      <c r="AE156" s="176">
        <v>0.0</v>
      </c>
      <c r="AF156" s="62"/>
      <c r="AG156" s="47"/>
      <c r="AH156" s="47"/>
      <c r="AI156" s="47"/>
      <c r="AJ156" s="54"/>
      <c r="AK156" s="54"/>
      <c r="AL156" s="54"/>
      <c r="AM156" s="54"/>
      <c r="AN156" s="62"/>
      <c r="AO156" s="184">
        <f t="shared" ref="AO156:AS156" si="303">ROUND(E156*(5/12)+K156*(5/12)+S156+Y156-AG156,2)</f>
        <v>0.21</v>
      </c>
      <c r="AP156" s="184">
        <f t="shared" si="303"/>
        <v>0</v>
      </c>
      <c r="AQ156" s="184">
        <f t="shared" si="303"/>
        <v>0</v>
      </c>
      <c r="AR156" s="184">
        <f t="shared" si="303"/>
        <v>0</v>
      </c>
      <c r="AS156" s="184">
        <f t="shared" si="303"/>
        <v>0</v>
      </c>
      <c r="AT156" s="184">
        <f t="shared" ref="AT156:AU156" si="304">P156+AD156-AL156</f>
        <v>1</v>
      </c>
      <c r="AU156" s="184">
        <f t="shared" si="304"/>
        <v>1</v>
      </c>
      <c r="AV156" s="62"/>
      <c r="AW156" s="176">
        <v>0.25</v>
      </c>
      <c r="AX156" s="176" t="s">
        <v>913</v>
      </c>
      <c r="AY156" s="176" t="s">
        <v>913</v>
      </c>
      <c r="AZ156" s="176" t="s">
        <v>913</v>
      </c>
      <c r="BA156" s="176" t="s">
        <v>913</v>
      </c>
      <c r="BB156" s="176">
        <v>1.0</v>
      </c>
      <c r="BC156" s="176">
        <v>1.0</v>
      </c>
      <c r="BD156" s="196" t="s">
        <v>1433</v>
      </c>
      <c r="BE156" s="62"/>
      <c r="BF156" s="62"/>
      <c r="BG156" s="62"/>
      <c r="BH156" s="54"/>
      <c r="BI156" s="54"/>
      <c r="BJ156" s="54"/>
      <c r="BK156" s="54"/>
      <c r="BL156" s="54"/>
      <c r="BM156" s="54"/>
      <c r="BN156" s="54"/>
      <c r="BO156" s="57"/>
      <c r="BP156" s="58" t="s">
        <v>1152</v>
      </c>
      <c r="BQ156" s="57"/>
      <c r="BR156" s="57"/>
    </row>
    <row r="157">
      <c r="A157" s="176">
        <v>153.0</v>
      </c>
      <c r="B157" s="117" t="s">
        <v>1434</v>
      </c>
      <c r="C157" s="178" t="s">
        <v>1409</v>
      </c>
      <c r="D157" s="245">
        <v>4.0</v>
      </c>
      <c r="E157" s="245">
        <v>0.6</v>
      </c>
      <c r="F157" s="245">
        <v>0.0</v>
      </c>
      <c r="G157" s="245">
        <v>0.0</v>
      </c>
      <c r="H157" s="245">
        <v>0.0</v>
      </c>
      <c r="I157" s="245">
        <v>0.0</v>
      </c>
      <c r="J157" s="47">
        <v>3.0</v>
      </c>
      <c r="K157" s="106">
        <v>1.0</v>
      </c>
      <c r="L157" s="106">
        <v>0.0</v>
      </c>
      <c r="M157" s="106">
        <v>0.0</v>
      </c>
      <c r="N157" s="106">
        <v>0.0</v>
      </c>
      <c r="O157" s="106">
        <v>0.0</v>
      </c>
      <c r="P157" s="180">
        <v>0.91</v>
      </c>
      <c r="Q157" s="180">
        <v>0.91</v>
      </c>
      <c r="R157" s="62"/>
      <c r="S157" s="176">
        <v>0.0</v>
      </c>
      <c r="T157" s="176">
        <v>0.0</v>
      </c>
      <c r="U157" s="176">
        <v>0.0</v>
      </c>
      <c r="V157" s="176">
        <v>0.0</v>
      </c>
      <c r="W157" s="176">
        <v>0.0</v>
      </c>
      <c r="X157" s="62"/>
      <c r="Y157" s="176">
        <v>0.0</v>
      </c>
      <c r="Z157" s="176">
        <v>0.0</v>
      </c>
      <c r="AA157" s="176">
        <v>0.0</v>
      </c>
      <c r="AB157" s="176">
        <v>0.0</v>
      </c>
      <c r="AC157" s="176">
        <v>0.0</v>
      </c>
      <c r="AD157" s="176">
        <v>0.0</v>
      </c>
      <c r="AE157" s="176">
        <v>0.0</v>
      </c>
      <c r="AF157" s="62"/>
      <c r="AG157" s="47"/>
      <c r="AH157" s="47"/>
      <c r="AI157" s="47"/>
      <c r="AJ157" s="54"/>
      <c r="AK157" s="54"/>
      <c r="AL157" s="54"/>
      <c r="AM157" s="54"/>
      <c r="AN157" s="62"/>
      <c r="AO157" s="184">
        <f t="shared" ref="AO157:AS157" si="305">ROUND(E157*(5/12)+K157*(5/12)+S157+Y157-AG157,2)</f>
        <v>0.67</v>
      </c>
      <c r="AP157" s="184">
        <f t="shared" si="305"/>
        <v>0</v>
      </c>
      <c r="AQ157" s="184">
        <f t="shared" si="305"/>
        <v>0</v>
      </c>
      <c r="AR157" s="184">
        <f t="shared" si="305"/>
        <v>0</v>
      </c>
      <c r="AS157" s="184">
        <f t="shared" si="305"/>
        <v>0</v>
      </c>
      <c r="AT157" s="184">
        <f t="shared" ref="AT157:AU157" si="306">P157+AD157-AL157</f>
        <v>0.91</v>
      </c>
      <c r="AU157" s="184">
        <f t="shared" si="306"/>
        <v>0.91</v>
      </c>
      <c r="AV157" s="62"/>
      <c r="AW157" s="176">
        <v>0.0</v>
      </c>
      <c r="AX157" s="176" t="s">
        <v>913</v>
      </c>
      <c r="AY157" s="176" t="s">
        <v>913</v>
      </c>
      <c r="AZ157" s="176" t="s">
        <v>913</v>
      </c>
      <c r="BA157" s="176" t="s">
        <v>913</v>
      </c>
      <c r="BB157" s="176">
        <v>0.5</v>
      </c>
      <c r="BC157" s="176">
        <v>0.0</v>
      </c>
      <c r="BD157" s="126" t="s">
        <v>1435</v>
      </c>
      <c r="BE157" s="62"/>
      <c r="BF157" s="62"/>
      <c r="BG157" s="62"/>
      <c r="BH157" s="54"/>
      <c r="BI157" s="54"/>
      <c r="BJ157" s="54"/>
      <c r="BK157" s="54"/>
      <c r="BL157" s="54"/>
      <c r="BM157" s="54"/>
      <c r="BN157" s="54"/>
      <c r="BO157" s="57"/>
      <c r="BP157" s="58" t="s">
        <v>1152</v>
      </c>
      <c r="BQ157" s="57"/>
      <c r="BR157" s="57"/>
    </row>
    <row r="158">
      <c r="A158" s="176">
        <v>154.0</v>
      </c>
      <c r="B158" s="117" t="s">
        <v>1436</v>
      </c>
      <c r="C158" s="178" t="s">
        <v>1409</v>
      </c>
      <c r="D158" s="245">
        <v>4.0</v>
      </c>
      <c r="E158" s="245">
        <v>0.3</v>
      </c>
      <c r="F158" s="245">
        <v>0.0</v>
      </c>
      <c r="G158" s="245">
        <v>0.0</v>
      </c>
      <c r="H158" s="245">
        <v>0.0</v>
      </c>
      <c r="I158" s="245">
        <v>0.0</v>
      </c>
      <c r="J158" s="47">
        <v>4.0</v>
      </c>
      <c r="K158" s="106">
        <v>0.0</v>
      </c>
      <c r="L158" s="106">
        <v>0.0</v>
      </c>
      <c r="M158" s="106">
        <v>0.0</v>
      </c>
      <c r="N158" s="106">
        <v>0.0</v>
      </c>
      <c r="O158" s="106">
        <v>0.0</v>
      </c>
      <c r="P158" s="180">
        <v>0.75</v>
      </c>
      <c r="Q158" s="180">
        <v>0.75</v>
      </c>
      <c r="R158" s="62"/>
      <c r="S158" s="176">
        <v>0.0</v>
      </c>
      <c r="T158" s="176">
        <v>0.0</v>
      </c>
      <c r="U158" s="176">
        <v>0.0</v>
      </c>
      <c r="V158" s="176">
        <v>0.0</v>
      </c>
      <c r="W158" s="176">
        <v>0.0</v>
      </c>
      <c r="X158" s="62"/>
      <c r="Y158" s="176">
        <v>0.0</v>
      </c>
      <c r="Z158" s="176">
        <v>0.0</v>
      </c>
      <c r="AA158" s="176">
        <v>0.0</v>
      </c>
      <c r="AB158" s="176">
        <v>0.0</v>
      </c>
      <c r="AC158" s="176">
        <v>0.0</v>
      </c>
      <c r="AD158" s="176">
        <v>0.0</v>
      </c>
      <c r="AE158" s="176">
        <v>0.0</v>
      </c>
      <c r="AF158" s="62"/>
      <c r="AG158" s="47"/>
      <c r="AH158" s="47"/>
      <c r="AI158" s="47"/>
      <c r="AJ158" s="54"/>
      <c r="AK158" s="54"/>
      <c r="AL158" s="54"/>
      <c r="AM158" s="54"/>
      <c r="AN158" s="62"/>
      <c r="AO158" s="184">
        <f t="shared" ref="AO158:AS158" si="307">ROUND(E158*(5/12)+K158*(5/12)+S158+Y158-AG158,2)</f>
        <v>0.13</v>
      </c>
      <c r="AP158" s="184">
        <f t="shared" si="307"/>
        <v>0</v>
      </c>
      <c r="AQ158" s="184">
        <f t="shared" si="307"/>
        <v>0</v>
      </c>
      <c r="AR158" s="184">
        <f t="shared" si="307"/>
        <v>0</v>
      </c>
      <c r="AS158" s="184">
        <f t="shared" si="307"/>
        <v>0</v>
      </c>
      <c r="AT158" s="184">
        <f t="shared" ref="AT158:AU158" si="308">P158+AD158-AL158</f>
        <v>0.75</v>
      </c>
      <c r="AU158" s="184">
        <f t="shared" si="308"/>
        <v>0.75</v>
      </c>
      <c r="AV158" s="62"/>
      <c r="AW158" s="176">
        <v>0.125</v>
      </c>
      <c r="AX158" s="176" t="s">
        <v>913</v>
      </c>
      <c r="AY158" s="176" t="s">
        <v>913</v>
      </c>
      <c r="AZ158" s="176" t="s">
        <v>913</v>
      </c>
      <c r="BA158" s="176" t="s">
        <v>913</v>
      </c>
      <c r="BB158" s="176">
        <v>0.75</v>
      </c>
      <c r="BC158" s="176">
        <v>0.0</v>
      </c>
      <c r="BD158" s="194" t="s">
        <v>1437</v>
      </c>
      <c r="BE158" s="62"/>
      <c r="BF158" s="62"/>
      <c r="BG158" s="62"/>
      <c r="BH158" s="54"/>
      <c r="BI158" s="54"/>
      <c r="BJ158" s="54"/>
      <c r="BK158" s="54"/>
      <c r="BL158" s="54"/>
      <c r="BM158" s="54"/>
      <c r="BN158" s="54"/>
      <c r="BO158" s="57"/>
      <c r="BP158" s="58" t="s">
        <v>1152</v>
      </c>
      <c r="BQ158" s="57"/>
      <c r="BR158" s="57"/>
    </row>
    <row r="159">
      <c r="A159" s="176">
        <v>155.0</v>
      </c>
      <c r="B159" s="117" t="s">
        <v>1438</v>
      </c>
      <c r="C159" s="178" t="s">
        <v>1409</v>
      </c>
      <c r="D159" s="245">
        <v>4.0</v>
      </c>
      <c r="E159" s="245">
        <v>0.5</v>
      </c>
      <c r="F159" s="245">
        <v>0.0</v>
      </c>
      <c r="G159" s="245">
        <v>0.0</v>
      </c>
      <c r="H159" s="245">
        <v>0.0</v>
      </c>
      <c r="I159" s="245">
        <v>0.0</v>
      </c>
      <c r="J159" s="47">
        <v>4.0</v>
      </c>
      <c r="K159" s="106">
        <v>0.0</v>
      </c>
      <c r="L159" s="106">
        <v>0.0</v>
      </c>
      <c r="M159" s="106">
        <v>0.0</v>
      </c>
      <c r="N159" s="106">
        <v>0.0</v>
      </c>
      <c r="O159" s="106">
        <v>0.0</v>
      </c>
      <c r="P159" s="180">
        <v>0.83</v>
      </c>
      <c r="Q159" s="180">
        <v>0.83</v>
      </c>
      <c r="R159" s="62"/>
      <c r="S159" s="176">
        <v>0.0</v>
      </c>
      <c r="T159" s="176">
        <v>0.0</v>
      </c>
      <c r="U159" s="176">
        <v>0.0</v>
      </c>
      <c r="V159" s="176">
        <v>0.0</v>
      </c>
      <c r="W159" s="176">
        <v>0.0</v>
      </c>
      <c r="X159" s="62"/>
      <c r="Y159" s="176">
        <v>0.0</v>
      </c>
      <c r="Z159" s="176">
        <v>0.0</v>
      </c>
      <c r="AA159" s="176">
        <v>0.0</v>
      </c>
      <c r="AB159" s="176">
        <v>0.0</v>
      </c>
      <c r="AC159" s="176">
        <v>0.0</v>
      </c>
      <c r="AD159" s="176">
        <v>0.0</v>
      </c>
      <c r="AE159" s="176">
        <v>0.0</v>
      </c>
      <c r="AF159" s="62"/>
      <c r="AG159" s="54"/>
      <c r="AH159" s="54"/>
      <c r="AI159" s="54"/>
      <c r="AJ159" s="54"/>
      <c r="AK159" s="54"/>
      <c r="AL159" s="54"/>
      <c r="AM159" s="54"/>
      <c r="AN159" s="62"/>
      <c r="AO159" s="184">
        <f t="shared" ref="AO159:AS159" si="309">ROUND(E159*(5/12)+K159*(5/12)+S159+Y159-AG159,2)</f>
        <v>0.21</v>
      </c>
      <c r="AP159" s="184">
        <f t="shared" si="309"/>
        <v>0</v>
      </c>
      <c r="AQ159" s="184">
        <f t="shared" si="309"/>
        <v>0</v>
      </c>
      <c r="AR159" s="184">
        <f t="shared" si="309"/>
        <v>0</v>
      </c>
      <c r="AS159" s="184">
        <f t="shared" si="309"/>
        <v>0</v>
      </c>
      <c r="AT159" s="184">
        <f t="shared" ref="AT159:AU159" si="310">P159+AD159-AL159</f>
        <v>0.83</v>
      </c>
      <c r="AU159" s="184">
        <f t="shared" si="310"/>
        <v>0.83</v>
      </c>
      <c r="AV159" s="62"/>
      <c r="AW159" s="176">
        <v>0.75</v>
      </c>
      <c r="AX159" s="176" t="s">
        <v>913</v>
      </c>
      <c r="AY159" s="176" t="s">
        <v>913</v>
      </c>
      <c r="AZ159" s="176" t="s">
        <v>913</v>
      </c>
      <c r="BA159" s="176" t="s">
        <v>913</v>
      </c>
      <c r="BB159" s="176">
        <v>1.0</v>
      </c>
      <c r="BC159" s="176">
        <v>0.0</v>
      </c>
      <c r="BD159" s="180" t="s">
        <v>1439</v>
      </c>
      <c r="BE159" s="62"/>
      <c r="BF159" s="62"/>
      <c r="BG159" s="62"/>
      <c r="BH159" s="54"/>
      <c r="BI159" s="54"/>
      <c r="BJ159" s="54"/>
      <c r="BK159" s="54"/>
      <c r="BL159" s="54"/>
      <c r="BM159" s="54"/>
      <c r="BN159" s="54"/>
      <c r="BO159" s="57"/>
      <c r="BP159" s="58" t="s">
        <v>1152</v>
      </c>
      <c r="BQ159" s="57"/>
      <c r="BR159" s="57"/>
    </row>
    <row r="160">
      <c r="A160" s="176">
        <v>156.0</v>
      </c>
      <c r="B160" s="117" t="s">
        <v>1440</v>
      </c>
      <c r="C160" s="178" t="s">
        <v>1409</v>
      </c>
      <c r="D160" s="245">
        <v>4.0</v>
      </c>
      <c r="E160" s="245">
        <v>0.3</v>
      </c>
      <c r="F160" s="245">
        <v>0.0</v>
      </c>
      <c r="G160" s="245">
        <v>0.0</v>
      </c>
      <c r="H160" s="245">
        <v>0.0</v>
      </c>
      <c r="I160" s="245">
        <v>0.0</v>
      </c>
      <c r="J160" s="47">
        <v>4.0</v>
      </c>
      <c r="K160" s="106">
        <v>0.0</v>
      </c>
      <c r="L160" s="106">
        <v>0.0</v>
      </c>
      <c r="M160" s="106">
        <v>0.0</v>
      </c>
      <c r="N160" s="106">
        <v>0.0</v>
      </c>
      <c r="O160" s="106">
        <v>0.0</v>
      </c>
      <c r="P160" s="180">
        <v>0.75</v>
      </c>
      <c r="Q160" s="180">
        <v>0.75</v>
      </c>
      <c r="R160" s="62"/>
      <c r="S160" s="176">
        <v>0.0</v>
      </c>
      <c r="T160" s="176">
        <v>0.0</v>
      </c>
      <c r="U160" s="176">
        <v>0.0</v>
      </c>
      <c r="V160" s="176">
        <v>0.0</v>
      </c>
      <c r="W160" s="176">
        <v>0.0</v>
      </c>
      <c r="X160" s="62"/>
      <c r="Y160" s="176">
        <v>0.0</v>
      </c>
      <c r="Z160" s="176">
        <v>0.0</v>
      </c>
      <c r="AA160" s="176">
        <v>0.0</v>
      </c>
      <c r="AB160" s="176">
        <v>0.0</v>
      </c>
      <c r="AC160" s="176">
        <v>0.0</v>
      </c>
      <c r="AD160" s="176">
        <v>0.0</v>
      </c>
      <c r="AE160" s="176">
        <v>0.0</v>
      </c>
      <c r="AF160" s="62"/>
      <c r="AG160" s="47"/>
      <c r="AH160" s="54"/>
      <c r="AI160" s="54"/>
      <c r="AJ160" s="54"/>
      <c r="AK160" s="54"/>
      <c r="AL160" s="54"/>
      <c r="AM160" s="54"/>
      <c r="AN160" s="62"/>
      <c r="AO160" s="184">
        <f t="shared" ref="AO160:AS160" si="311">ROUND(E160*(5/12)+K160*(5/12)+S160+Y160-AG160,2)</f>
        <v>0.13</v>
      </c>
      <c r="AP160" s="184">
        <f t="shared" si="311"/>
        <v>0</v>
      </c>
      <c r="AQ160" s="184">
        <f t="shared" si="311"/>
        <v>0</v>
      </c>
      <c r="AR160" s="184">
        <f t="shared" si="311"/>
        <v>0</v>
      </c>
      <c r="AS160" s="184">
        <f t="shared" si="311"/>
        <v>0</v>
      </c>
      <c r="AT160" s="184">
        <f t="shared" ref="AT160:AU160" si="312">P160+AD160-AL160</f>
        <v>0.75</v>
      </c>
      <c r="AU160" s="184">
        <f t="shared" si="312"/>
        <v>0.75</v>
      </c>
      <c r="AV160" s="62"/>
      <c r="AW160" s="176">
        <v>0.125</v>
      </c>
      <c r="AX160" s="176" t="s">
        <v>913</v>
      </c>
      <c r="AY160" s="176" t="s">
        <v>913</v>
      </c>
      <c r="AZ160" s="176" t="s">
        <v>913</v>
      </c>
      <c r="BA160" s="176" t="s">
        <v>913</v>
      </c>
      <c r="BB160" s="176">
        <v>0.75</v>
      </c>
      <c r="BC160" s="176">
        <v>0.0</v>
      </c>
      <c r="BD160" s="195" t="s">
        <v>1441</v>
      </c>
      <c r="BE160" s="62"/>
      <c r="BF160" s="62"/>
      <c r="BG160" s="62"/>
      <c r="BH160" s="54"/>
      <c r="BI160" s="54"/>
      <c r="BJ160" s="54"/>
      <c r="BK160" s="54"/>
      <c r="BL160" s="54"/>
      <c r="BM160" s="54"/>
      <c r="BN160" s="54"/>
      <c r="BO160" s="57"/>
      <c r="BP160" s="58" t="s">
        <v>1152</v>
      </c>
      <c r="BQ160" s="57"/>
      <c r="BR160" s="57"/>
    </row>
    <row r="161">
      <c r="A161" s="176">
        <v>157.0</v>
      </c>
      <c r="B161" s="117" t="s">
        <v>1442</v>
      </c>
      <c r="C161" s="178" t="s">
        <v>1409</v>
      </c>
      <c r="D161" s="245">
        <v>4.0</v>
      </c>
      <c r="E161" s="245">
        <v>0.3</v>
      </c>
      <c r="F161" s="245">
        <v>0.0</v>
      </c>
      <c r="G161" s="245">
        <v>0.0</v>
      </c>
      <c r="H161" s="245">
        <v>0.0</v>
      </c>
      <c r="I161" s="245">
        <v>0.0</v>
      </c>
      <c r="J161" s="47">
        <v>3.0</v>
      </c>
      <c r="K161" s="106">
        <v>1.0</v>
      </c>
      <c r="L161" s="106">
        <v>0.0</v>
      </c>
      <c r="M161" s="106">
        <v>0.0</v>
      </c>
      <c r="N161" s="106">
        <v>0.0</v>
      </c>
      <c r="O161" s="106">
        <v>0.0</v>
      </c>
      <c r="P161" s="180">
        <v>0.83</v>
      </c>
      <c r="Q161" s="180">
        <v>0.83</v>
      </c>
      <c r="R161" s="62"/>
      <c r="S161" s="176">
        <v>0.0</v>
      </c>
      <c r="T161" s="176">
        <v>0.0</v>
      </c>
      <c r="U161" s="176">
        <v>0.0</v>
      </c>
      <c r="V161" s="176">
        <v>0.0</v>
      </c>
      <c r="W161" s="176">
        <v>0.0</v>
      </c>
      <c r="X161" s="62"/>
      <c r="Y161" s="176">
        <v>0.0</v>
      </c>
      <c r="Z161" s="176">
        <v>0.0</v>
      </c>
      <c r="AA161" s="176">
        <v>0.0</v>
      </c>
      <c r="AB161" s="176">
        <v>0.0</v>
      </c>
      <c r="AC161" s="176">
        <v>0.0</v>
      </c>
      <c r="AD161" s="176">
        <v>0.0</v>
      </c>
      <c r="AE161" s="176">
        <v>0.0</v>
      </c>
      <c r="AF161" s="62"/>
      <c r="AG161" s="47"/>
      <c r="AH161" s="54"/>
      <c r="AI161" s="54"/>
      <c r="AJ161" s="54"/>
      <c r="AK161" s="54"/>
      <c r="AL161" s="54"/>
      <c r="AM161" s="54"/>
      <c r="AN161" s="62"/>
      <c r="AO161" s="184">
        <f t="shared" ref="AO161:AS161" si="313">ROUND(E161*(5/12)+K161*(5/12)+S161+Y161-AG161,2)</f>
        <v>0.54</v>
      </c>
      <c r="AP161" s="184">
        <f t="shared" si="313"/>
        <v>0</v>
      </c>
      <c r="AQ161" s="184">
        <f t="shared" si="313"/>
        <v>0</v>
      </c>
      <c r="AR161" s="184">
        <f t="shared" si="313"/>
        <v>0</v>
      </c>
      <c r="AS161" s="184">
        <f t="shared" si="313"/>
        <v>0</v>
      </c>
      <c r="AT161" s="184">
        <f t="shared" ref="AT161:AU161" si="314">P161+AD161-AL161</f>
        <v>0.83</v>
      </c>
      <c r="AU161" s="184">
        <f t="shared" si="314"/>
        <v>0.83</v>
      </c>
      <c r="AV161" s="62"/>
      <c r="AW161" s="176">
        <v>0.0</v>
      </c>
      <c r="AX161" s="176" t="s">
        <v>913</v>
      </c>
      <c r="AY161" s="176" t="s">
        <v>913</v>
      </c>
      <c r="AZ161" s="176" t="s">
        <v>913</v>
      </c>
      <c r="BA161" s="176" t="s">
        <v>913</v>
      </c>
      <c r="BB161" s="176">
        <v>0.0</v>
      </c>
      <c r="BC161" s="176">
        <v>0.0</v>
      </c>
      <c r="BD161" s="194" t="s">
        <v>1443</v>
      </c>
      <c r="BE161" s="62"/>
      <c r="BF161" s="62"/>
      <c r="BG161" s="62"/>
      <c r="BH161" s="54"/>
      <c r="BI161" s="54"/>
      <c r="BJ161" s="54"/>
      <c r="BK161" s="54"/>
      <c r="BL161" s="54"/>
      <c r="BM161" s="54"/>
      <c r="BN161" s="54"/>
      <c r="BO161" s="57"/>
      <c r="BP161" s="58" t="s">
        <v>1152</v>
      </c>
      <c r="BQ161" s="57"/>
      <c r="BR161" s="57"/>
    </row>
    <row r="162">
      <c r="A162" s="176">
        <v>158.0</v>
      </c>
      <c r="B162" s="117" t="s">
        <v>1444</v>
      </c>
      <c r="C162" s="178" t="s">
        <v>1409</v>
      </c>
      <c r="D162" s="245">
        <v>0.0</v>
      </c>
      <c r="E162" s="245">
        <v>0.0</v>
      </c>
      <c r="F162" s="245">
        <v>0.0</v>
      </c>
      <c r="G162" s="245">
        <v>0.0</v>
      </c>
      <c r="H162" s="245">
        <v>0.0</v>
      </c>
      <c r="I162" s="245">
        <v>0.0</v>
      </c>
      <c r="J162" s="106">
        <v>3.0</v>
      </c>
      <c r="K162" s="106">
        <v>0.6</v>
      </c>
      <c r="L162" s="106">
        <v>0.2</v>
      </c>
      <c r="M162" s="106">
        <v>0.0</v>
      </c>
      <c r="N162" s="106">
        <v>0.2</v>
      </c>
      <c r="O162" s="106">
        <v>0.0</v>
      </c>
      <c r="P162" s="180">
        <v>0.5</v>
      </c>
      <c r="Q162" s="180">
        <v>0.5</v>
      </c>
      <c r="R162" s="62"/>
      <c r="S162" s="176">
        <v>0.0</v>
      </c>
      <c r="T162" s="176">
        <v>0.0</v>
      </c>
      <c r="U162" s="176">
        <v>0.0</v>
      </c>
      <c r="V162" s="176">
        <v>0.0</v>
      </c>
      <c r="W162" s="176">
        <v>0.0</v>
      </c>
      <c r="X162" s="62"/>
      <c r="Y162" s="176">
        <v>0.0</v>
      </c>
      <c r="Z162" s="176">
        <v>0.0</v>
      </c>
      <c r="AA162" s="176">
        <v>0.0</v>
      </c>
      <c r="AB162" s="176">
        <v>0.0</v>
      </c>
      <c r="AC162" s="176">
        <v>0.0</v>
      </c>
      <c r="AD162" s="176">
        <v>0.0</v>
      </c>
      <c r="AE162" s="176">
        <v>0.0</v>
      </c>
      <c r="AF162" s="62"/>
      <c r="AG162" s="47"/>
      <c r="AH162" s="54"/>
      <c r="AI162" s="54"/>
      <c r="AJ162" s="54"/>
      <c r="AK162" s="54"/>
      <c r="AL162" s="47"/>
      <c r="AM162" s="57"/>
      <c r="AN162" s="62"/>
      <c r="AO162" s="184">
        <f t="shared" ref="AO162:AS162" si="315">ROUND(E162*(5/12)+K162*(5/12)+S162+Y162-AG162,2)</f>
        <v>0.25</v>
      </c>
      <c r="AP162" s="184">
        <f t="shared" si="315"/>
        <v>0.08</v>
      </c>
      <c r="AQ162" s="184">
        <f t="shared" si="315"/>
        <v>0</v>
      </c>
      <c r="AR162" s="184">
        <f t="shared" si="315"/>
        <v>0.08</v>
      </c>
      <c r="AS162" s="184">
        <f t="shared" si="315"/>
        <v>0</v>
      </c>
      <c r="AT162" s="184">
        <f t="shared" ref="AT162:AU162" si="316">P162+AD162-AL162</f>
        <v>0.5</v>
      </c>
      <c r="AU162" s="184">
        <f t="shared" si="316"/>
        <v>0.5</v>
      </c>
      <c r="AV162" s="62"/>
      <c r="AW162" s="176">
        <v>0.0</v>
      </c>
      <c r="AX162" s="176">
        <v>0.0</v>
      </c>
      <c r="AY162" s="176" t="s">
        <v>913</v>
      </c>
      <c r="AZ162" s="176">
        <v>0.0</v>
      </c>
      <c r="BA162" s="176" t="s">
        <v>913</v>
      </c>
      <c r="BB162" s="176">
        <v>0.0</v>
      </c>
      <c r="BC162" s="176">
        <v>0.0</v>
      </c>
      <c r="BD162" s="194" t="s">
        <v>1445</v>
      </c>
      <c r="BE162" s="62"/>
      <c r="BF162" s="62"/>
      <c r="BG162" s="62"/>
      <c r="BH162" s="54"/>
      <c r="BI162" s="54"/>
      <c r="BJ162" s="54"/>
      <c r="BK162" s="54"/>
      <c r="BL162" s="54"/>
      <c r="BM162" s="54"/>
      <c r="BN162" s="54"/>
      <c r="BO162" s="57"/>
      <c r="BP162" s="58"/>
      <c r="BQ162" s="57"/>
      <c r="BR162" s="57"/>
    </row>
    <row r="163">
      <c r="A163" s="176">
        <v>159.0</v>
      </c>
      <c r="B163" s="117" t="s">
        <v>1446</v>
      </c>
      <c r="C163" s="178" t="s">
        <v>1409</v>
      </c>
      <c r="D163" s="264"/>
      <c r="E163" s="264"/>
      <c r="F163" s="264"/>
      <c r="G163" s="264"/>
      <c r="H163" s="264"/>
      <c r="I163" s="258"/>
      <c r="J163" s="106">
        <v>3.0</v>
      </c>
      <c r="K163" s="106">
        <v>0.8</v>
      </c>
      <c r="L163" s="106">
        <v>0.2</v>
      </c>
      <c r="M163" s="106">
        <v>0.0</v>
      </c>
      <c r="N163" s="106">
        <v>0.0</v>
      </c>
      <c r="O163" s="106">
        <v>0.0</v>
      </c>
      <c r="P163" s="180">
        <v>0.58</v>
      </c>
      <c r="Q163" s="180">
        <v>0.58</v>
      </c>
      <c r="R163" s="62"/>
      <c r="S163" s="176">
        <v>0.0</v>
      </c>
      <c r="T163" s="176">
        <v>0.0</v>
      </c>
      <c r="U163" s="176">
        <v>0.0</v>
      </c>
      <c r="V163" s="176">
        <v>0.0</v>
      </c>
      <c r="W163" s="176">
        <v>0.0</v>
      </c>
      <c r="X163" s="62"/>
      <c r="Y163" s="176">
        <v>0.0</v>
      </c>
      <c r="Z163" s="176">
        <v>0.0</v>
      </c>
      <c r="AA163" s="176">
        <v>0.0</v>
      </c>
      <c r="AB163" s="176">
        <v>0.0</v>
      </c>
      <c r="AC163" s="176">
        <v>0.0</v>
      </c>
      <c r="AD163" s="176">
        <v>0.0</v>
      </c>
      <c r="AE163" s="176">
        <v>0.0</v>
      </c>
      <c r="AF163" s="62"/>
      <c r="AG163" s="57"/>
      <c r="AH163" s="54"/>
      <c r="AI163" s="54"/>
      <c r="AJ163" s="54"/>
      <c r="AK163" s="54"/>
      <c r="AL163" s="47"/>
      <c r="AM163" s="54"/>
      <c r="AN163" s="62"/>
      <c r="AO163" s="184">
        <f t="shared" ref="AO163:AS163" si="317">ROUND(E163*(5/12)+K163*(5/12)+S163+Y163-AG163,2)</f>
        <v>0.33</v>
      </c>
      <c r="AP163" s="184">
        <f t="shared" si="317"/>
        <v>0.08</v>
      </c>
      <c r="AQ163" s="184">
        <f t="shared" si="317"/>
        <v>0</v>
      </c>
      <c r="AR163" s="184">
        <f t="shared" si="317"/>
        <v>0</v>
      </c>
      <c r="AS163" s="184">
        <f t="shared" si="317"/>
        <v>0</v>
      </c>
      <c r="AT163" s="184">
        <f t="shared" ref="AT163:AU163" si="318">P163+AD163-AL163</f>
        <v>0.58</v>
      </c>
      <c r="AU163" s="184">
        <f t="shared" si="318"/>
        <v>0.58</v>
      </c>
      <c r="AV163" s="62"/>
      <c r="AW163" s="176">
        <v>0.0</v>
      </c>
      <c r="AX163" s="176">
        <v>0.0</v>
      </c>
      <c r="AY163" s="176" t="s">
        <v>913</v>
      </c>
      <c r="AZ163" s="176" t="s">
        <v>913</v>
      </c>
      <c r="BA163" s="176" t="s">
        <v>913</v>
      </c>
      <c r="BB163" s="176">
        <v>0.0</v>
      </c>
      <c r="BC163" s="176">
        <v>0.0</v>
      </c>
      <c r="BD163" s="194" t="s">
        <v>1447</v>
      </c>
      <c r="BE163" s="62"/>
      <c r="BF163" s="62"/>
      <c r="BG163" s="62"/>
      <c r="BH163" s="54"/>
      <c r="BI163" s="54"/>
      <c r="BJ163" s="54"/>
      <c r="BK163" s="54"/>
      <c r="BL163" s="54"/>
      <c r="BM163" s="54"/>
      <c r="BN163" s="54"/>
      <c r="BO163" s="57"/>
      <c r="BP163" s="58"/>
      <c r="BQ163" s="57"/>
      <c r="BR163" s="57"/>
    </row>
    <row r="164">
      <c r="A164" s="176">
        <v>160.0</v>
      </c>
      <c r="B164" s="117" t="s">
        <v>1448</v>
      </c>
      <c r="C164" s="178" t="s">
        <v>1409</v>
      </c>
      <c r="D164" s="264"/>
      <c r="E164" s="264"/>
      <c r="F164" s="264"/>
      <c r="G164" s="264"/>
      <c r="H164" s="264"/>
      <c r="I164" s="258"/>
      <c r="J164" s="106">
        <v>3.0</v>
      </c>
      <c r="K164" s="106">
        <v>0.3</v>
      </c>
      <c r="L164" s="106">
        <v>0.2</v>
      </c>
      <c r="M164" s="106">
        <v>0.3</v>
      </c>
      <c r="N164" s="106">
        <v>0.2</v>
      </c>
      <c r="O164" s="106">
        <v>0.0</v>
      </c>
      <c r="P164" s="180">
        <v>0.42</v>
      </c>
      <c r="Q164" s="180">
        <v>0.42</v>
      </c>
      <c r="R164" s="62"/>
      <c r="S164" s="176">
        <v>0.0</v>
      </c>
      <c r="T164" s="176">
        <v>0.0</v>
      </c>
      <c r="U164" s="176">
        <v>0.0</v>
      </c>
      <c r="V164" s="176">
        <v>0.0</v>
      </c>
      <c r="W164" s="176">
        <v>0.0</v>
      </c>
      <c r="X164" s="62"/>
      <c r="Y164" s="176">
        <v>0.0</v>
      </c>
      <c r="Z164" s="176">
        <v>0.0</v>
      </c>
      <c r="AA164" s="176">
        <v>0.0</v>
      </c>
      <c r="AB164" s="176">
        <v>0.0</v>
      </c>
      <c r="AC164" s="176">
        <v>0.0</v>
      </c>
      <c r="AD164" s="176">
        <v>0.0</v>
      </c>
      <c r="AE164" s="176">
        <v>0.0</v>
      </c>
      <c r="AF164" s="62"/>
      <c r="AG164" s="57"/>
      <c r="AH164" s="54"/>
      <c r="AI164" s="54"/>
      <c r="AJ164" s="54"/>
      <c r="AK164" s="54"/>
      <c r="AL164" s="47"/>
      <c r="AM164" s="54"/>
      <c r="AN164" s="62"/>
      <c r="AO164" s="184">
        <f t="shared" ref="AO164:AS164" si="319">ROUND(E164*(5/12)+K164*(5/12)+S164+Y164-AG164,2)</f>
        <v>0.13</v>
      </c>
      <c r="AP164" s="184">
        <f t="shared" si="319"/>
        <v>0.08</v>
      </c>
      <c r="AQ164" s="184">
        <f t="shared" si="319"/>
        <v>0.13</v>
      </c>
      <c r="AR164" s="184">
        <f t="shared" si="319"/>
        <v>0.08</v>
      </c>
      <c r="AS164" s="184">
        <f t="shared" si="319"/>
        <v>0</v>
      </c>
      <c r="AT164" s="184">
        <f t="shared" ref="AT164:AU164" si="320">P164+AD164-AL164</f>
        <v>0.42</v>
      </c>
      <c r="AU164" s="184">
        <f t="shared" si="320"/>
        <v>0.42</v>
      </c>
      <c r="AV164" s="62"/>
      <c r="AW164" s="176">
        <v>0.0</v>
      </c>
      <c r="AX164" s="176">
        <v>0.0</v>
      </c>
      <c r="AY164" s="176">
        <v>0.0</v>
      </c>
      <c r="AZ164" s="176">
        <v>0.0</v>
      </c>
      <c r="BA164" s="176" t="s">
        <v>913</v>
      </c>
      <c r="BB164" s="176">
        <v>0.0</v>
      </c>
      <c r="BC164" s="176">
        <v>0.0</v>
      </c>
      <c r="BD164" s="194" t="s">
        <v>1449</v>
      </c>
      <c r="BE164" s="62"/>
      <c r="BF164" s="62"/>
      <c r="BG164" s="62"/>
      <c r="BH164" s="54"/>
      <c r="BI164" s="54"/>
      <c r="BJ164" s="54"/>
      <c r="BK164" s="54"/>
      <c r="BL164" s="54"/>
      <c r="BM164" s="54"/>
      <c r="BN164" s="54"/>
      <c r="BO164" s="57"/>
      <c r="BP164" s="58"/>
      <c r="BQ164" s="57"/>
      <c r="BR164" s="57"/>
    </row>
    <row r="165">
      <c r="A165" s="176">
        <v>161.0</v>
      </c>
      <c r="B165" s="118" t="s">
        <v>1450</v>
      </c>
      <c r="C165" s="178" t="s">
        <v>1409</v>
      </c>
      <c r="D165" s="264"/>
      <c r="E165" s="264"/>
      <c r="F165" s="264"/>
      <c r="G165" s="264"/>
      <c r="H165" s="264"/>
      <c r="I165" s="258"/>
      <c r="J165" s="106"/>
      <c r="K165" s="106"/>
      <c r="L165" s="106"/>
      <c r="M165" s="106"/>
      <c r="N165" s="106"/>
      <c r="O165" s="106"/>
      <c r="P165" s="180">
        <v>0.33</v>
      </c>
      <c r="Q165" s="180">
        <v>0.33</v>
      </c>
      <c r="R165" s="62"/>
      <c r="S165" s="176"/>
      <c r="T165" s="265"/>
      <c r="U165" s="265"/>
      <c r="V165" s="265"/>
      <c r="W165" s="265"/>
      <c r="X165" s="62"/>
      <c r="Y165" s="176"/>
      <c r="Z165" s="176"/>
      <c r="AA165" s="176"/>
      <c r="AB165" s="176"/>
      <c r="AC165" s="176"/>
      <c r="AD165" s="176"/>
      <c r="AE165" s="176"/>
      <c r="AF165" s="62"/>
      <c r="AG165" s="57"/>
      <c r="AH165" s="54"/>
      <c r="AI165" s="54"/>
      <c r="AJ165" s="54"/>
      <c r="AK165" s="54"/>
      <c r="AL165" s="47"/>
      <c r="AM165" s="54"/>
      <c r="AN165" s="62"/>
      <c r="AO165" s="184">
        <f t="shared" ref="AO165:AS165" si="321">ROUND(E165*(5/12)+K165*(5/12)+S165+Y165-AG165,2)</f>
        <v>0</v>
      </c>
      <c r="AP165" s="184">
        <f t="shared" si="321"/>
        <v>0</v>
      </c>
      <c r="AQ165" s="184">
        <f t="shared" si="321"/>
        <v>0</v>
      </c>
      <c r="AR165" s="184">
        <f t="shared" si="321"/>
        <v>0</v>
      </c>
      <c r="AS165" s="184">
        <f t="shared" si="321"/>
        <v>0</v>
      </c>
      <c r="AT165" s="184">
        <f t="shared" ref="AT165:AU165" si="322">P165+AD165-AL165</f>
        <v>0.33</v>
      </c>
      <c r="AU165" s="184">
        <f t="shared" si="322"/>
        <v>0.33</v>
      </c>
      <c r="AV165" s="62"/>
      <c r="AW165" s="176" t="s">
        <v>913</v>
      </c>
      <c r="AX165" s="176" t="s">
        <v>913</v>
      </c>
      <c r="AY165" s="176" t="s">
        <v>913</v>
      </c>
      <c r="AZ165" s="176" t="s">
        <v>913</v>
      </c>
      <c r="BA165" s="176" t="s">
        <v>913</v>
      </c>
      <c r="BB165" s="176">
        <v>0.0</v>
      </c>
      <c r="BC165" s="176">
        <v>0.0</v>
      </c>
      <c r="BD165" s="180" t="s">
        <v>1451</v>
      </c>
      <c r="BE165" s="62"/>
      <c r="BF165" s="62"/>
      <c r="BG165" s="62"/>
      <c r="BH165" s="54"/>
      <c r="BI165" s="54"/>
      <c r="BJ165" s="54"/>
      <c r="BK165" s="54"/>
      <c r="BL165" s="54"/>
      <c r="BM165" s="54"/>
      <c r="BN165" s="54"/>
      <c r="BO165" s="57"/>
      <c r="BP165" s="58" t="s">
        <v>1152</v>
      </c>
      <c r="BQ165" s="57"/>
      <c r="BR165" s="57"/>
    </row>
    <row r="166" ht="24.0" customHeight="1">
      <c r="A166" s="176">
        <v>162.0</v>
      </c>
      <c r="B166" s="118" t="s">
        <v>1452</v>
      </c>
      <c r="C166" s="266" t="s">
        <v>1409</v>
      </c>
      <c r="D166" s="264"/>
      <c r="E166" s="264"/>
      <c r="F166" s="264"/>
      <c r="G166" s="264"/>
      <c r="H166" s="264"/>
      <c r="I166" s="258"/>
      <c r="J166" s="47">
        <v>3.0</v>
      </c>
      <c r="K166" s="106">
        <v>0.6</v>
      </c>
      <c r="L166" s="106">
        <v>0.2</v>
      </c>
      <c r="M166" s="106">
        <v>0.2</v>
      </c>
      <c r="N166" s="106">
        <v>0.0</v>
      </c>
      <c r="O166" s="106">
        <v>0.0</v>
      </c>
      <c r="P166" s="180">
        <v>0.42</v>
      </c>
      <c r="Q166" s="180">
        <v>0.42</v>
      </c>
      <c r="R166" s="62"/>
      <c r="S166" s="176"/>
      <c r="T166" s="265"/>
      <c r="U166" s="265"/>
      <c r="V166" s="265"/>
      <c r="W166" s="265"/>
      <c r="X166" s="62"/>
      <c r="Y166" s="176"/>
      <c r="Z166" s="176"/>
      <c r="AA166" s="176"/>
      <c r="AB166" s="176"/>
      <c r="AC166" s="176"/>
      <c r="AD166" s="176"/>
      <c r="AE166" s="176"/>
      <c r="AF166" s="62"/>
      <c r="AG166" s="57"/>
      <c r="AH166" s="54"/>
      <c r="AI166" s="54"/>
      <c r="AJ166" s="54"/>
      <c r="AK166" s="54"/>
      <c r="AL166" s="47"/>
      <c r="AM166" s="54"/>
      <c r="AN166" s="62"/>
      <c r="AO166" s="184">
        <f t="shared" ref="AO166:AS166" si="323">ROUND(E166*(5/12)+K166*(5/12)+S166+Y166-AG166,2)</f>
        <v>0.25</v>
      </c>
      <c r="AP166" s="184">
        <f t="shared" si="323"/>
        <v>0.08</v>
      </c>
      <c r="AQ166" s="184">
        <f t="shared" si="323"/>
        <v>0.08</v>
      </c>
      <c r="AR166" s="184">
        <f t="shared" si="323"/>
        <v>0</v>
      </c>
      <c r="AS166" s="184">
        <f t="shared" si="323"/>
        <v>0</v>
      </c>
      <c r="AT166" s="184">
        <f t="shared" ref="AT166:AU166" si="324">P166+AD166-AL166</f>
        <v>0.42</v>
      </c>
      <c r="AU166" s="184">
        <f t="shared" si="324"/>
        <v>0.42</v>
      </c>
      <c r="AV166" s="62"/>
      <c r="AW166" s="176">
        <v>0.5</v>
      </c>
      <c r="AX166" s="176">
        <v>0.0</v>
      </c>
      <c r="AY166" s="176">
        <v>0.0</v>
      </c>
      <c r="AZ166" s="176" t="s">
        <v>913</v>
      </c>
      <c r="BA166" s="176" t="s">
        <v>913</v>
      </c>
      <c r="BB166" s="176">
        <v>0.0</v>
      </c>
      <c r="BC166" s="176">
        <v>1.0</v>
      </c>
      <c r="BD166" s="180" t="s">
        <v>1453</v>
      </c>
      <c r="BE166" s="62"/>
      <c r="BF166" s="62"/>
      <c r="BG166" s="62"/>
      <c r="BH166" s="54"/>
      <c r="BI166" s="54"/>
      <c r="BJ166" s="54"/>
      <c r="BK166" s="54"/>
      <c r="BL166" s="54"/>
      <c r="BM166" s="54"/>
      <c r="BN166" s="54"/>
      <c r="BO166" s="57"/>
      <c r="BP166" s="58"/>
      <c r="BQ166" s="57"/>
      <c r="BR166" s="57"/>
    </row>
    <row r="167" ht="24.0" customHeight="1">
      <c r="A167" s="176">
        <v>163.0</v>
      </c>
      <c r="B167" s="118" t="s">
        <v>1454</v>
      </c>
      <c r="C167" s="266"/>
      <c r="D167" s="264"/>
      <c r="E167" s="264"/>
      <c r="F167" s="264"/>
      <c r="G167" s="264"/>
      <c r="H167" s="264"/>
      <c r="I167" s="258"/>
      <c r="J167" s="47">
        <v>4.0</v>
      </c>
      <c r="K167" s="106">
        <v>0.0</v>
      </c>
      <c r="L167" s="106">
        <v>0.0</v>
      </c>
      <c r="M167" s="106">
        <v>0.0</v>
      </c>
      <c r="N167" s="106">
        <v>0.0</v>
      </c>
      <c r="O167" s="106">
        <v>0.0</v>
      </c>
      <c r="P167" s="180">
        <v>0.42</v>
      </c>
      <c r="Q167" s="180">
        <v>0.42</v>
      </c>
      <c r="R167" s="62"/>
      <c r="S167" s="176"/>
      <c r="T167" s="265"/>
      <c r="U167" s="265"/>
      <c r="V167" s="265"/>
      <c r="W167" s="265"/>
      <c r="X167" s="62"/>
      <c r="Y167" s="176"/>
      <c r="Z167" s="176"/>
      <c r="AA167" s="176"/>
      <c r="AB167" s="176"/>
      <c r="AC167" s="176"/>
      <c r="AD167" s="176"/>
      <c r="AE167" s="176"/>
      <c r="AF167" s="62"/>
      <c r="AG167" s="57"/>
      <c r="AH167" s="54"/>
      <c r="AI167" s="54"/>
      <c r="AJ167" s="54"/>
      <c r="AK167" s="54"/>
      <c r="AL167" s="47"/>
      <c r="AM167" s="54"/>
      <c r="AN167" s="62"/>
      <c r="AO167" s="184">
        <f t="shared" ref="AO167:AS167" si="325">ROUND(E167*(5/12)+K167*(5/12)+S167+Y167-AG167,2)</f>
        <v>0</v>
      </c>
      <c r="AP167" s="184">
        <f t="shared" si="325"/>
        <v>0</v>
      </c>
      <c r="AQ167" s="184">
        <f t="shared" si="325"/>
        <v>0</v>
      </c>
      <c r="AR167" s="184">
        <f t="shared" si="325"/>
        <v>0</v>
      </c>
      <c r="AS167" s="184">
        <f t="shared" si="325"/>
        <v>0</v>
      </c>
      <c r="AT167" s="184">
        <f t="shared" ref="AT167:AU167" si="326">P167+AD167-AL167</f>
        <v>0.42</v>
      </c>
      <c r="AU167" s="184">
        <f t="shared" si="326"/>
        <v>0.42</v>
      </c>
      <c r="AV167" s="62"/>
      <c r="AW167" s="176" t="s">
        <v>913</v>
      </c>
      <c r="AX167" s="176" t="s">
        <v>913</v>
      </c>
      <c r="AY167" s="176" t="s">
        <v>913</v>
      </c>
      <c r="AZ167" s="176" t="s">
        <v>913</v>
      </c>
      <c r="BA167" s="176" t="s">
        <v>913</v>
      </c>
      <c r="BB167" s="176">
        <v>0.0</v>
      </c>
      <c r="BC167" s="176">
        <v>0.0</v>
      </c>
      <c r="BD167" s="194" t="s">
        <v>1455</v>
      </c>
      <c r="BE167" s="62"/>
      <c r="BF167" s="62"/>
      <c r="BG167" s="62"/>
      <c r="BH167" s="54"/>
      <c r="BI167" s="54"/>
      <c r="BJ167" s="54"/>
      <c r="BK167" s="54"/>
      <c r="BL167" s="54"/>
      <c r="BM167" s="54"/>
      <c r="BN167" s="54"/>
      <c r="BO167" s="57"/>
      <c r="BP167" s="58" t="s">
        <v>1152</v>
      </c>
      <c r="BQ167" s="57"/>
      <c r="BR167" s="57"/>
    </row>
    <row r="168">
      <c r="A168" s="176">
        <v>164.0</v>
      </c>
      <c r="B168" s="177" t="s">
        <v>1456</v>
      </c>
      <c r="C168" s="178" t="s">
        <v>1457</v>
      </c>
      <c r="D168" s="176">
        <v>2.5</v>
      </c>
      <c r="E168" s="176">
        <v>0.5</v>
      </c>
      <c r="F168" s="176">
        <v>0.0</v>
      </c>
      <c r="G168" s="176">
        <v>0.3</v>
      </c>
      <c r="H168" s="176">
        <v>0.0</v>
      </c>
      <c r="I168" s="245">
        <v>0.0</v>
      </c>
      <c r="J168" s="106">
        <v>0.0</v>
      </c>
      <c r="K168" s="106">
        <v>0.0</v>
      </c>
      <c r="L168" s="106">
        <v>3.0</v>
      </c>
      <c r="M168" s="106">
        <v>0.0</v>
      </c>
      <c r="N168" s="106">
        <v>0.0</v>
      </c>
      <c r="O168" s="106">
        <v>0.0</v>
      </c>
      <c r="P168" s="180">
        <v>1.0</v>
      </c>
      <c r="Q168" s="180">
        <v>1.0</v>
      </c>
      <c r="R168" s="62"/>
      <c r="S168" s="182">
        <v>0.14</v>
      </c>
      <c r="T168" s="183">
        <v>0.0</v>
      </c>
      <c r="U168" s="183">
        <v>0.0</v>
      </c>
      <c r="V168" s="183">
        <v>0.03</v>
      </c>
      <c r="W168" s="183">
        <v>0.0</v>
      </c>
      <c r="X168" s="62"/>
      <c r="Y168" s="176">
        <v>0.0</v>
      </c>
      <c r="Z168" s="176">
        <v>0.0</v>
      </c>
      <c r="AA168" s="176">
        <v>0.0</v>
      </c>
      <c r="AB168" s="176">
        <v>0.0</v>
      </c>
      <c r="AC168" s="176">
        <v>0.0</v>
      </c>
      <c r="AD168" s="176">
        <v>0.0</v>
      </c>
      <c r="AE168" s="176">
        <v>0.0</v>
      </c>
      <c r="AF168" s="62"/>
      <c r="AG168" s="57"/>
      <c r="AH168" s="54"/>
      <c r="AI168" s="54"/>
      <c r="AJ168" s="54"/>
      <c r="AK168" s="54"/>
      <c r="AL168" s="47"/>
      <c r="AM168" s="54"/>
      <c r="AN168" s="62"/>
      <c r="AO168" s="184">
        <f t="shared" ref="AO168:AS168" si="327">ROUND(E168*(5/12)+K168*(5/12)+S168+Y168-AG168,2)</f>
        <v>0.35</v>
      </c>
      <c r="AP168" s="184">
        <f t="shared" si="327"/>
        <v>1.25</v>
      </c>
      <c r="AQ168" s="184">
        <f t="shared" si="327"/>
        <v>0.13</v>
      </c>
      <c r="AR168" s="184">
        <f t="shared" si="327"/>
        <v>0.03</v>
      </c>
      <c r="AS168" s="184">
        <f t="shared" si="327"/>
        <v>0</v>
      </c>
      <c r="AT168" s="184">
        <f t="shared" ref="AT168:AU168" si="328">P168+AD168-AL168</f>
        <v>1</v>
      </c>
      <c r="AU168" s="184">
        <f t="shared" si="328"/>
        <v>1</v>
      </c>
      <c r="AV168" s="62"/>
      <c r="AW168" s="202"/>
      <c r="AX168" s="202"/>
      <c r="AY168" s="202"/>
      <c r="AZ168" s="202"/>
      <c r="BA168" s="202"/>
      <c r="BB168" s="202"/>
      <c r="BC168" s="202"/>
      <c r="BD168" s="203"/>
      <c r="BE168" s="62"/>
      <c r="BF168" s="62"/>
      <c r="BG168" s="62"/>
      <c r="BH168" s="54"/>
      <c r="BI168" s="54"/>
      <c r="BJ168" s="54"/>
      <c r="BK168" s="54"/>
      <c r="BL168" s="54"/>
      <c r="BM168" s="54"/>
      <c r="BN168" s="54"/>
      <c r="BO168" s="57"/>
      <c r="BP168" s="58"/>
      <c r="BQ168" s="57"/>
      <c r="BR168" s="57"/>
    </row>
    <row r="169">
      <c r="A169" s="176">
        <v>165.0</v>
      </c>
      <c r="B169" s="267" t="s">
        <v>1458</v>
      </c>
      <c r="C169" s="178" t="s">
        <v>1457</v>
      </c>
      <c r="D169" s="176">
        <v>3.455</v>
      </c>
      <c r="E169" s="176">
        <v>0.0</v>
      </c>
      <c r="F169" s="176">
        <v>0.3</v>
      </c>
      <c r="G169" s="176">
        <v>0.0</v>
      </c>
      <c r="H169" s="176">
        <v>0.15</v>
      </c>
      <c r="I169" s="245">
        <v>0.15</v>
      </c>
      <c r="J169" s="258"/>
      <c r="K169" s="268"/>
      <c r="L169" s="258"/>
      <c r="M169" s="258"/>
      <c r="N169" s="268"/>
      <c r="O169" s="269"/>
      <c r="P169" s="180">
        <v>1.0</v>
      </c>
      <c r="Q169" s="180">
        <v>1.0</v>
      </c>
      <c r="R169" s="62"/>
      <c r="S169" s="187">
        <v>0.02</v>
      </c>
      <c r="T169" s="188">
        <v>0.0</v>
      </c>
      <c r="U169" s="188">
        <v>0.0</v>
      </c>
      <c r="V169" s="188">
        <v>0.04</v>
      </c>
      <c r="W169" s="188">
        <v>0.0</v>
      </c>
      <c r="X169" s="62"/>
      <c r="Y169" s="176">
        <v>0.0</v>
      </c>
      <c r="Z169" s="176">
        <v>0.0</v>
      </c>
      <c r="AA169" s="176">
        <v>0.0</v>
      </c>
      <c r="AB169" s="176">
        <v>0.0</v>
      </c>
      <c r="AC169" s="176">
        <v>0.0</v>
      </c>
      <c r="AD169" s="176">
        <v>0.0</v>
      </c>
      <c r="AE169" s="176">
        <v>0.0</v>
      </c>
      <c r="AF169" s="62"/>
      <c r="AG169" s="54"/>
      <c r="AH169" s="54"/>
      <c r="AI169" s="54"/>
      <c r="AJ169" s="47"/>
      <c r="AK169" s="54"/>
      <c r="AL169" s="54"/>
      <c r="AM169" s="47"/>
      <c r="AN169" s="62"/>
      <c r="AO169" s="184">
        <f t="shared" ref="AO169:AS169" si="329">ROUND(E169*(5/12)+K169*(5/12)+S169+Y169-AG169,2)</f>
        <v>0.02</v>
      </c>
      <c r="AP169" s="184">
        <f t="shared" si="329"/>
        <v>0.13</v>
      </c>
      <c r="AQ169" s="184">
        <f t="shared" si="329"/>
        <v>0</v>
      </c>
      <c r="AR169" s="184">
        <f t="shared" si="329"/>
        <v>0.1</v>
      </c>
      <c r="AS169" s="184">
        <f t="shared" si="329"/>
        <v>0.06</v>
      </c>
      <c r="AT169" s="184">
        <f t="shared" ref="AT169:AU169" si="330">P169+AD169-AL169</f>
        <v>1</v>
      </c>
      <c r="AU169" s="184">
        <f t="shared" si="330"/>
        <v>1</v>
      </c>
      <c r="AV169" s="62"/>
      <c r="AW169" s="202"/>
      <c r="AX169" s="202"/>
      <c r="AY169" s="202"/>
      <c r="AZ169" s="202"/>
      <c r="BA169" s="202"/>
      <c r="BB169" s="202"/>
      <c r="BC169" s="202"/>
      <c r="BD169" s="228"/>
      <c r="BE169" s="62"/>
      <c r="BF169" s="62"/>
      <c r="BG169" s="62"/>
      <c r="BH169" s="54"/>
      <c r="BI169" s="54"/>
      <c r="BJ169" s="54"/>
      <c r="BK169" s="54"/>
      <c r="BL169" s="54"/>
      <c r="BM169" s="54"/>
      <c r="BN169" s="54"/>
      <c r="BO169" s="57"/>
      <c r="BP169" s="58"/>
      <c r="BQ169" s="57"/>
      <c r="BR169" s="57"/>
    </row>
    <row r="170">
      <c r="A170" s="176">
        <v>166.0</v>
      </c>
      <c r="B170" s="270" t="s">
        <v>1459</v>
      </c>
      <c r="C170" s="178" t="s">
        <v>1457</v>
      </c>
      <c r="D170" s="176">
        <v>3.33</v>
      </c>
      <c r="E170" s="176">
        <v>0.7</v>
      </c>
      <c r="F170" s="176">
        <v>0.0</v>
      </c>
      <c r="G170" s="176">
        <v>0.0</v>
      </c>
      <c r="H170" s="176">
        <v>0.0</v>
      </c>
      <c r="I170" s="245">
        <v>0.0</v>
      </c>
      <c r="J170" s="258"/>
      <c r="K170" s="258"/>
      <c r="L170" s="258"/>
      <c r="M170" s="258"/>
      <c r="N170" s="269"/>
      <c r="O170" s="258"/>
      <c r="P170" s="180">
        <v>1.0</v>
      </c>
      <c r="Q170" s="180">
        <v>1.0</v>
      </c>
      <c r="R170" s="62"/>
      <c r="S170" s="182">
        <v>0.0</v>
      </c>
      <c r="T170" s="183">
        <v>0.0</v>
      </c>
      <c r="U170" s="183">
        <v>0.0</v>
      </c>
      <c r="V170" s="183">
        <v>0.12</v>
      </c>
      <c r="W170" s="183">
        <v>0.0</v>
      </c>
      <c r="X170" s="62"/>
      <c r="Y170" s="176">
        <v>0.0</v>
      </c>
      <c r="Z170" s="176">
        <v>0.0</v>
      </c>
      <c r="AA170" s="176">
        <v>0.0</v>
      </c>
      <c r="AB170" s="176">
        <v>0.0</v>
      </c>
      <c r="AC170" s="176">
        <v>0.0</v>
      </c>
      <c r="AD170" s="176">
        <v>0.0</v>
      </c>
      <c r="AE170" s="176">
        <v>0.0</v>
      </c>
      <c r="AF170" s="62"/>
      <c r="AG170" s="54"/>
      <c r="AH170" s="54"/>
      <c r="AI170" s="54"/>
      <c r="AJ170" s="54"/>
      <c r="AK170" s="54"/>
      <c r="AL170" s="54"/>
      <c r="AM170" s="47">
        <v>0.42</v>
      </c>
      <c r="AN170" s="62"/>
      <c r="AO170" s="184">
        <f t="shared" ref="AO170:AS170" si="331">ROUND(E170*(5/12)+K170*(5/12)+S170+Y170-AG170,2)</f>
        <v>0.29</v>
      </c>
      <c r="AP170" s="184">
        <f t="shared" si="331"/>
        <v>0</v>
      </c>
      <c r="AQ170" s="184">
        <f t="shared" si="331"/>
        <v>0</v>
      </c>
      <c r="AR170" s="184">
        <f t="shared" si="331"/>
        <v>0.12</v>
      </c>
      <c r="AS170" s="184">
        <f t="shared" si="331"/>
        <v>0</v>
      </c>
      <c r="AT170" s="184">
        <f t="shared" ref="AT170:AU170" si="332">P170+AD170-AL170</f>
        <v>1</v>
      </c>
      <c r="AU170" s="184">
        <f t="shared" si="332"/>
        <v>0.58</v>
      </c>
      <c r="AV170" s="62"/>
      <c r="AW170" s="202"/>
      <c r="AX170" s="202"/>
      <c r="AY170" s="202"/>
      <c r="AZ170" s="202"/>
      <c r="BA170" s="202"/>
      <c r="BB170" s="202"/>
      <c r="BC170" s="202"/>
      <c r="BD170" s="203"/>
      <c r="BE170" s="62"/>
      <c r="BF170" s="62"/>
      <c r="BG170" s="62"/>
      <c r="BH170" s="54"/>
      <c r="BI170" s="54"/>
      <c r="BJ170" s="54"/>
      <c r="BK170" s="54"/>
      <c r="BL170" s="54"/>
      <c r="BM170" s="54"/>
      <c r="BN170" s="54"/>
      <c r="BO170" s="57"/>
      <c r="BP170" s="58"/>
      <c r="BQ170" s="57"/>
      <c r="BR170" s="57"/>
    </row>
    <row r="171">
      <c r="A171" s="176">
        <v>167.0</v>
      </c>
      <c r="B171" s="139" t="s">
        <v>1460</v>
      </c>
      <c r="C171" s="178" t="s">
        <v>1461</v>
      </c>
      <c r="D171" s="176">
        <v>3.0</v>
      </c>
      <c r="E171" s="176">
        <v>0.0</v>
      </c>
      <c r="F171" s="176">
        <v>0.0</v>
      </c>
      <c r="G171" s="176">
        <v>0.0</v>
      </c>
      <c r="H171" s="176">
        <v>0.0</v>
      </c>
      <c r="I171" s="245">
        <v>0.0</v>
      </c>
      <c r="J171" s="106">
        <v>3.0</v>
      </c>
      <c r="K171" s="106">
        <v>0.0</v>
      </c>
      <c r="L171" s="106">
        <v>0.0</v>
      </c>
      <c r="M171" s="106">
        <v>0.0</v>
      </c>
      <c r="N171" s="106">
        <v>0.0</v>
      </c>
      <c r="O171" s="106">
        <v>0.0</v>
      </c>
      <c r="P171" s="180">
        <v>1.0</v>
      </c>
      <c r="Q171" s="180">
        <v>1.0</v>
      </c>
      <c r="R171" s="62"/>
      <c r="S171" s="182">
        <v>0.0</v>
      </c>
      <c r="T171" s="183">
        <v>0.02</v>
      </c>
      <c r="U171" s="183">
        <v>0.0</v>
      </c>
      <c r="V171" s="183">
        <v>0.0</v>
      </c>
      <c r="W171" s="183">
        <v>0.01</v>
      </c>
      <c r="X171" s="62"/>
      <c r="Y171" s="176">
        <v>0.0</v>
      </c>
      <c r="Z171" s="176">
        <v>0.0</v>
      </c>
      <c r="AA171" s="176">
        <v>0.0</v>
      </c>
      <c r="AB171" s="176">
        <v>0.0</v>
      </c>
      <c r="AC171" s="176">
        <v>0.0</v>
      </c>
      <c r="AD171" s="176">
        <v>0.0</v>
      </c>
      <c r="AE171" s="176">
        <v>0.0</v>
      </c>
      <c r="AF171" s="62"/>
      <c r="AG171" s="54"/>
      <c r="AH171" s="54"/>
      <c r="AI171" s="54"/>
      <c r="AJ171" s="54"/>
      <c r="AK171" s="54"/>
      <c r="AL171" s="54"/>
      <c r="AM171" s="54"/>
      <c r="AN171" s="62"/>
      <c r="AO171" s="184">
        <f t="shared" ref="AO171:AS171" si="333">ROUND(E171*(5/12)+K171*(5/12)+S171+Y171-AG171,2)</f>
        <v>0</v>
      </c>
      <c r="AP171" s="184">
        <f t="shared" si="333"/>
        <v>0.02</v>
      </c>
      <c r="AQ171" s="184">
        <f t="shared" si="333"/>
        <v>0</v>
      </c>
      <c r="AR171" s="184">
        <f t="shared" si="333"/>
        <v>0</v>
      </c>
      <c r="AS171" s="184">
        <f t="shared" si="333"/>
        <v>0.01</v>
      </c>
      <c r="AT171" s="184">
        <f t="shared" ref="AT171:AU171" si="334">P171+AD171-AL171</f>
        <v>1</v>
      </c>
      <c r="AU171" s="184">
        <f t="shared" si="334"/>
        <v>1</v>
      </c>
      <c r="AV171" s="62"/>
      <c r="AW171" s="176" t="s">
        <v>913</v>
      </c>
      <c r="AX171" s="176">
        <v>0.0</v>
      </c>
      <c r="AY171" s="176" t="s">
        <v>913</v>
      </c>
      <c r="AZ171" s="176" t="s">
        <v>913</v>
      </c>
      <c r="BA171" s="176">
        <v>0.0</v>
      </c>
      <c r="BB171" s="176">
        <v>1.0</v>
      </c>
      <c r="BC171" s="176">
        <v>0.0</v>
      </c>
      <c r="BD171" s="180" t="s">
        <v>1462</v>
      </c>
      <c r="BE171" s="62"/>
      <c r="BF171" s="62"/>
      <c r="BG171" s="62"/>
      <c r="BH171" s="54"/>
      <c r="BI171" s="54"/>
      <c r="BJ171" s="54"/>
      <c r="BK171" s="54"/>
      <c r="BL171" s="54"/>
      <c r="BM171" s="54"/>
      <c r="BN171" s="54"/>
      <c r="BO171" s="57"/>
      <c r="BP171" s="58" t="s">
        <v>1152</v>
      </c>
      <c r="BQ171" s="57"/>
      <c r="BR171" s="58" t="s">
        <v>1463</v>
      </c>
    </row>
    <row r="172">
      <c r="A172" s="176">
        <v>168.0</v>
      </c>
      <c r="B172" s="139" t="s">
        <v>1464</v>
      </c>
      <c r="C172" s="178" t="s">
        <v>1461</v>
      </c>
      <c r="D172" s="176">
        <v>4.75</v>
      </c>
      <c r="E172" s="176">
        <v>0.0</v>
      </c>
      <c r="F172" s="176">
        <v>0.2</v>
      </c>
      <c r="G172" s="176">
        <v>0.0</v>
      </c>
      <c r="H172" s="176">
        <v>0.0</v>
      </c>
      <c r="I172" s="245">
        <v>0.0</v>
      </c>
      <c r="J172" s="106">
        <v>3.75</v>
      </c>
      <c r="K172" s="106">
        <v>0.0</v>
      </c>
      <c r="L172" s="106">
        <v>0.25</v>
      </c>
      <c r="M172" s="106">
        <v>0.0</v>
      </c>
      <c r="N172" s="106">
        <v>0.0</v>
      </c>
      <c r="O172" s="106">
        <v>0.0</v>
      </c>
      <c r="P172" s="180">
        <v>1.0</v>
      </c>
      <c r="Q172" s="180">
        <v>1.0</v>
      </c>
      <c r="R172" s="62"/>
      <c r="S172" s="187">
        <v>0.07</v>
      </c>
      <c r="T172" s="188">
        <v>0.02</v>
      </c>
      <c r="U172" s="188">
        <v>0.0</v>
      </c>
      <c r="V172" s="188">
        <v>0.0</v>
      </c>
      <c r="W172" s="188">
        <v>0.01</v>
      </c>
      <c r="X172" s="62"/>
      <c r="Y172" s="176">
        <v>0.0</v>
      </c>
      <c r="Z172" s="176">
        <v>0.0</v>
      </c>
      <c r="AA172" s="176">
        <v>0.0</v>
      </c>
      <c r="AB172" s="176">
        <v>0.0</v>
      </c>
      <c r="AC172" s="176">
        <v>0.0</v>
      </c>
      <c r="AD172" s="176">
        <v>0.0</v>
      </c>
      <c r="AE172" s="176">
        <v>0.0</v>
      </c>
      <c r="AF172" s="62"/>
      <c r="AG172" s="54"/>
      <c r="AH172" s="54"/>
      <c r="AI172" s="54"/>
      <c r="AJ172" s="47"/>
      <c r="AK172" s="54"/>
      <c r="AL172" s="54"/>
      <c r="AM172" s="54"/>
      <c r="AN172" s="62"/>
      <c r="AO172" s="184">
        <f t="shared" ref="AO172:AS172" si="335">ROUND(E172*(5/12)+K172*(5/12)+S172+Y172-AG172,2)</f>
        <v>0.07</v>
      </c>
      <c r="AP172" s="184">
        <f t="shared" si="335"/>
        <v>0.21</v>
      </c>
      <c r="AQ172" s="184">
        <f t="shared" si="335"/>
        <v>0</v>
      </c>
      <c r="AR172" s="184">
        <f t="shared" si="335"/>
        <v>0</v>
      </c>
      <c r="AS172" s="184">
        <f t="shared" si="335"/>
        <v>0.01</v>
      </c>
      <c r="AT172" s="184">
        <f t="shared" ref="AT172:AU172" si="336">P172+AD172-AL172</f>
        <v>1</v>
      </c>
      <c r="AU172" s="184">
        <f t="shared" si="336"/>
        <v>1</v>
      </c>
      <c r="AV172" s="62"/>
      <c r="AW172" s="202"/>
      <c r="AX172" s="202"/>
      <c r="AY172" s="202"/>
      <c r="AZ172" s="202"/>
      <c r="BA172" s="202"/>
      <c r="BB172" s="202"/>
      <c r="BC172" s="202"/>
      <c r="BD172" s="228"/>
      <c r="BE172" s="62"/>
      <c r="BF172" s="62"/>
      <c r="BG172" s="62"/>
      <c r="BH172" s="54"/>
      <c r="BI172" s="54"/>
      <c r="BJ172" s="54"/>
      <c r="BK172" s="54"/>
      <c r="BL172" s="54"/>
      <c r="BM172" s="54"/>
      <c r="BN172" s="54"/>
      <c r="BO172" s="57"/>
      <c r="BP172" s="58"/>
      <c r="BQ172" s="57"/>
      <c r="BR172" s="57"/>
    </row>
    <row r="173">
      <c r="A173" s="176">
        <v>169.0</v>
      </c>
      <c r="B173" s="227" t="s">
        <v>1465</v>
      </c>
      <c r="C173" s="178" t="s">
        <v>1461</v>
      </c>
      <c r="D173" s="176">
        <v>4.5</v>
      </c>
      <c r="E173" s="176">
        <v>1.0</v>
      </c>
      <c r="F173" s="176">
        <v>0.0</v>
      </c>
      <c r="G173" s="176">
        <v>0.4</v>
      </c>
      <c r="H173" s="176"/>
      <c r="I173" s="245">
        <v>0.25</v>
      </c>
      <c r="J173" s="106">
        <v>2.33</v>
      </c>
      <c r="K173" s="106">
        <v>1.0</v>
      </c>
      <c r="L173" s="106">
        <v>0.0</v>
      </c>
      <c r="M173" s="106">
        <v>0.42</v>
      </c>
      <c r="N173" s="106">
        <v>0.0</v>
      </c>
      <c r="O173" s="106">
        <v>0.25</v>
      </c>
      <c r="P173" s="180">
        <v>1.0</v>
      </c>
      <c r="Q173" s="180">
        <v>1.0</v>
      </c>
      <c r="R173" s="62"/>
      <c r="S173" s="187">
        <v>0.13</v>
      </c>
      <c r="T173" s="188">
        <v>0.03</v>
      </c>
      <c r="U173" s="188">
        <v>0.07</v>
      </c>
      <c r="V173" s="188">
        <v>0.0</v>
      </c>
      <c r="W173" s="188">
        <v>0.01</v>
      </c>
      <c r="X173" s="62"/>
      <c r="Y173" s="176">
        <v>0.0</v>
      </c>
      <c r="Z173" s="176">
        <v>0.0</v>
      </c>
      <c r="AA173" s="176">
        <v>0.0</v>
      </c>
      <c r="AB173" s="176">
        <v>0.0</v>
      </c>
      <c r="AC173" s="176">
        <v>0.0</v>
      </c>
      <c r="AD173" s="176">
        <v>0.0</v>
      </c>
      <c r="AE173" s="176">
        <v>0.0</v>
      </c>
      <c r="AF173" s="62"/>
      <c r="AG173" s="47">
        <v>0.44</v>
      </c>
      <c r="AH173" s="47">
        <v>0.13</v>
      </c>
      <c r="AI173" s="54"/>
      <c r="AJ173" s="54"/>
      <c r="AK173" s="47">
        <v>0.017</v>
      </c>
      <c r="AL173" s="54"/>
      <c r="AM173" s="54"/>
      <c r="AN173" s="62"/>
      <c r="AO173" s="184">
        <f t="shared" ref="AO173:AS173" si="337">ROUND(E173*(5/12)+K173*(5/12)+S173+Y173-AG173,2)</f>
        <v>0.52</v>
      </c>
      <c r="AP173" s="184">
        <f t="shared" si="337"/>
        <v>-0.1</v>
      </c>
      <c r="AQ173" s="184">
        <f t="shared" si="337"/>
        <v>0.41</v>
      </c>
      <c r="AR173" s="184">
        <f t="shared" si="337"/>
        <v>0</v>
      </c>
      <c r="AS173" s="184">
        <f t="shared" si="337"/>
        <v>0.2</v>
      </c>
      <c r="AT173" s="184">
        <f t="shared" ref="AT173:AU173" si="338">P173+AD173-AL173</f>
        <v>1</v>
      </c>
      <c r="AU173" s="184">
        <f t="shared" si="338"/>
        <v>1</v>
      </c>
      <c r="AV173" s="62"/>
      <c r="AW173" s="176">
        <v>0.0</v>
      </c>
      <c r="AX173" s="176">
        <v>0.0</v>
      </c>
      <c r="AY173" s="176">
        <v>0.4</v>
      </c>
      <c r="AZ173" s="176" t="s">
        <v>913</v>
      </c>
      <c r="BA173" s="176">
        <v>0.08</v>
      </c>
      <c r="BB173" s="176">
        <v>0.0</v>
      </c>
      <c r="BC173" s="176">
        <v>1.0</v>
      </c>
      <c r="BD173" s="180" t="s">
        <v>1466</v>
      </c>
      <c r="BE173" s="62"/>
      <c r="BF173" s="62"/>
      <c r="BG173" s="62"/>
      <c r="BH173" s="54"/>
      <c r="BI173" s="54"/>
      <c r="BJ173" s="54"/>
      <c r="BK173" s="54"/>
      <c r="BL173" s="54"/>
      <c r="BM173" s="54"/>
      <c r="BN173" s="54"/>
      <c r="BO173" s="57"/>
      <c r="BP173" s="58" t="s">
        <v>1152</v>
      </c>
      <c r="BQ173" s="57"/>
      <c r="BR173" s="57"/>
    </row>
    <row r="174">
      <c r="A174" s="176">
        <v>170.0</v>
      </c>
      <c r="B174" s="177" t="s">
        <v>1467</v>
      </c>
      <c r="C174" s="178" t="s">
        <v>1461</v>
      </c>
      <c r="D174" s="245">
        <v>4.33</v>
      </c>
      <c r="E174" s="245">
        <v>0.0</v>
      </c>
      <c r="F174" s="245">
        <v>0.2</v>
      </c>
      <c r="G174" s="245">
        <v>0.3</v>
      </c>
      <c r="H174" s="245">
        <v>0.25</v>
      </c>
      <c r="I174" s="245">
        <v>0.0</v>
      </c>
      <c r="J174" s="106">
        <v>3.17</v>
      </c>
      <c r="K174" s="106">
        <v>0.0</v>
      </c>
      <c r="L174" s="106">
        <v>0.3</v>
      </c>
      <c r="M174" s="106">
        <v>0.7</v>
      </c>
      <c r="N174" s="106">
        <v>0.2</v>
      </c>
      <c r="O174" s="106">
        <v>0.0</v>
      </c>
      <c r="P174" s="180">
        <v>1.0</v>
      </c>
      <c r="Q174" s="180">
        <v>1.0</v>
      </c>
      <c r="R174" s="62"/>
      <c r="S174" s="187">
        <v>0.13</v>
      </c>
      <c r="T174" s="188">
        <v>0.03</v>
      </c>
      <c r="U174" s="188">
        <v>0.0</v>
      </c>
      <c r="V174" s="188">
        <v>0.0</v>
      </c>
      <c r="W174" s="188">
        <v>0.01</v>
      </c>
      <c r="X174" s="62"/>
      <c r="Y174" s="176">
        <v>0.0</v>
      </c>
      <c r="Z174" s="176">
        <v>0.0</v>
      </c>
      <c r="AA174" s="176">
        <v>0.0</v>
      </c>
      <c r="AB174" s="176">
        <v>0.0</v>
      </c>
      <c r="AC174" s="176">
        <v>0.0</v>
      </c>
      <c r="AD174" s="176">
        <v>0.0</v>
      </c>
      <c r="AE174" s="176">
        <v>0.0</v>
      </c>
      <c r="AF174" s="62"/>
      <c r="AG174" s="47">
        <v>0.07</v>
      </c>
      <c r="AH174" s="54"/>
      <c r="AI174" s="54"/>
      <c r="AJ174" s="54"/>
      <c r="AK174" s="54"/>
      <c r="AL174" s="54"/>
      <c r="AM174" s="54"/>
      <c r="AN174" s="62"/>
      <c r="AO174" s="184">
        <f t="shared" ref="AO174:AS174" si="339">ROUND(E174*(5/12)+K174*(5/12)+S174+Y174-AG174,2)</f>
        <v>0.06</v>
      </c>
      <c r="AP174" s="184">
        <f t="shared" si="339"/>
        <v>0.24</v>
      </c>
      <c r="AQ174" s="184">
        <f t="shared" si="339"/>
        <v>0.42</v>
      </c>
      <c r="AR174" s="184">
        <f t="shared" si="339"/>
        <v>0.19</v>
      </c>
      <c r="AS174" s="184">
        <f t="shared" si="339"/>
        <v>0.01</v>
      </c>
      <c r="AT174" s="184">
        <f t="shared" ref="AT174:AU174" si="340">P174+AD174-AL174</f>
        <v>1</v>
      </c>
      <c r="AU174" s="184">
        <f t="shared" si="340"/>
        <v>1</v>
      </c>
      <c r="AV174" s="62"/>
      <c r="AW174" s="176">
        <v>0.0</v>
      </c>
      <c r="AX174" s="176">
        <v>0.0</v>
      </c>
      <c r="AY174" s="176">
        <v>0.2</v>
      </c>
      <c r="AZ174" s="176">
        <v>0.33</v>
      </c>
      <c r="BA174" s="176">
        <v>0.0</v>
      </c>
      <c r="BB174" s="176">
        <v>0.0</v>
      </c>
      <c r="BC174" s="176">
        <v>1.0</v>
      </c>
      <c r="BD174" s="191" t="s">
        <v>1468</v>
      </c>
      <c r="BE174" s="62"/>
      <c r="BF174" s="62"/>
      <c r="BG174" s="62"/>
      <c r="BH174" s="54"/>
      <c r="BI174" s="54"/>
      <c r="BJ174" s="54"/>
      <c r="BK174" s="54"/>
      <c r="BL174" s="54"/>
      <c r="BM174" s="54"/>
      <c r="BN174" s="54"/>
      <c r="BO174" s="57"/>
      <c r="BP174" s="58" t="s">
        <v>1152</v>
      </c>
      <c r="BQ174" s="57"/>
      <c r="BR174" s="57"/>
    </row>
    <row r="175">
      <c r="A175" s="176">
        <v>171.0</v>
      </c>
      <c r="B175" s="177" t="s">
        <v>1469</v>
      </c>
      <c r="C175" s="178" t="s">
        <v>1461</v>
      </c>
      <c r="D175" s="245">
        <v>5.33</v>
      </c>
      <c r="E175" s="245">
        <v>1.0</v>
      </c>
      <c r="F175" s="245">
        <v>0.0</v>
      </c>
      <c r="G175" s="245">
        <v>0.0</v>
      </c>
      <c r="H175" s="245">
        <v>0.25</v>
      </c>
      <c r="I175" s="245">
        <v>0.0</v>
      </c>
      <c r="J175" s="106">
        <v>2.67</v>
      </c>
      <c r="K175" s="106">
        <v>1.0</v>
      </c>
      <c r="L175" s="106">
        <v>0.0</v>
      </c>
      <c r="M175" s="106">
        <v>0.0</v>
      </c>
      <c r="N175" s="106">
        <v>0.33</v>
      </c>
      <c r="O175" s="106">
        <v>0.0</v>
      </c>
      <c r="P175" s="180">
        <v>1.0</v>
      </c>
      <c r="Q175" s="180">
        <v>1.0</v>
      </c>
      <c r="R175" s="62"/>
      <c r="S175" s="187">
        <v>0.08</v>
      </c>
      <c r="T175" s="188">
        <v>0.02</v>
      </c>
      <c r="U175" s="188">
        <v>0.03</v>
      </c>
      <c r="V175" s="188">
        <v>0.0</v>
      </c>
      <c r="W175" s="188">
        <v>0.01</v>
      </c>
      <c r="X175" s="62"/>
      <c r="Y175" s="176">
        <v>0.0</v>
      </c>
      <c r="Z175" s="176">
        <v>0.0</v>
      </c>
      <c r="AA175" s="176">
        <v>0.0</v>
      </c>
      <c r="AB175" s="176">
        <v>0.0</v>
      </c>
      <c r="AC175" s="176">
        <v>0.0</v>
      </c>
      <c r="AD175" s="176">
        <v>0.0</v>
      </c>
      <c r="AE175" s="176">
        <v>0.0</v>
      </c>
      <c r="AF175" s="62"/>
      <c r="AG175" s="47">
        <v>0.02</v>
      </c>
      <c r="AH175" s="54"/>
      <c r="AI175" s="54"/>
      <c r="AJ175" s="54"/>
      <c r="AK175" s="54"/>
      <c r="AL175" s="54"/>
      <c r="AM175" s="54"/>
      <c r="AN175" s="62"/>
      <c r="AO175" s="184">
        <f t="shared" ref="AO175:AS175" si="341">ROUND(E175*(5/12)+K175*(5/12)+S175+Y175-AG175,2)</f>
        <v>0.89</v>
      </c>
      <c r="AP175" s="184">
        <f t="shared" si="341"/>
        <v>0.02</v>
      </c>
      <c r="AQ175" s="184">
        <f t="shared" si="341"/>
        <v>0.03</v>
      </c>
      <c r="AR175" s="184">
        <f t="shared" si="341"/>
        <v>0.24</v>
      </c>
      <c r="AS175" s="184">
        <f t="shared" si="341"/>
        <v>0.01</v>
      </c>
      <c r="AT175" s="184">
        <f t="shared" ref="AT175:AU175" si="342">P175+AD175-AL175</f>
        <v>1</v>
      </c>
      <c r="AU175" s="184">
        <f t="shared" si="342"/>
        <v>1</v>
      </c>
      <c r="AV175" s="62"/>
      <c r="AW175" s="176">
        <v>1.0</v>
      </c>
      <c r="AX175" s="176">
        <v>0.0</v>
      </c>
      <c r="AY175" s="176">
        <v>0.01</v>
      </c>
      <c r="AZ175" s="176">
        <v>0.33</v>
      </c>
      <c r="BA175" s="176">
        <v>0.0</v>
      </c>
      <c r="BB175" s="176">
        <v>1.0</v>
      </c>
      <c r="BC175" s="176">
        <v>1.0</v>
      </c>
      <c r="BD175" s="191" t="s">
        <v>1470</v>
      </c>
      <c r="BE175" s="62"/>
      <c r="BF175" s="62"/>
      <c r="BG175" s="62"/>
      <c r="BH175" s="54"/>
      <c r="BI175" s="54"/>
      <c r="BJ175" s="54"/>
      <c r="BK175" s="54"/>
      <c r="BL175" s="54"/>
      <c r="BM175" s="54"/>
      <c r="BN175" s="54"/>
      <c r="BO175" s="57"/>
      <c r="BP175" s="58" t="s">
        <v>1152</v>
      </c>
      <c r="BQ175" s="57"/>
      <c r="BR175" s="57"/>
    </row>
    <row r="176">
      <c r="A176" s="176">
        <v>172.0</v>
      </c>
      <c r="B176" s="177" t="s">
        <v>1471</v>
      </c>
      <c r="C176" s="178" t="s">
        <v>1461</v>
      </c>
      <c r="D176" s="245">
        <v>5.83</v>
      </c>
      <c r="E176" s="245">
        <v>0.0</v>
      </c>
      <c r="F176" s="245">
        <v>0.3</v>
      </c>
      <c r="G176" s="245">
        <v>0.0</v>
      </c>
      <c r="H176" s="245">
        <v>0.0</v>
      </c>
      <c r="I176" s="245">
        <v>0.0</v>
      </c>
      <c r="J176" s="106">
        <v>3.8</v>
      </c>
      <c r="K176" s="106">
        <v>0.0</v>
      </c>
      <c r="L176" s="106">
        <v>0.2</v>
      </c>
      <c r="M176" s="106">
        <v>0.0</v>
      </c>
      <c r="N176" s="106">
        <v>0.0</v>
      </c>
      <c r="O176" s="106">
        <v>0.0</v>
      </c>
      <c r="P176" s="180">
        <v>1.0</v>
      </c>
      <c r="Q176" s="180">
        <v>1.0</v>
      </c>
      <c r="R176" s="62"/>
      <c r="S176" s="187">
        <v>0.08</v>
      </c>
      <c r="T176" s="188">
        <v>0.02</v>
      </c>
      <c r="U176" s="188">
        <v>0.03</v>
      </c>
      <c r="V176" s="188">
        <v>0.05</v>
      </c>
      <c r="W176" s="188">
        <v>0.01</v>
      </c>
      <c r="X176" s="62"/>
      <c r="Y176" s="176">
        <v>0.0</v>
      </c>
      <c r="Z176" s="176">
        <v>0.0</v>
      </c>
      <c r="AA176" s="176">
        <v>0.0</v>
      </c>
      <c r="AB176" s="176">
        <v>0.0</v>
      </c>
      <c r="AC176" s="176">
        <v>0.0</v>
      </c>
      <c r="AD176" s="176">
        <v>0.0</v>
      </c>
      <c r="AE176" s="176">
        <v>0.0</v>
      </c>
      <c r="AF176" s="62"/>
      <c r="AG176" s="47">
        <v>0.27</v>
      </c>
      <c r="AH176" s="54"/>
      <c r="AI176" s="54"/>
      <c r="AJ176" s="47">
        <v>0.055</v>
      </c>
      <c r="AK176" s="54"/>
      <c r="AL176" s="54"/>
      <c r="AM176" s="54"/>
      <c r="AN176" s="62"/>
      <c r="AO176" s="184">
        <f t="shared" ref="AO176:AS176" si="343">ROUND(E176*(5/12)+K176*(5/12)+S176+Y176-AG176,2)</f>
        <v>-0.19</v>
      </c>
      <c r="AP176" s="184">
        <f t="shared" si="343"/>
        <v>0.23</v>
      </c>
      <c r="AQ176" s="184">
        <f t="shared" si="343"/>
        <v>0.03</v>
      </c>
      <c r="AR176" s="184">
        <f t="shared" si="343"/>
        <v>-0.01</v>
      </c>
      <c r="AS176" s="184">
        <f t="shared" si="343"/>
        <v>0.01</v>
      </c>
      <c r="AT176" s="184">
        <f t="shared" ref="AT176:AU176" si="344">P176+AD176-AL176</f>
        <v>1</v>
      </c>
      <c r="AU176" s="184">
        <f t="shared" si="344"/>
        <v>1</v>
      </c>
      <c r="AV176" s="62"/>
      <c r="AW176" s="176">
        <v>0.0</v>
      </c>
      <c r="AX176" s="176">
        <v>0.0</v>
      </c>
      <c r="AY176" s="176">
        <v>0.03</v>
      </c>
      <c r="AZ176" s="176">
        <v>0.0</v>
      </c>
      <c r="BA176" s="176">
        <v>0.0</v>
      </c>
      <c r="BB176" s="176">
        <v>1.0</v>
      </c>
      <c r="BC176" s="176">
        <v>1.0</v>
      </c>
      <c r="BD176" s="180" t="s">
        <v>1472</v>
      </c>
      <c r="BE176" s="62"/>
      <c r="BF176" s="62"/>
      <c r="BG176" s="62"/>
      <c r="BH176" s="54"/>
      <c r="BI176" s="54"/>
      <c r="BJ176" s="54"/>
      <c r="BK176" s="54"/>
      <c r="BL176" s="54"/>
      <c r="BM176" s="54"/>
      <c r="BN176" s="54"/>
      <c r="BO176" s="57"/>
      <c r="BP176" s="58" t="s">
        <v>1152</v>
      </c>
      <c r="BQ176" s="57"/>
      <c r="BR176" s="57"/>
    </row>
    <row r="177">
      <c r="A177" s="176">
        <v>173.0</v>
      </c>
      <c r="B177" s="139" t="s">
        <v>1473</v>
      </c>
      <c r="C177" s="178" t="s">
        <v>1461</v>
      </c>
      <c r="D177" s="245">
        <v>5.43</v>
      </c>
      <c r="E177" s="245">
        <v>1.0</v>
      </c>
      <c r="F177" s="245">
        <v>0.0</v>
      </c>
      <c r="G177" s="245">
        <v>0.3</v>
      </c>
      <c r="H177" s="245">
        <v>0.0</v>
      </c>
      <c r="I177" s="245">
        <v>0.25</v>
      </c>
      <c r="J177" s="106">
        <v>2.42</v>
      </c>
      <c r="K177" s="106">
        <v>1.0</v>
      </c>
      <c r="L177" s="106">
        <v>0.0</v>
      </c>
      <c r="M177" s="106">
        <v>0.33</v>
      </c>
      <c r="N177" s="106">
        <v>0.0</v>
      </c>
      <c r="O177" s="106">
        <v>0.25</v>
      </c>
      <c r="P177" s="180">
        <v>1.0</v>
      </c>
      <c r="Q177" s="180">
        <v>1.0</v>
      </c>
      <c r="R177" s="62"/>
      <c r="S177" s="187">
        <v>0.08</v>
      </c>
      <c r="T177" s="188">
        <v>0.02</v>
      </c>
      <c r="U177" s="188">
        <v>0.05</v>
      </c>
      <c r="V177" s="188">
        <v>0.05</v>
      </c>
      <c r="W177" s="188">
        <v>0.01</v>
      </c>
      <c r="X177" s="62"/>
      <c r="Y177" s="176">
        <v>0.0</v>
      </c>
      <c r="Z177" s="176">
        <v>0.0</v>
      </c>
      <c r="AA177" s="176">
        <v>0.0</v>
      </c>
      <c r="AB177" s="176">
        <v>0.0</v>
      </c>
      <c r="AC177" s="176">
        <v>0.0</v>
      </c>
      <c r="AD177" s="176">
        <v>0.0</v>
      </c>
      <c r="AE177" s="176">
        <v>0.0</v>
      </c>
      <c r="AF177" s="62"/>
      <c r="AG177" s="47">
        <v>0.83</v>
      </c>
      <c r="AH177" s="47">
        <v>0.003</v>
      </c>
      <c r="AI177" s="47">
        <v>0.05</v>
      </c>
      <c r="AJ177" s="47">
        <v>0.055</v>
      </c>
      <c r="AK177" s="47"/>
      <c r="AL177" s="54"/>
      <c r="AM177" s="54"/>
      <c r="AN177" s="62"/>
      <c r="AO177" s="184">
        <f t="shared" ref="AO177:AS177" si="345">ROUND(E177*(5/12)+K177*(5/12)+S177+Y177-AG177,2)</f>
        <v>0.08</v>
      </c>
      <c r="AP177" s="184">
        <f t="shared" si="345"/>
        <v>0.02</v>
      </c>
      <c r="AQ177" s="184">
        <f t="shared" si="345"/>
        <v>0.26</v>
      </c>
      <c r="AR177" s="184">
        <f t="shared" si="345"/>
        <v>-0.01</v>
      </c>
      <c r="AS177" s="184">
        <f t="shared" si="345"/>
        <v>0.22</v>
      </c>
      <c r="AT177" s="184">
        <f t="shared" ref="AT177:AU177" si="346">P177+AD177-AL177</f>
        <v>1</v>
      </c>
      <c r="AU177" s="184">
        <f t="shared" si="346"/>
        <v>1</v>
      </c>
      <c r="AV177" s="62"/>
      <c r="AW177" s="176">
        <v>1.0</v>
      </c>
      <c r="AX177" s="176">
        <v>0.0</v>
      </c>
      <c r="AY177" s="176">
        <v>0.26</v>
      </c>
      <c r="AZ177" s="176">
        <v>0.0</v>
      </c>
      <c r="BA177" s="176">
        <v>0.0</v>
      </c>
      <c r="BB177" s="176">
        <v>1.0</v>
      </c>
      <c r="BC177" s="176">
        <v>1.0</v>
      </c>
      <c r="BD177" s="196" t="s">
        <v>1474</v>
      </c>
      <c r="BE177" s="62"/>
      <c r="BF177" s="62"/>
      <c r="BG177" s="62"/>
      <c r="BH177" s="129"/>
      <c r="BI177" s="129"/>
      <c r="BJ177" s="130"/>
      <c r="BK177" s="130"/>
      <c r="BL177" s="130"/>
      <c r="BM177" s="129"/>
      <c r="BN177" s="54"/>
      <c r="BO177" s="58"/>
      <c r="BP177" s="58" t="s">
        <v>1152</v>
      </c>
      <c r="BQ177" s="57"/>
      <c r="BR177" s="58" t="s">
        <v>1475</v>
      </c>
    </row>
    <row r="178">
      <c r="A178" s="176">
        <v>174.0</v>
      </c>
      <c r="B178" s="139" t="s">
        <v>1476</v>
      </c>
      <c r="C178" s="178" t="s">
        <v>1461</v>
      </c>
      <c r="D178" s="245">
        <v>4.5</v>
      </c>
      <c r="E178" s="245">
        <v>0.5</v>
      </c>
      <c r="F178" s="245">
        <v>0.3</v>
      </c>
      <c r="G178" s="245">
        <v>0.0</v>
      </c>
      <c r="H178" s="245">
        <v>0.0</v>
      </c>
      <c r="I178" s="245">
        <v>0.0</v>
      </c>
      <c r="J178" s="106">
        <v>3.33</v>
      </c>
      <c r="K178" s="106">
        <v>0.5</v>
      </c>
      <c r="L178" s="106">
        <v>0.2</v>
      </c>
      <c r="M178" s="106">
        <v>0.0</v>
      </c>
      <c r="N178" s="106">
        <v>0.0</v>
      </c>
      <c r="O178" s="106">
        <v>0.0</v>
      </c>
      <c r="P178" s="180">
        <v>1.0</v>
      </c>
      <c r="Q178" s="180">
        <v>1.0</v>
      </c>
      <c r="R178" s="62"/>
      <c r="S178" s="187">
        <v>0.0</v>
      </c>
      <c r="T178" s="188">
        <v>0.02</v>
      </c>
      <c r="U178" s="188">
        <v>0.0</v>
      </c>
      <c r="V178" s="188">
        <v>0.0</v>
      </c>
      <c r="W178" s="188">
        <v>0.01</v>
      </c>
      <c r="X178" s="62"/>
      <c r="Y178" s="176">
        <v>0.0</v>
      </c>
      <c r="Z178" s="176">
        <v>0.0</v>
      </c>
      <c r="AA178" s="176">
        <v>0.0</v>
      </c>
      <c r="AB178" s="176">
        <v>0.0</v>
      </c>
      <c r="AC178" s="176">
        <v>0.0</v>
      </c>
      <c r="AD178" s="176">
        <v>0.0</v>
      </c>
      <c r="AE178" s="176">
        <v>0.0</v>
      </c>
      <c r="AF178" s="62"/>
      <c r="AG178" s="47">
        <v>0.52</v>
      </c>
      <c r="AH178" s="54"/>
      <c r="AI178" s="54"/>
      <c r="AJ178" s="47"/>
      <c r="AK178" s="54"/>
      <c r="AL178" s="54"/>
      <c r="AM178" s="54"/>
      <c r="AN178" s="62"/>
      <c r="AO178" s="184">
        <f t="shared" ref="AO178:AS178" si="347">ROUND(E178*(5/12)+K178*(5/12)+S178+Y178-AG178,2)</f>
        <v>-0.1</v>
      </c>
      <c r="AP178" s="184">
        <f t="shared" si="347"/>
        <v>0.23</v>
      </c>
      <c r="AQ178" s="184">
        <f t="shared" si="347"/>
        <v>0</v>
      </c>
      <c r="AR178" s="184">
        <f t="shared" si="347"/>
        <v>0</v>
      </c>
      <c r="AS178" s="184">
        <f t="shared" si="347"/>
        <v>0.01</v>
      </c>
      <c r="AT178" s="184">
        <f t="shared" ref="AT178:AU178" si="348">P178+AD178-AL178</f>
        <v>1</v>
      </c>
      <c r="AU178" s="184">
        <f t="shared" si="348"/>
        <v>1</v>
      </c>
      <c r="AV178" s="62"/>
      <c r="AW178" s="202"/>
      <c r="AX178" s="202"/>
      <c r="AY178" s="202"/>
      <c r="AZ178" s="202"/>
      <c r="BA178" s="202"/>
      <c r="BB178" s="202"/>
      <c r="BC178" s="202"/>
      <c r="BD178" s="203"/>
      <c r="BE178" s="62"/>
      <c r="BF178" s="62"/>
      <c r="BG178" s="62"/>
      <c r="BH178" s="54"/>
      <c r="BI178" s="54"/>
      <c r="BJ178" s="54"/>
      <c r="BK178" s="54"/>
      <c r="BL178" s="54"/>
      <c r="BM178" s="54"/>
      <c r="BN178" s="54"/>
      <c r="BO178" s="57"/>
      <c r="BP178" s="58" t="s">
        <v>1152</v>
      </c>
      <c r="BQ178" s="57"/>
      <c r="BR178" s="57"/>
    </row>
    <row r="179">
      <c r="A179" s="176">
        <v>175.0</v>
      </c>
      <c r="B179" s="101" t="s">
        <v>1477</v>
      </c>
      <c r="C179" s="178" t="s">
        <v>1461</v>
      </c>
      <c r="D179" s="245">
        <v>4.75</v>
      </c>
      <c r="E179" s="245">
        <v>0.5</v>
      </c>
      <c r="F179" s="245">
        <v>0.0</v>
      </c>
      <c r="G179" s="245">
        <v>0.0</v>
      </c>
      <c r="H179" s="245">
        <v>0.0</v>
      </c>
      <c r="I179" s="245">
        <v>0.0</v>
      </c>
      <c r="J179" s="106">
        <v>3.66</v>
      </c>
      <c r="K179" s="106">
        <v>0.5</v>
      </c>
      <c r="L179" s="106">
        <v>0.0</v>
      </c>
      <c r="M179" s="106">
        <v>0.0</v>
      </c>
      <c r="N179" s="106">
        <v>0.0</v>
      </c>
      <c r="O179" s="106">
        <v>0.0</v>
      </c>
      <c r="P179" s="180">
        <v>1.0</v>
      </c>
      <c r="Q179" s="180">
        <v>1.0</v>
      </c>
      <c r="R179" s="62"/>
      <c r="S179" s="182">
        <v>0.0</v>
      </c>
      <c r="T179" s="183">
        <v>0.02</v>
      </c>
      <c r="U179" s="183">
        <v>0.0</v>
      </c>
      <c r="V179" s="183">
        <v>0.0</v>
      </c>
      <c r="W179" s="183">
        <v>0.01</v>
      </c>
      <c r="X179" s="62"/>
      <c r="Y179" s="176">
        <v>0.0</v>
      </c>
      <c r="Z179" s="176">
        <v>0.0</v>
      </c>
      <c r="AA179" s="176">
        <v>0.0</v>
      </c>
      <c r="AB179" s="176">
        <v>0.0</v>
      </c>
      <c r="AC179" s="176">
        <v>0.0</v>
      </c>
      <c r="AD179" s="176">
        <v>0.0</v>
      </c>
      <c r="AE179" s="176">
        <v>0.0</v>
      </c>
      <c r="AF179" s="62"/>
      <c r="AG179" s="54"/>
      <c r="AH179" s="54"/>
      <c r="AI179" s="54"/>
      <c r="AJ179" s="54"/>
      <c r="AK179" s="54"/>
      <c r="AL179" s="54"/>
      <c r="AM179" s="54"/>
      <c r="AN179" s="62"/>
      <c r="AO179" s="184">
        <f t="shared" ref="AO179:AS179" si="349">ROUND(E179*(5/12)+K179*(5/12)+S179+Y179-AG179,2)</f>
        <v>0.42</v>
      </c>
      <c r="AP179" s="184">
        <f t="shared" si="349"/>
        <v>0.02</v>
      </c>
      <c r="AQ179" s="184">
        <f t="shared" si="349"/>
        <v>0</v>
      </c>
      <c r="AR179" s="184">
        <f t="shared" si="349"/>
        <v>0</v>
      </c>
      <c r="AS179" s="184">
        <f t="shared" si="349"/>
        <v>0.01</v>
      </c>
      <c r="AT179" s="184">
        <f t="shared" ref="AT179:AU179" si="350">P179+AD179-AL179</f>
        <v>1</v>
      </c>
      <c r="AU179" s="184">
        <f t="shared" si="350"/>
        <v>1</v>
      </c>
      <c r="AV179" s="62"/>
      <c r="AW179" s="202"/>
      <c r="AX179" s="202"/>
      <c r="AY179" s="202"/>
      <c r="AZ179" s="202"/>
      <c r="BA179" s="202"/>
      <c r="BB179" s="202"/>
      <c r="BC179" s="202"/>
      <c r="BD179" s="203"/>
      <c r="BE179" s="62"/>
      <c r="BF179" s="62"/>
      <c r="BG179" s="62"/>
      <c r="BH179" s="54"/>
      <c r="BI179" s="54"/>
      <c r="BJ179" s="54"/>
      <c r="BK179" s="54"/>
      <c r="BL179" s="54"/>
      <c r="BM179" s="54"/>
      <c r="BN179" s="54"/>
      <c r="BO179" s="57"/>
      <c r="BP179" s="57"/>
      <c r="BQ179" s="57"/>
      <c r="BR179" s="57"/>
    </row>
    <row r="180">
      <c r="A180" s="176">
        <v>176.0</v>
      </c>
      <c r="B180" s="139" t="s">
        <v>1478</v>
      </c>
      <c r="C180" s="178" t="s">
        <v>1461</v>
      </c>
      <c r="D180" s="245">
        <v>4.58</v>
      </c>
      <c r="E180" s="245">
        <v>0.0</v>
      </c>
      <c r="F180" s="245">
        <v>0.0</v>
      </c>
      <c r="G180" s="245">
        <v>0.0</v>
      </c>
      <c r="H180" s="245">
        <v>0.0</v>
      </c>
      <c r="I180" s="245">
        <v>0.0</v>
      </c>
      <c r="J180" s="106">
        <v>3.91</v>
      </c>
      <c r="K180" s="106">
        <v>0.0</v>
      </c>
      <c r="L180" s="106">
        <v>0.2</v>
      </c>
      <c r="M180" s="106">
        <v>0.0</v>
      </c>
      <c r="N180" s="106">
        <v>0.0</v>
      </c>
      <c r="O180" s="106">
        <v>0.0</v>
      </c>
      <c r="P180" s="180">
        <v>1.0</v>
      </c>
      <c r="Q180" s="180">
        <v>1.0</v>
      </c>
      <c r="R180" s="62"/>
      <c r="S180" s="182">
        <v>0.07</v>
      </c>
      <c r="T180" s="183">
        <v>0.0</v>
      </c>
      <c r="U180" s="183">
        <v>0.0</v>
      </c>
      <c r="V180" s="183">
        <v>0.0</v>
      </c>
      <c r="W180" s="183">
        <v>0.01</v>
      </c>
      <c r="X180" s="62"/>
      <c r="Y180" s="176">
        <v>0.0</v>
      </c>
      <c r="Z180" s="176">
        <v>0.0</v>
      </c>
      <c r="AA180" s="176">
        <v>0.0</v>
      </c>
      <c r="AB180" s="176">
        <v>0.0</v>
      </c>
      <c r="AC180" s="176">
        <v>0.0</v>
      </c>
      <c r="AD180" s="176">
        <v>0.0</v>
      </c>
      <c r="AE180" s="176">
        <v>0.0</v>
      </c>
      <c r="AF180" s="62"/>
      <c r="AG180" s="54"/>
      <c r="AH180" s="54"/>
      <c r="AI180" s="54"/>
      <c r="AJ180" s="54"/>
      <c r="AK180" s="54"/>
      <c r="AL180" s="54"/>
      <c r="AM180" s="54"/>
      <c r="AN180" s="62"/>
      <c r="AO180" s="184">
        <f t="shared" ref="AO180:AS180" si="351">ROUND(E180*(5/12)+K180*(5/12)+S180+Y180-AG180,2)</f>
        <v>0.07</v>
      </c>
      <c r="AP180" s="184">
        <f t="shared" si="351"/>
        <v>0.08</v>
      </c>
      <c r="AQ180" s="184">
        <f t="shared" si="351"/>
        <v>0</v>
      </c>
      <c r="AR180" s="184">
        <f t="shared" si="351"/>
        <v>0</v>
      </c>
      <c r="AS180" s="184">
        <f t="shared" si="351"/>
        <v>0.01</v>
      </c>
      <c r="AT180" s="184">
        <f t="shared" ref="AT180:AU180" si="352">P180+AD180-AL180</f>
        <v>1</v>
      </c>
      <c r="AU180" s="184">
        <f t="shared" si="352"/>
        <v>1</v>
      </c>
      <c r="AV180" s="62"/>
      <c r="AW180" s="176">
        <v>0.0</v>
      </c>
      <c r="AX180" s="176">
        <v>0.0</v>
      </c>
      <c r="AY180" s="176" t="s">
        <v>913</v>
      </c>
      <c r="AZ180" s="176" t="s">
        <v>913</v>
      </c>
      <c r="BA180" s="176">
        <v>0.0</v>
      </c>
      <c r="BB180" s="176">
        <v>0.0</v>
      </c>
      <c r="BC180" s="176">
        <v>0.0</v>
      </c>
      <c r="BD180" s="194" t="s">
        <v>1479</v>
      </c>
      <c r="BE180" s="62"/>
      <c r="BF180" s="62"/>
      <c r="BG180" s="62"/>
      <c r="BH180" s="54"/>
      <c r="BI180" s="54"/>
      <c r="BJ180" s="54"/>
      <c r="BK180" s="54"/>
      <c r="BL180" s="54"/>
      <c r="BM180" s="54"/>
      <c r="BN180" s="54"/>
      <c r="BO180" s="57"/>
      <c r="BP180" s="57"/>
      <c r="BQ180" s="57"/>
      <c r="BR180" s="57"/>
    </row>
    <row r="181">
      <c r="A181" s="176">
        <v>177.0</v>
      </c>
      <c r="B181" s="139" t="s">
        <v>1480</v>
      </c>
      <c r="C181" s="178" t="s">
        <v>221</v>
      </c>
      <c r="D181" s="271">
        <v>0.0</v>
      </c>
      <c r="E181" s="271">
        <v>1.5</v>
      </c>
      <c r="F181" s="271">
        <v>0.2</v>
      </c>
      <c r="G181" s="271">
        <v>0.3</v>
      </c>
      <c r="H181" s="272">
        <v>0.0</v>
      </c>
      <c r="I181" s="271">
        <v>0.0</v>
      </c>
      <c r="J181" s="246">
        <v>2.0</v>
      </c>
      <c r="K181" s="246">
        <v>0.0</v>
      </c>
      <c r="L181" s="246">
        <v>0.0</v>
      </c>
      <c r="M181" s="246">
        <v>0.0</v>
      </c>
      <c r="N181" s="246">
        <v>0.0</v>
      </c>
      <c r="O181" s="246">
        <v>0.0</v>
      </c>
      <c r="P181" s="180">
        <v>1.0</v>
      </c>
      <c r="Q181" s="180">
        <v>1.0</v>
      </c>
      <c r="R181" s="62"/>
      <c r="S181" s="182">
        <v>0.28</v>
      </c>
      <c r="T181" s="183">
        <v>0.0</v>
      </c>
      <c r="U181" s="183">
        <v>0.0</v>
      </c>
      <c r="V181" s="183">
        <v>0.0</v>
      </c>
      <c r="W181" s="183">
        <v>0.05</v>
      </c>
      <c r="X181" s="62"/>
      <c r="Y181" s="176">
        <v>0.0</v>
      </c>
      <c r="Z181" s="176">
        <v>0.0</v>
      </c>
      <c r="AA181" s="176">
        <v>0.0</v>
      </c>
      <c r="AB181" s="176">
        <v>0.0</v>
      </c>
      <c r="AC181" s="176">
        <v>0.0</v>
      </c>
      <c r="AD181" s="176">
        <v>0.0</v>
      </c>
      <c r="AE181" s="176">
        <v>0.0</v>
      </c>
      <c r="AF181" s="62"/>
      <c r="AG181" s="47">
        <v>0.28</v>
      </c>
      <c r="AH181" s="54"/>
      <c r="AI181" s="54"/>
      <c r="AJ181" s="54"/>
      <c r="AK181" s="47">
        <v>0.003</v>
      </c>
      <c r="AL181" s="54"/>
      <c r="AM181" s="54"/>
      <c r="AN181" s="62"/>
      <c r="AO181" s="184">
        <f t="shared" ref="AO181:AS181" si="353">ROUND(E181*(5/12)+K181*(5/12)+S181+Y181-AG181,2)</f>
        <v>0.63</v>
      </c>
      <c r="AP181" s="184">
        <f t="shared" si="353"/>
        <v>0.08</v>
      </c>
      <c r="AQ181" s="184">
        <f t="shared" si="353"/>
        <v>0.13</v>
      </c>
      <c r="AR181" s="184">
        <f t="shared" si="353"/>
        <v>0</v>
      </c>
      <c r="AS181" s="184">
        <f t="shared" si="353"/>
        <v>0.05</v>
      </c>
      <c r="AT181" s="184">
        <f t="shared" ref="AT181:AU181" si="354">P181+AD181-AL181</f>
        <v>1</v>
      </c>
      <c r="AU181" s="184">
        <f t="shared" si="354"/>
        <v>1</v>
      </c>
      <c r="AV181" s="62"/>
      <c r="AW181" s="176">
        <v>0.75</v>
      </c>
      <c r="AX181" s="176">
        <v>0.08</v>
      </c>
      <c r="AY181" s="176">
        <v>0.13</v>
      </c>
      <c r="AZ181" s="176" t="s">
        <v>913</v>
      </c>
      <c r="BA181" s="176">
        <v>0.05</v>
      </c>
      <c r="BB181" s="176">
        <v>1.0</v>
      </c>
      <c r="BC181" s="176">
        <v>1.0</v>
      </c>
      <c r="BD181" s="180" t="s">
        <v>1481</v>
      </c>
      <c r="BE181" s="62"/>
      <c r="BF181" s="62"/>
      <c r="BG181" s="62"/>
      <c r="BH181" s="54"/>
      <c r="BI181" s="54"/>
      <c r="BJ181" s="54"/>
      <c r="BK181" s="54"/>
      <c r="BL181" s="54"/>
      <c r="BM181" s="273"/>
      <c r="BN181" s="54"/>
      <c r="BO181" s="57"/>
      <c r="BP181" s="58" t="s">
        <v>1152</v>
      </c>
      <c r="BQ181" s="58" t="s">
        <v>1482</v>
      </c>
      <c r="BR181" s="57"/>
    </row>
    <row r="182">
      <c r="A182" s="176">
        <v>178.0</v>
      </c>
      <c r="B182" s="139" t="s">
        <v>222</v>
      </c>
      <c r="C182" s="178" t="s">
        <v>221</v>
      </c>
      <c r="D182" s="271">
        <v>1.0</v>
      </c>
      <c r="E182" s="271">
        <v>1.8</v>
      </c>
      <c r="F182" s="271">
        <v>0.0</v>
      </c>
      <c r="G182" s="271">
        <v>0.2</v>
      </c>
      <c r="H182" s="272">
        <v>0.8</v>
      </c>
      <c r="I182" s="271">
        <v>0.2</v>
      </c>
      <c r="J182" s="246">
        <v>0.0</v>
      </c>
      <c r="K182" s="246">
        <v>2.3</v>
      </c>
      <c r="L182" s="246">
        <v>0.0</v>
      </c>
      <c r="M182" s="246">
        <v>0.4</v>
      </c>
      <c r="N182" s="246">
        <v>0.9</v>
      </c>
      <c r="O182" s="246">
        <v>0.4</v>
      </c>
      <c r="P182" s="180">
        <v>1.0</v>
      </c>
      <c r="Q182" s="180">
        <v>1.0</v>
      </c>
      <c r="R182" s="62"/>
      <c r="S182" s="187">
        <v>0.33</v>
      </c>
      <c r="T182" s="188">
        <v>0.02</v>
      </c>
      <c r="U182" s="188">
        <v>0.0</v>
      </c>
      <c r="V182" s="188">
        <v>0.27</v>
      </c>
      <c r="W182" s="188">
        <v>0.05</v>
      </c>
      <c r="X182" s="62"/>
      <c r="Y182" s="176">
        <v>0.0</v>
      </c>
      <c r="Z182" s="176">
        <v>0.0</v>
      </c>
      <c r="AA182" s="176">
        <v>0.0</v>
      </c>
      <c r="AB182" s="176">
        <v>0.0</v>
      </c>
      <c r="AC182" s="176">
        <v>0.0</v>
      </c>
      <c r="AD182" s="176">
        <v>0.0</v>
      </c>
      <c r="AE182" s="176">
        <v>0.0</v>
      </c>
      <c r="AF182" s="62"/>
      <c r="AG182" s="47"/>
      <c r="AH182" s="54"/>
      <c r="AI182" s="47">
        <v>0.02</v>
      </c>
      <c r="AJ182" s="54"/>
      <c r="AK182" s="54"/>
      <c r="AL182" s="54"/>
      <c r="AM182" s="54"/>
      <c r="AN182" s="62"/>
      <c r="AO182" s="184">
        <f t="shared" ref="AO182:AS182" si="355">ROUND(E182*(5/12)+K182*(5/12)+S182+Y182-AG182,2)</f>
        <v>2.04</v>
      </c>
      <c r="AP182" s="184">
        <f t="shared" si="355"/>
        <v>0.02</v>
      </c>
      <c r="AQ182" s="184">
        <f t="shared" si="355"/>
        <v>0.23</v>
      </c>
      <c r="AR182" s="184">
        <f t="shared" si="355"/>
        <v>0.98</v>
      </c>
      <c r="AS182" s="184">
        <f t="shared" si="355"/>
        <v>0.3</v>
      </c>
      <c r="AT182" s="184">
        <f t="shared" ref="AT182:AU182" si="356">P182+AD182-AL182</f>
        <v>1</v>
      </c>
      <c r="AU182" s="184">
        <f t="shared" si="356"/>
        <v>1</v>
      </c>
      <c r="AV182" s="62"/>
      <c r="AW182" s="176">
        <v>2.5</v>
      </c>
      <c r="AX182" s="176">
        <v>0.02</v>
      </c>
      <c r="AY182" s="176">
        <v>0.3</v>
      </c>
      <c r="AZ182" s="176">
        <v>1.0</v>
      </c>
      <c r="BA182" s="176">
        <v>0.346</v>
      </c>
      <c r="BB182" s="176">
        <v>1.0</v>
      </c>
      <c r="BC182" s="176">
        <v>1.0</v>
      </c>
      <c r="BD182" s="191" t="s">
        <v>1483</v>
      </c>
      <c r="BE182" s="62"/>
      <c r="BF182" s="62"/>
      <c r="BG182" s="62"/>
      <c r="BH182" s="54"/>
      <c r="BI182" s="54"/>
      <c r="BJ182" s="54"/>
      <c r="BK182" s="54"/>
      <c r="BL182" s="54"/>
      <c r="BM182" s="54"/>
      <c r="BN182" s="54"/>
      <c r="BO182" s="57"/>
      <c r="BP182" s="58" t="s">
        <v>1152</v>
      </c>
      <c r="BQ182" s="58"/>
      <c r="BR182" s="57"/>
    </row>
    <row r="183">
      <c r="A183" s="176">
        <v>179.0</v>
      </c>
      <c r="B183" s="227" t="s">
        <v>1484</v>
      </c>
      <c r="C183" s="247" t="s">
        <v>221</v>
      </c>
      <c r="D183" s="271">
        <v>1.0</v>
      </c>
      <c r="E183" s="271">
        <v>2.0</v>
      </c>
      <c r="F183" s="271">
        <v>0.0</v>
      </c>
      <c r="G183" s="271">
        <v>0.4</v>
      </c>
      <c r="H183" s="272">
        <v>0.0</v>
      </c>
      <c r="I183" s="271">
        <v>0.6</v>
      </c>
      <c r="J183" s="137">
        <v>0.0</v>
      </c>
      <c r="K183" s="137">
        <v>2.51</v>
      </c>
      <c r="L183" s="137">
        <v>0.0</v>
      </c>
      <c r="M183" s="137">
        <v>0.4</v>
      </c>
      <c r="N183" s="137">
        <v>0.49</v>
      </c>
      <c r="O183" s="137">
        <v>0.6</v>
      </c>
      <c r="P183" s="180">
        <v>1.0</v>
      </c>
      <c r="Q183" s="180">
        <v>1.0</v>
      </c>
      <c r="R183" s="62"/>
      <c r="S183" s="187">
        <v>0.37</v>
      </c>
      <c r="T183" s="188">
        <v>0.08</v>
      </c>
      <c r="U183" s="188">
        <v>0.08</v>
      </c>
      <c r="V183" s="188">
        <v>0.13</v>
      </c>
      <c r="W183" s="188">
        <v>0.0</v>
      </c>
      <c r="X183" s="62"/>
      <c r="Y183" s="176">
        <v>0.0</v>
      </c>
      <c r="Z183" s="176">
        <v>0.0</v>
      </c>
      <c r="AA183" s="176">
        <v>0.0</v>
      </c>
      <c r="AB183" s="176">
        <v>0.0</v>
      </c>
      <c r="AC183" s="176">
        <v>0.0</v>
      </c>
      <c r="AD183" s="176">
        <v>0.0</v>
      </c>
      <c r="AE183" s="176">
        <v>0.0</v>
      </c>
      <c r="AF183" s="62"/>
      <c r="AG183" s="54"/>
      <c r="AH183" s="54"/>
      <c r="AI183" s="54"/>
      <c r="AJ183" s="54"/>
      <c r="AK183" s="54"/>
      <c r="AL183" s="54"/>
      <c r="AM183" s="54"/>
      <c r="AN183" s="62"/>
      <c r="AO183" s="184">
        <f t="shared" ref="AO183:AS183" si="357">ROUND(E183*(5/12)+K183*(5/12)+S183+Y183-AG183,2)</f>
        <v>2.25</v>
      </c>
      <c r="AP183" s="184">
        <f t="shared" si="357"/>
        <v>0.08</v>
      </c>
      <c r="AQ183" s="184">
        <f t="shared" si="357"/>
        <v>0.41</v>
      </c>
      <c r="AR183" s="184">
        <f t="shared" si="357"/>
        <v>0.33</v>
      </c>
      <c r="AS183" s="184">
        <f t="shared" si="357"/>
        <v>0.5</v>
      </c>
      <c r="AT183" s="184">
        <f t="shared" ref="AT183:AU183" si="358">P183+AD183-AL183</f>
        <v>1</v>
      </c>
      <c r="AU183" s="184">
        <f t="shared" si="358"/>
        <v>1</v>
      </c>
      <c r="AV183" s="62"/>
      <c r="AW183" s="176">
        <v>1.75</v>
      </c>
      <c r="AX183" s="176">
        <v>0.08</v>
      </c>
      <c r="AY183" s="176">
        <v>0.43</v>
      </c>
      <c r="AZ183" s="176">
        <v>0.33</v>
      </c>
      <c r="BA183" s="176">
        <v>0.5</v>
      </c>
      <c r="BB183" s="176">
        <v>0.0</v>
      </c>
      <c r="BC183" s="176">
        <v>2.0</v>
      </c>
      <c r="BD183" s="180" t="s">
        <v>1485</v>
      </c>
      <c r="BE183" s="62"/>
      <c r="BF183" s="62"/>
      <c r="BG183" s="62"/>
      <c r="BH183" s="54"/>
      <c r="BI183" s="54"/>
      <c r="BJ183" s="54"/>
      <c r="BK183" s="54"/>
      <c r="BL183" s="54"/>
      <c r="BM183" s="54"/>
      <c r="BN183" s="54"/>
      <c r="BO183" s="57"/>
      <c r="BP183" s="57"/>
      <c r="BQ183" s="57"/>
      <c r="BR183" s="57"/>
    </row>
    <row r="184">
      <c r="A184" s="176">
        <v>180.0</v>
      </c>
      <c r="B184" s="177" t="s">
        <v>1486</v>
      </c>
      <c r="C184" s="178" t="s">
        <v>221</v>
      </c>
      <c r="D184" s="271">
        <v>2.0</v>
      </c>
      <c r="E184" s="271">
        <v>1.5</v>
      </c>
      <c r="F184" s="271">
        <v>0.2</v>
      </c>
      <c r="G184" s="271">
        <v>0.3</v>
      </c>
      <c r="H184" s="272">
        <v>0.0</v>
      </c>
      <c r="I184" s="271">
        <v>0.0</v>
      </c>
      <c r="J184" s="137">
        <v>2.0</v>
      </c>
      <c r="K184" s="137">
        <v>1.0</v>
      </c>
      <c r="L184" s="137">
        <v>1.0</v>
      </c>
      <c r="M184" s="137">
        <v>0.0</v>
      </c>
      <c r="N184" s="137">
        <v>0.0</v>
      </c>
      <c r="O184" s="137">
        <v>0.0</v>
      </c>
      <c r="P184" s="180">
        <v>1.0</v>
      </c>
      <c r="Q184" s="180">
        <v>1.0</v>
      </c>
      <c r="R184" s="62"/>
      <c r="S184" s="187">
        <v>0.25</v>
      </c>
      <c r="T184" s="188">
        <v>0.08</v>
      </c>
      <c r="U184" s="188">
        <v>0.03</v>
      </c>
      <c r="V184" s="188">
        <v>0.13</v>
      </c>
      <c r="W184" s="188">
        <v>0.0</v>
      </c>
      <c r="X184" s="62"/>
      <c r="Y184" s="176">
        <v>0.0</v>
      </c>
      <c r="Z184" s="176">
        <v>0.0</v>
      </c>
      <c r="AA184" s="176">
        <v>0.0</v>
      </c>
      <c r="AB184" s="176">
        <v>0.0</v>
      </c>
      <c r="AC184" s="176">
        <v>0.0</v>
      </c>
      <c r="AD184" s="176">
        <v>0.0</v>
      </c>
      <c r="AE184" s="176">
        <v>0.0</v>
      </c>
      <c r="AF184" s="62"/>
      <c r="AG184" s="54"/>
      <c r="AH184" s="47">
        <v>0.54</v>
      </c>
      <c r="AI184" s="47">
        <v>0.03</v>
      </c>
      <c r="AJ184" s="54"/>
      <c r="AK184" s="47">
        <v>0.026</v>
      </c>
      <c r="AL184" s="54"/>
      <c r="AM184" s="54"/>
      <c r="AN184" s="62"/>
      <c r="AO184" s="184">
        <f t="shared" ref="AO184:AS184" si="359">ROUND(E184*(5/12)+K184*(5/12)+S184+Y184-AG184,2)</f>
        <v>1.29</v>
      </c>
      <c r="AP184" s="184">
        <f t="shared" si="359"/>
        <v>0.04</v>
      </c>
      <c r="AQ184" s="184">
        <f t="shared" si="359"/>
        <v>0.13</v>
      </c>
      <c r="AR184" s="184">
        <f t="shared" si="359"/>
        <v>0.13</v>
      </c>
      <c r="AS184" s="184">
        <f t="shared" si="359"/>
        <v>-0.03</v>
      </c>
      <c r="AT184" s="184">
        <f t="shared" ref="AT184:AU184" si="360">P184+AD184-AL184</f>
        <v>1</v>
      </c>
      <c r="AU184" s="184">
        <f t="shared" si="360"/>
        <v>1</v>
      </c>
      <c r="AV184" s="62"/>
      <c r="AW184" s="176">
        <v>2.0</v>
      </c>
      <c r="AX184" s="176">
        <v>0.04</v>
      </c>
      <c r="AY184" s="176">
        <v>0.2</v>
      </c>
      <c r="AZ184" s="176">
        <v>0.33</v>
      </c>
      <c r="BA184" s="176">
        <v>0.03</v>
      </c>
      <c r="BB184" s="176">
        <v>1.0</v>
      </c>
      <c r="BC184" s="176">
        <v>1.0</v>
      </c>
      <c r="BD184" s="196" t="s">
        <v>1487</v>
      </c>
      <c r="BE184" s="62"/>
      <c r="BF184" s="62"/>
      <c r="BG184" s="62"/>
      <c r="BH184" s="54"/>
      <c r="BI184" s="54"/>
      <c r="BJ184" s="54"/>
      <c r="BK184" s="54"/>
      <c r="BL184" s="54"/>
      <c r="BM184" s="54"/>
      <c r="BN184" s="54"/>
      <c r="BO184" s="57"/>
      <c r="BP184" s="57"/>
      <c r="BQ184" s="57"/>
      <c r="BR184" s="57"/>
    </row>
    <row r="185">
      <c r="A185" s="176">
        <v>181.0</v>
      </c>
      <c r="B185" s="139" t="s">
        <v>1488</v>
      </c>
      <c r="C185" s="178" t="s">
        <v>221</v>
      </c>
      <c r="D185" s="271">
        <v>3.0</v>
      </c>
      <c r="E185" s="271">
        <v>0.0</v>
      </c>
      <c r="F185" s="271">
        <v>0.2</v>
      </c>
      <c r="G185" s="272">
        <v>0.2</v>
      </c>
      <c r="H185" s="272">
        <v>0.6</v>
      </c>
      <c r="I185" s="272">
        <v>0.0</v>
      </c>
      <c r="J185" s="137">
        <v>3.0</v>
      </c>
      <c r="K185" s="137">
        <v>0.0</v>
      </c>
      <c r="L185" s="137">
        <v>0.0</v>
      </c>
      <c r="M185" s="137">
        <v>0.0</v>
      </c>
      <c r="N185" s="137">
        <v>1.0</v>
      </c>
      <c r="O185" s="137">
        <v>0.0</v>
      </c>
      <c r="P185" s="180">
        <v>1.0</v>
      </c>
      <c r="Q185" s="180">
        <v>1.0</v>
      </c>
      <c r="R185" s="62"/>
      <c r="S185" s="187">
        <v>0.17</v>
      </c>
      <c r="T185" s="188">
        <v>0.0</v>
      </c>
      <c r="U185" s="188">
        <v>0.03</v>
      </c>
      <c r="V185" s="188">
        <v>0.13</v>
      </c>
      <c r="W185" s="188">
        <v>0.0</v>
      </c>
      <c r="X185" s="62"/>
      <c r="Y185" s="176">
        <v>0.0</v>
      </c>
      <c r="Z185" s="176">
        <v>0.0</v>
      </c>
      <c r="AA185" s="176">
        <v>0.0</v>
      </c>
      <c r="AB185" s="176">
        <v>0.0</v>
      </c>
      <c r="AC185" s="176">
        <v>0.0</v>
      </c>
      <c r="AD185" s="176">
        <v>0.0</v>
      </c>
      <c r="AE185" s="176">
        <v>0.0</v>
      </c>
      <c r="AF185" s="62"/>
      <c r="AG185" s="54"/>
      <c r="AH185" s="54"/>
      <c r="AI185" s="47">
        <v>0.07</v>
      </c>
      <c r="AJ185" s="54"/>
      <c r="AK185" s="54"/>
      <c r="AL185" s="54"/>
      <c r="AM185" s="54"/>
      <c r="AN185" s="62"/>
      <c r="AO185" s="184">
        <f t="shared" ref="AO185:AS185" si="361">ROUND(E185*(5/12)+K185*(5/12)+S185+Y185-AG185,2)</f>
        <v>0.17</v>
      </c>
      <c r="AP185" s="184">
        <f t="shared" si="361"/>
        <v>0.08</v>
      </c>
      <c r="AQ185" s="184">
        <f t="shared" si="361"/>
        <v>0.04</v>
      </c>
      <c r="AR185" s="184">
        <f t="shared" si="361"/>
        <v>0.8</v>
      </c>
      <c r="AS185" s="184">
        <f t="shared" si="361"/>
        <v>0</v>
      </c>
      <c r="AT185" s="184">
        <f t="shared" ref="AT185:AU185" si="362">P185+AD185-AL185</f>
        <v>1</v>
      </c>
      <c r="AU185" s="184">
        <f t="shared" si="362"/>
        <v>1</v>
      </c>
      <c r="AV185" s="62"/>
      <c r="AW185" s="176">
        <v>0.5</v>
      </c>
      <c r="AX185" s="176">
        <v>0.08</v>
      </c>
      <c r="AY185" s="176">
        <v>0.04</v>
      </c>
      <c r="AZ185" s="176">
        <v>1.0</v>
      </c>
      <c r="BA185" s="176" t="s">
        <v>913</v>
      </c>
      <c r="BB185" s="176">
        <v>1.0</v>
      </c>
      <c r="BC185" s="176">
        <v>1.0</v>
      </c>
      <c r="BD185" s="196" t="s">
        <v>1489</v>
      </c>
      <c r="BE185" s="62"/>
      <c r="BF185" s="62"/>
      <c r="BG185" s="62"/>
      <c r="BH185" s="54"/>
      <c r="BI185" s="54"/>
      <c r="BJ185" s="54"/>
      <c r="BK185" s="54"/>
      <c r="BL185" s="54"/>
      <c r="BM185" s="54"/>
      <c r="BN185" s="54"/>
      <c r="BO185" s="57"/>
      <c r="BP185" s="58" t="s">
        <v>1152</v>
      </c>
      <c r="BQ185" s="57"/>
      <c r="BR185" s="57"/>
    </row>
    <row r="186">
      <c r="A186" s="176">
        <v>182.0</v>
      </c>
      <c r="B186" s="139" t="s">
        <v>1490</v>
      </c>
      <c r="C186" s="178" t="s">
        <v>221</v>
      </c>
      <c r="D186" s="271">
        <v>2.0</v>
      </c>
      <c r="E186" s="271">
        <v>1.3</v>
      </c>
      <c r="F186" s="271">
        <v>0.2</v>
      </c>
      <c r="G186" s="271">
        <v>0.2</v>
      </c>
      <c r="H186" s="271">
        <v>0.3</v>
      </c>
      <c r="I186" s="272">
        <v>0.0</v>
      </c>
      <c r="J186" s="137">
        <v>2.0</v>
      </c>
      <c r="K186" s="137">
        <v>0.7</v>
      </c>
      <c r="L186" s="137">
        <v>0.3</v>
      </c>
      <c r="M186" s="137">
        <v>0.2</v>
      </c>
      <c r="N186" s="137">
        <v>0.8</v>
      </c>
      <c r="O186" s="137">
        <v>0.0</v>
      </c>
      <c r="P186" s="180">
        <v>1.0</v>
      </c>
      <c r="Q186" s="180">
        <v>1.0</v>
      </c>
      <c r="R186" s="62"/>
      <c r="S186" s="187">
        <v>0.17</v>
      </c>
      <c r="T186" s="188">
        <v>0.02</v>
      </c>
      <c r="U186" s="188">
        <v>0.02</v>
      </c>
      <c r="V186" s="188">
        <v>0.13</v>
      </c>
      <c r="W186" s="188">
        <v>0.0</v>
      </c>
      <c r="X186" s="62"/>
      <c r="Y186" s="176">
        <v>0.0</v>
      </c>
      <c r="Z186" s="176">
        <v>0.0</v>
      </c>
      <c r="AA186" s="176">
        <v>0.0</v>
      </c>
      <c r="AB186" s="176">
        <v>0.0</v>
      </c>
      <c r="AC186" s="176">
        <v>0.0</v>
      </c>
      <c r="AD186" s="176">
        <v>0.0</v>
      </c>
      <c r="AE186" s="176">
        <v>0.0</v>
      </c>
      <c r="AF186" s="62"/>
      <c r="AG186" s="54"/>
      <c r="AH186" s="47">
        <v>0.006</v>
      </c>
      <c r="AI186" s="47">
        <v>0.02</v>
      </c>
      <c r="AJ186" s="54"/>
      <c r="AK186" s="54"/>
      <c r="AL186" s="54"/>
      <c r="AM186" s="54"/>
      <c r="AN186" s="62"/>
      <c r="AO186" s="184">
        <f t="shared" ref="AO186:AS186" si="363">ROUND(E186*(5/12)+K186*(5/12)+S186+Y186-AG186,2)</f>
        <v>1</v>
      </c>
      <c r="AP186" s="184">
        <f t="shared" si="363"/>
        <v>0.22</v>
      </c>
      <c r="AQ186" s="184">
        <f t="shared" si="363"/>
        <v>0.17</v>
      </c>
      <c r="AR186" s="184">
        <f t="shared" si="363"/>
        <v>0.59</v>
      </c>
      <c r="AS186" s="184">
        <f t="shared" si="363"/>
        <v>0</v>
      </c>
      <c r="AT186" s="184">
        <f t="shared" ref="AT186:AU186" si="364">P186+AD186-AL186</f>
        <v>1</v>
      </c>
      <c r="AU186" s="184">
        <f t="shared" si="364"/>
        <v>1</v>
      </c>
      <c r="AV186" s="62"/>
      <c r="AW186" s="176">
        <v>1.0</v>
      </c>
      <c r="AX186" s="176">
        <v>0.22</v>
      </c>
      <c r="AY186" s="176">
        <v>0.2</v>
      </c>
      <c r="AZ186" s="176">
        <v>0.66</v>
      </c>
      <c r="BA186" s="176" t="s">
        <v>913</v>
      </c>
      <c r="BB186" s="176">
        <v>1.0</v>
      </c>
      <c r="BC186" s="176">
        <v>1.0</v>
      </c>
      <c r="BD186" s="196" t="s">
        <v>1491</v>
      </c>
      <c r="BE186" s="62"/>
      <c r="BF186" s="62"/>
      <c r="BG186" s="62"/>
      <c r="BH186" s="54"/>
      <c r="BI186" s="54"/>
      <c r="BJ186" s="54"/>
      <c r="BK186" s="54"/>
      <c r="BL186" s="54"/>
      <c r="BM186" s="54"/>
      <c r="BN186" s="54"/>
      <c r="BO186" s="57"/>
      <c r="BP186" s="58" t="s">
        <v>1152</v>
      </c>
      <c r="BQ186" s="57"/>
      <c r="BR186" s="57"/>
    </row>
    <row r="187">
      <c r="A187" s="176">
        <v>183.0</v>
      </c>
      <c r="B187" s="177" t="s">
        <v>1492</v>
      </c>
      <c r="C187" s="178" t="s">
        <v>221</v>
      </c>
      <c r="D187" s="271">
        <v>3.0</v>
      </c>
      <c r="E187" s="271">
        <v>0.5</v>
      </c>
      <c r="F187" s="271">
        <v>0.2</v>
      </c>
      <c r="G187" s="271">
        <v>0.0</v>
      </c>
      <c r="H187" s="272">
        <v>0.3</v>
      </c>
      <c r="I187" s="272">
        <v>0.0</v>
      </c>
      <c r="J187" s="137">
        <v>3.0</v>
      </c>
      <c r="K187" s="137">
        <v>0.37</v>
      </c>
      <c r="L187" s="137">
        <v>0.0</v>
      </c>
      <c r="M187" s="137">
        <v>0.33</v>
      </c>
      <c r="N187" s="137">
        <v>0.3</v>
      </c>
      <c r="O187" s="137">
        <v>0.0</v>
      </c>
      <c r="P187" s="180">
        <v>1.0</v>
      </c>
      <c r="Q187" s="180">
        <v>1.0</v>
      </c>
      <c r="R187" s="62"/>
      <c r="S187" s="187">
        <v>0.17</v>
      </c>
      <c r="T187" s="188">
        <v>0.0</v>
      </c>
      <c r="U187" s="188">
        <v>0.03</v>
      </c>
      <c r="V187" s="188">
        <v>0.13</v>
      </c>
      <c r="W187" s="188">
        <v>0.0</v>
      </c>
      <c r="X187" s="62"/>
      <c r="Y187" s="176">
        <v>0.0</v>
      </c>
      <c r="Z187" s="176">
        <v>0.0</v>
      </c>
      <c r="AA187" s="176">
        <v>0.0</v>
      </c>
      <c r="AB187" s="176">
        <v>0.0</v>
      </c>
      <c r="AC187" s="176">
        <v>0.0</v>
      </c>
      <c r="AD187" s="176">
        <v>0.0</v>
      </c>
      <c r="AE187" s="176">
        <v>0.0</v>
      </c>
      <c r="AF187" s="62"/>
      <c r="AG187" s="47">
        <v>0.03</v>
      </c>
      <c r="AH187" s="54"/>
      <c r="AI187" s="47">
        <v>0.07</v>
      </c>
      <c r="AJ187" s="54"/>
      <c r="AK187" s="54"/>
      <c r="AL187" s="54"/>
      <c r="AM187" s="54"/>
      <c r="AN187" s="62"/>
      <c r="AO187" s="184">
        <f t="shared" ref="AO187:AS187" si="365">ROUND(E187*(5/12)+K187*(5/12)+S187+Y187-AG187,2)</f>
        <v>0.5</v>
      </c>
      <c r="AP187" s="184">
        <f t="shared" si="365"/>
        <v>0.08</v>
      </c>
      <c r="AQ187" s="184">
        <f t="shared" si="365"/>
        <v>0.1</v>
      </c>
      <c r="AR187" s="184">
        <f t="shared" si="365"/>
        <v>0.38</v>
      </c>
      <c r="AS187" s="184">
        <f t="shared" si="365"/>
        <v>0</v>
      </c>
      <c r="AT187" s="184">
        <f t="shared" ref="AT187:AU187" si="366">P187+AD187-AL187</f>
        <v>1</v>
      </c>
      <c r="AU187" s="184">
        <f t="shared" si="366"/>
        <v>1</v>
      </c>
      <c r="AV187" s="62"/>
      <c r="AW187" s="202"/>
      <c r="AX187" s="202"/>
      <c r="AY187" s="202"/>
      <c r="AZ187" s="202"/>
      <c r="BA187" s="202"/>
      <c r="BB187" s="202"/>
      <c r="BC187" s="202"/>
      <c r="BD187" s="228"/>
      <c r="BE187" s="62"/>
      <c r="BF187" s="62"/>
      <c r="BG187" s="62"/>
      <c r="BH187" s="54"/>
      <c r="BI187" s="54"/>
      <c r="BJ187" s="54"/>
      <c r="BK187" s="54"/>
      <c r="BL187" s="54"/>
      <c r="BM187" s="54"/>
      <c r="BN187" s="54"/>
      <c r="BO187" s="57"/>
      <c r="BP187" s="57"/>
      <c r="BQ187" s="57"/>
      <c r="BR187" s="57"/>
    </row>
    <row r="188">
      <c r="A188" s="176">
        <v>184.0</v>
      </c>
      <c r="B188" s="139" t="s">
        <v>1493</v>
      </c>
      <c r="C188" s="178" t="s">
        <v>221</v>
      </c>
      <c r="D188" s="271">
        <v>3.0</v>
      </c>
      <c r="E188" s="271">
        <v>0.5</v>
      </c>
      <c r="F188" s="271">
        <v>0.0</v>
      </c>
      <c r="G188" s="271">
        <v>0.2</v>
      </c>
      <c r="H188" s="272">
        <v>0.3</v>
      </c>
      <c r="I188" s="272">
        <v>0.0</v>
      </c>
      <c r="J188" s="137">
        <v>3.0</v>
      </c>
      <c r="K188" s="137">
        <v>0.5</v>
      </c>
      <c r="L188" s="137">
        <v>0.2</v>
      </c>
      <c r="M188" s="137">
        <v>0.0</v>
      </c>
      <c r="N188" s="137">
        <v>0.3</v>
      </c>
      <c r="O188" s="137">
        <v>0.0</v>
      </c>
      <c r="P188" s="180">
        <v>1.0</v>
      </c>
      <c r="Q188" s="180">
        <v>1.0</v>
      </c>
      <c r="R188" s="62"/>
      <c r="S188" s="187">
        <v>0.0</v>
      </c>
      <c r="T188" s="188">
        <v>0.0</v>
      </c>
      <c r="U188" s="188">
        <v>0.0</v>
      </c>
      <c r="V188" s="188">
        <v>0.0</v>
      </c>
      <c r="W188" s="188">
        <v>0.0</v>
      </c>
      <c r="X188" s="62"/>
      <c r="Y188" s="176">
        <v>0.0</v>
      </c>
      <c r="Z188" s="176">
        <v>0.0</v>
      </c>
      <c r="AA188" s="176">
        <v>0.0</v>
      </c>
      <c r="AB188" s="176">
        <v>0.0</v>
      </c>
      <c r="AC188" s="176">
        <v>0.0</v>
      </c>
      <c r="AD188" s="176">
        <v>0.0</v>
      </c>
      <c r="AE188" s="176">
        <v>0.0</v>
      </c>
      <c r="AF188" s="62"/>
      <c r="AG188" s="47">
        <v>0.45</v>
      </c>
      <c r="AH188" s="47">
        <v>0.006</v>
      </c>
      <c r="AI188" s="47">
        <v>0.06</v>
      </c>
      <c r="AJ188" s="54"/>
      <c r="AK188" s="54"/>
      <c r="AL188" s="54"/>
      <c r="AM188" s="54"/>
      <c r="AN188" s="62"/>
      <c r="AO188" s="184">
        <f t="shared" ref="AO188:AS188" si="367">ROUND(E188*(5/12)+K188*(5/12)+S188+Y188-AG188,2)</f>
        <v>-0.03</v>
      </c>
      <c r="AP188" s="184">
        <f t="shared" si="367"/>
        <v>0.08</v>
      </c>
      <c r="AQ188" s="184">
        <f t="shared" si="367"/>
        <v>0.02</v>
      </c>
      <c r="AR188" s="184">
        <f t="shared" si="367"/>
        <v>0.25</v>
      </c>
      <c r="AS188" s="184">
        <f t="shared" si="367"/>
        <v>0</v>
      </c>
      <c r="AT188" s="184">
        <f t="shared" ref="AT188:AU188" si="368">P188+AD188-AL188</f>
        <v>1</v>
      </c>
      <c r="AU188" s="184">
        <f t="shared" si="368"/>
        <v>1</v>
      </c>
      <c r="AV188" s="62"/>
      <c r="AW188" s="176">
        <v>0.03</v>
      </c>
      <c r="AX188" s="176">
        <v>0.08</v>
      </c>
      <c r="AY188" s="176">
        <v>0.02</v>
      </c>
      <c r="AZ188" s="176">
        <v>0.33</v>
      </c>
      <c r="BA188" s="176" t="s">
        <v>913</v>
      </c>
      <c r="BB188" s="176">
        <v>1.0</v>
      </c>
      <c r="BC188" s="176">
        <v>1.0</v>
      </c>
      <c r="BD188" s="196" t="s">
        <v>1494</v>
      </c>
      <c r="BE188" s="62"/>
      <c r="BF188" s="62"/>
      <c r="BG188" s="62"/>
      <c r="BH188" s="54"/>
      <c r="BI188" s="54"/>
      <c r="BJ188" s="54"/>
      <c r="BK188" s="54"/>
      <c r="BL188" s="54"/>
      <c r="BM188" s="54"/>
      <c r="BN188" s="54"/>
      <c r="BO188" s="57"/>
      <c r="BP188" s="58" t="s">
        <v>1152</v>
      </c>
      <c r="BQ188" s="57"/>
      <c r="BR188" s="57"/>
    </row>
    <row r="189">
      <c r="A189" s="176">
        <v>185.0</v>
      </c>
      <c r="B189" s="274" t="s">
        <v>1495</v>
      </c>
      <c r="C189" s="178" t="s">
        <v>221</v>
      </c>
      <c r="D189" s="271">
        <v>3.0</v>
      </c>
      <c r="E189" s="271">
        <v>0.5</v>
      </c>
      <c r="F189" s="271">
        <v>0.2</v>
      </c>
      <c r="G189" s="272">
        <v>0.0</v>
      </c>
      <c r="H189" s="272">
        <v>0.3</v>
      </c>
      <c r="I189" s="271">
        <v>0.0</v>
      </c>
      <c r="J189" s="137">
        <v>2.0</v>
      </c>
      <c r="K189" s="137">
        <v>2.0</v>
      </c>
      <c r="L189" s="137">
        <v>0.0</v>
      </c>
      <c r="M189" s="137">
        <v>0.0</v>
      </c>
      <c r="N189" s="137">
        <v>0.0</v>
      </c>
      <c r="O189" s="137">
        <v>0.0</v>
      </c>
      <c r="P189" s="180">
        <v>1.0</v>
      </c>
      <c r="Q189" s="180">
        <v>1.0</v>
      </c>
      <c r="R189" s="62"/>
      <c r="S189" s="187">
        <v>0.17</v>
      </c>
      <c r="T189" s="188">
        <v>0.0</v>
      </c>
      <c r="U189" s="188">
        <v>0.03</v>
      </c>
      <c r="V189" s="188">
        <v>0.13</v>
      </c>
      <c r="W189" s="188">
        <v>0.0</v>
      </c>
      <c r="X189" s="62"/>
      <c r="Y189" s="176">
        <v>0.0</v>
      </c>
      <c r="Z189" s="176">
        <v>0.0</v>
      </c>
      <c r="AA189" s="176">
        <v>0.0</v>
      </c>
      <c r="AB189" s="176">
        <v>0.0</v>
      </c>
      <c r="AC189" s="176">
        <v>0.0</v>
      </c>
      <c r="AD189" s="176">
        <v>0.0</v>
      </c>
      <c r="AE189" s="176">
        <v>0.0</v>
      </c>
      <c r="AF189" s="62"/>
      <c r="AG189" s="47">
        <v>0.03</v>
      </c>
      <c r="AH189" s="47">
        <v>0.002</v>
      </c>
      <c r="AI189" s="47">
        <v>0.07</v>
      </c>
      <c r="AJ189" s="54"/>
      <c r="AK189" s="54"/>
      <c r="AL189" s="54"/>
      <c r="AM189" s="54"/>
      <c r="AN189" s="62"/>
      <c r="AO189" s="184">
        <f t="shared" ref="AO189:AS189" si="369">ROUND(E189*(5/12)+K189*(5/12)+S189+Y189-AG189,2)</f>
        <v>1.18</v>
      </c>
      <c r="AP189" s="184">
        <f t="shared" si="369"/>
        <v>0.08</v>
      </c>
      <c r="AQ189" s="184">
        <f t="shared" si="369"/>
        <v>-0.04</v>
      </c>
      <c r="AR189" s="184">
        <f t="shared" si="369"/>
        <v>0.26</v>
      </c>
      <c r="AS189" s="184">
        <f t="shared" si="369"/>
        <v>0</v>
      </c>
      <c r="AT189" s="184">
        <f t="shared" ref="AT189:AU189" si="370">P189+AD189-AL189</f>
        <v>1</v>
      </c>
      <c r="AU189" s="184">
        <f t="shared" si="370"/>
        <v>1</v>
      </c>
      <c r="AV189" s="62"/>
      <c r="AW189" s="176">
        <v>1.25</v>
      </c>
      <c r="AX189" s="176">
        <v>0.08</v>
      </c>
      <c r="AY189" s="176" t="s">
        <v>913</v>
      </c>
      <c r="AZ189" s="176">
        <v>0.33</v>
      </c>
      <c r="BA189" s="176" t="s">
        <v>913</v>
      </c>
      <c r="BB189" s="176">
        <v>1.0</v>
      </c>
      <c r="BC189" s="176">
        <v>1.0</v>
      </c>
      <c r="BD189" s="95" t="s">
        <v>1496</v>
      </c>
      <c r="BE189" s="62"/>
      <c r="BF189" s="62"/>
      <c r="BG189" s="62"/>
      <c r="BH189" s="54"/>
      <c r="BI189" s="54"/>
      <c r="BJ189" s="54"/>
      <c r="BK189" s="54"/>
      <c r="BL189" s="54"/>
      <c r="BM189" s="54"/>
      <c r="BN189" s="54"/>
      <c r="BO189" s="57"/>
      <c r="BP189" s="58" t="s">
        <v>1152</v>
      </c>
      <c r="BQ189" s="58" t="s">
        <v>1497</v>
      </c>
      <c r="BR189" s="57"/>
    </row>
    <row r="190">
      <c r="A190" s="176">
        <v>186.0</v>
      </c>
      <c r="B190" s="274" t="s">
        <v>1498</v>
      </c>
      <c r="C190" s="232" t="s">
        <v>221</v>
      </c>
      <c r="D190" s="271">
        <v>4.0</v>
      </c>
      <c r="E190" s="271">
        <v>0.0</v>
      </c>
      <c r="F190" s="271">
        <v>0.0</v>
      </c>
      <c r="G190" s="272">
        <v>0.0</v>
      </c>
      <c r="H190" s="272">
        <v>0.0</v>
      </c>
      <c r="I190" s="271">
        <v>0.0</v>
      </c>
      <c r="J190" s="137">
        <v>4.0</v>
      </c>
      <c r="K190" s="137">
        <v>0.0</v>
      </c>
      <c r="L190" s="137">
        <v>0.0</v>
      </c>
      <c r="M190" s="137">
        <v>0.0</v>
      </c>
      <c r="N190" s="137">
        <v>0.0</v>
      </c>
      <c r="O190" s="137">
        <v>0.0</v>
      </c>
      <c r="P190" s="180">
        <v>1.0</v>
      </c>
      <c r="Q190" s="180">
        <v>1.0</v>
      </c>
      <c r="R190" s="62"/>
      <c r="S190" s="187">
        <v>0.0</v>
      </c>
      <c r="T190" s="188">
        <v>0.0</v>
      </c>
      <c r="U190" s="188">
        <v>0.0</v>
      </c>
      <c r="V190" s="188">
        <v>0.0</v>
      </c>
      <c r="W190" s="188">
        <v>0.0</v>
      </c>
      <c r="X190" s="62"/>
      <c r="Y190" s="176">
        <v>0.0</v>
      </c>
      <c r="Z190" s="176">
        <v>0.0</v>
      </c>
      <c r="AA190" s="176">
        <v>0.0</v>
      </c>
      <c r="AB190" s="176">
        <v>0.0</v>
      </c>
      <c r="AC190" s="176">
        <v>0.0</v>
      </c>
      <c r="AD190" s="176">
        <v>0.0</v>
      </c>
      <c r="AE190" s="176">
        <v>0.0</v>
      </c>
      <c r="AF190" s="62"/>
      <c r="AG190" s="54"/>
      <c r="AH190" s="54"/>
      <c r="AI190" s="54"/>
      <c r="AJ190" s="54"/>
      <c r="AK190" s="47"/>
      <c r="AL190" s="54"/>
      <c r="AM190" s="47">
        <v>0.17</v>
      </c>
      <c r="AN190" s="62"/>
      <c r="AO190" s="184">
        <f t="shared" ref="AO190:AS190" si="371">ROUND(E190*(5/12)+K190*(5/12)+S190+Y190-AG190,2)</f>
        <v>0</v>
      </c>
      <c r="AP190" s="184">
        <f t="shared" si="371"/>
        <v>0</v>
      </c>
      <c r="AQ190" s="184">
        <f t="shared" si="371"/>
        <v>0</v>
      </c>
      <c r="AR190" s="184">
        <f t="shared" si="371"/>
        <v>0</v>
      </c>
      <c r="AS190" s="184">
        <f t="shared" si="371"/>
        <v>0</v>
      </c>
      <c r="AT190" s="184">
        <f t="shared" ref="AT190:AU190" si="372">P190+AD190-AL190</f>
        <v>1</v>
      </c>
      <c r="AU190" s="184">
        <f t="shared" si="372"/>
        <v>0.83</v>
      </c>
      <c r="AV190" s="62"/>
      <c r="AW190" s="202"/>
      <c r="AX190" s="202"/>
      <c r="AY190" s="202"/>
      <c r="AZ190" s="202"/>
      <c r="BA190" s="202"/>
      <c r="BB190" s="202"/>
      <c r="BC190" s="202"/>
      <c r="BD190" s="203"/>
      <c r="BE190" s="62"/>
      <c r="BF190" s="62"/>
      <c r="BG190" s="62"/>
      <c r="BH190" s="54"/>
      <c r="BI190" s="54"/>
      <c r="BJ190" s="54"/>
      <c r="BK190" s="54"/>
      <c r="BL190" s="54"/>
      <c r="BM190" s="54"/>
      <c r="BN190" s="54"/>
      <c r="BO190" s="57"/>
      <c r="BP190" s="57"/>
      <c r="BQ190" s="57"/>
      <c r="BR190" s="57"/>
    </row>
    <row r="191">
      <c r="A191" s="176">
        <v>187.0</v>
      </c>
      <c r="B191" s="139" t="s">
        <v>1499</v>
      </c>
      <c r="C191" s="234" t="s">
        <v>221</v>
      </c>
      <c r="D191" s="275">
        <v>2.0</v>
      </c>
      <c r="E191" s="275">
        <v>2.0</v>
      </c>
      <c r="F191" s="275">
        <v>0.0</v>
      </c>
      <c r="G191" s="276">
        <v>0.0</v>
      </c>
      <c r="H191" s="276">
        <v>0.0</v>
      </c>
      <c r="I191" s="276">
        <v>0.0</v>
      </c>
      <c r="J191" s="137">
        <v>3.0</v>
      </c>
      <c r="K191" s="137">
        <v>1.0</v>
      </c>
      <c r="L191" s="137">
        <v>0.0</v>
      </c>
      <c r="M191" s="137">
        <v>0.0</v>
      </c>
      <c r="N191" s="137">
        <v>0.0</v>
      </c>
      <c r="O191" s="137">
        <v>0.0</v>
      </c>
      <c r="P191" s="180">
        <v>1.0</v>
      </c>
      <c r="Q191" s="180">
        <v>1.0</v>
      </c>
      <c r="R191" s="62"/>
      <c r="S191" s="210">
        <v>0.17</v>
      </c>
      <c r="T191" s="211">
        <v>0.0</v>
      </c>
      <c r="U191" s="211">
        <v>0.0</v>
      </c>
      <c r="V191" s="211">
        <v>0.0</v>
      </c>
      <c r="W191" s="211">
        <v>0.0</v>
      </c>
      <c r="X191" s="62"/>
      <c r="Y191" s="176">
        <v>0.0</v>
      </c>
      <c r="Z191" s="176">
        <v>0.0</v>
      </c>
      <c r="AA191" s="176">
        <v>0.0</v>
      </c>
      <c r="AB191" s="176">
        <v>0.0</v>
      </c>
      <c r="AC191" s="176">
        <v>0.0</v>
      </c>
      <c r="AD191" s="176">
        <v>0.0</v>
      </c>
      <c r="AE191" s="176">
        <v>0.0</v>
      </c>
      <c r="AF191" s="62"/>
      <c r="AG191" s="54"/>
      <c r="AH191" s="54"/>
      <c r="AI191" s="54"/>
      <c r="AJ191" s="54"/>
      <c r="AK191" s="54"/>
      <c r="AL191" s="54"/>
      <c r="AM191" s="47">
        <v>0.33</v>
      </c>
      <c r="AN191" s="62"/>
      <c r="AO191" s="184">
        <f t="shared" ref="AO191:AS191" si="373">ROUND(E191*(5/12)+K191*(5/12)+S191+Y191-AG191,2)</f>
        <v>1.42</v>
      </c>
      <c r="AP191" s="184">
        <f t="shared" si="373"/>
        <v>0</v>
      </c>
      <c r="AQ191" s="184">
        <f t="shared" si="373"/>
        <v>0</v>
      </c>
      <c r="AR191" s="184">
        <f t="shared" si="373"/>
        <v>0</v>
      </c>
      <c r="AS191" s="184">
        <f t="shared" si="373"/>
        <v>0</v>
      </c>
      <c r="AT191" s="184">
        <f t="shared" ref="AT191:AU191" si="374">P191+AD191-AL191</f>
        <v>1</v>
      </c>
      <c r="AU191" s="184">
        <f t="shared" si="374"/>
        <v>0.67</v>
      </c>
      <c r="AV191" s="62"/>
      <c r="AW191" s="176">
        <v>1.5</v>
      </c>
      <c r="AX191" s="176" t="s">
        <v>913</v>
      </c>
      <c r="AY191" s="176" t="s">
        <v>913</v>
      </c>
      <c r="AZ191" s="176" t="s">
        <v>913</v>
      </c>
      <c r="BA191" s="176" t="s">
        <v>913</v>
      </c>
      <c r="BB191" s="176">
        <v>1.0</v>
      </c>
      <c r="BC191" s="176">
        <v>1.0</v>
      </c>
      <c r="BD191" s="180" t="s">
        <v>1500</v>
      </c>
      <c r="BE191" s="62"/>
      <c r="BF191" s="62"/>
      <c r="BG191" s="62"/>
      <c r="BH191" s="54"/>
      <c r="BI191" s="54"/>
      <c r="BJ191" s="54"/>
      <c r="BK191" s="54"/>
      <c r="BL191" s="54"/>
      <c r="BM191" s="54"/>
      <c r="BN191" s="54"/>
      <c r="BO191" s="113"/>
      <c r="BP191" s="73" t="s">
        <v>1152</v>
      </c>
      <c r="BQ191" s="73" t="s">
        <v>1501</v>
      </c>
      <c r="BR191" s="113"/>
    </row>
    <row r="192">
      <c r="A192" s="176">
        <v>188.0</v>
      </c>
      <c r="B192" s="139" t="s">
        <v>231</v>
      </c>
      <c r="C192" s="234" t="s">
        <v>221</v>
      </c>
      <c r="D192" s="271">
        <v>4.0</v>
      </c>
      <c r="E192" s="271">
        <v>0.0</v>
      </c>
      <c r="F192" s="271">
        <v>0.0</v>
      </c>
      <c r="G192" s="272">
        <v>0.0</v>
      </c>
      <c r="H192" s="272">
        <v>0.0</v>
      </c>
      <c r="I192" s="272">
        <v>0.0</v>
      </c>
      <c r="J192" s="137">
        <v>4.0</v>
      </c>
      <c r="K192" s="137">
        <v>0.0</v>
      </c>
      <c r="L192" s="137">
        <v>0.0</v>
      </c>
      <c r="M192" s="137">
        <v>0.0</v>
      </c>
      <c r="N192" s="137">
        <v>0.0</v>
      </c>
      <c r="O192" s="137">
        <v>0.0</v>
      </c>
      <c r="P192" s="180">
        <v>1.0</v>
      </c>
      <c r="Q192" s="180">
        <v>1.0</v>
      </c>
      <c r="R192" s="62"/>
      <c r="S192" s="176">
        <v>0.0</v>
      </c>
      <c r="T192" s="176">
        <v>0.0</v>
      </c>
      <c r="U192" s="176">
        <v>0.0</v>
      </c>
      <c r="V192" s="176">
        <v>0.0</v>
      </c>
      <c r="W192" s="176">
        <v>0.0</v>
      </c>
      <c r="X192" s="62"/>
      <c r="Y192" s="176">
        <v>0.0</v>
      </c>
      <c r="Z192" s="176">
        <v>0.0</v>
      </c>
      <c r="AA192" s="176">
        <v>0.0</v>
      </c>
      <c r="AB192" s="176">
        <v>0.0</v>
      </c>
      <c r="AC192" s="176">
        <v>0.0</v>
      </c>
      <c r="AD192" s="176">
        <v>0.0</v>
      </c>
      <c r="AE192" s="176">
        <v>0.0</v>
      </c>
      <c r="AF192" s="62"/>
      <c r="AG192" s="54"/>
      <c r="AH192" s="54"/>
      <c r="AI192" s="54"/>
      <c r="AJ192" s="54"/>
      <c r="AK192" s="54"/>
      <c r="AL192" s="54"/>
      <c r="AM192" s="54"/>
      <c r="AN192" s="62"/>
      <c r="AO192" s="184">
        <f t="shared" ref="AO192:AS192" si="375">ROUND(E192*(5/12)+K192*(5/12)+S192+Y192-AG192,2)</f>
        <v>0</v>
      </c>
      <c r="AP192" s="184">
        <f t="shared" si="375"/>
        <v>0</v>
      </c>
      <c r="AQ192" s="184">
        <f t="shared" si="375"/>
        <v>0</v>
      </c>
      <c r="AR192" s="184">
        <f t="shared" si="375"/>
        <v>0</v>
      </c>
      <c r="AS192" s="184">
        <f t="shared" si="375"/>
        <v>0</v>
      </c>
      <c r="AT192" s="184">
        <f t="shared" ref="AT192:AU192" si="376">P192+AD192-AL192</f>
        <v>1</v>
      </c>
      <c r="AU192" s="184">
        <f t="shared" si="376"/>
        <v>1</v>
      </c>
      <c r="AV192" s="62"/>
      <c r="AW192" s="176" t="s">
        <v>913</v>
      </c>
      <c r="AX192" s="176" t="s">
        <v>913</v>
      </c>
      <c r="AY192" s="176" t="s">
        <v>913</v>
      </c>
      <c r="AZ192" s="176" t="s">
        <v>913</v>
      </c>
      <c r="BA192" s="176" t="s">
        <v>913</v>
      </c>
      <c r="BB192" s="176">
        <v>1.0</v>
      </c>
      <c r="BC192" s="176">
        <v>1.0</v>
      </c>
      <c r="BD192" s="180" t="s">
        <v>1502</v>
      </c>
      <c r="BE192" s="62"/>
      <c r="BF192" s="62"/>
      <c r="BG192" s="62"/>
      <c r="BH192" s="54"/>
      <c r="BI192" s="54"/>
      <c r="BJ192" s="54"/>
      <c r="BK192" s="54"/>
      <c r="BL192" s="54"/>
      <c r="BM192" s="54"/>
      <c r="BN192" s="54"/>
      <c r="BO192" s="57"/>
      <c r="BP192" s="58" t="s">
        <v>1152</v>
      </c>
      <c r="BQ192" s="57"/>
      <c r="BR192" s="57"/>
    </row>
    <row r="193">
      <c r="A193" s="176">
        <v>189.0</v>
      </c>
      <c r="B193" s="139" t="s">
        <v>1503</v>
      </c>
      <c r="C193" s="178" t="s">
        <v>234</v>
      </c>
      <c r="D193" s="245">
        <v>1.0</v>
      </c>
      <c r="E193" s="245">
        <v>1.0</v>
      </c>
      <c r="F193" s="245">
        <v>0.0</v>
      </c>
      <c r="G193" s="245">
        <v>0.0</v>
      </c>
      <c r="H193" s="245">
        <v>0.0</v>
      </c>
      <c r="I193" s="245">
        <v>0.0</v>
      </c>
      <c r="J193" s="106">
        <v>0.0</v>
      </c>
      <c r="K193" s="106">
        <v>1.0</v>
      </c>
      <c r="L193" s="106">
        <v>0.0</v>
      </c>
      <c r="M193" s="106">
        <v>0.0</v>
      </c>
      <c r="N193" s="106">
        <v>0.0</v>
      </c>
      <c r="O193" s="106">
        <v>0.0</v>
      </c>
      <c r="P193" s="180">
        <v>1.0</v>
      </c>
      <c r="Q193" s="180">
        <v>1.0</v>
      </c>
      <c r="R193" s="62"/>
      <c r="S193" s="182">
        <v>0.15</v>
      </c>
      <c r="T193" s="183">
        <v>0.02</v>
      </c>
      <c r="U193" s="183">
        <v>0.0</v>
      </c>
      <c r="V193" s="183">
        <v>0.0</v>
      </c>
      <c r="W193" s="183">
        <v>0.0</v>
      </c>
      <c r="X193" s="62"/>
      <c r="Y193" s="176">
        <v>0.0</v>
      </c>
      <c r="Z193" s="176">
        <v>0.0</v>
      </c>
      <c r="AA193" s="176">
        <v>0.0</v>
      </c>
      <c r="AB193" s="176">
        <v>0.0</v>
      </c>
      <c r="AC193" s="176">
        <v>0.0</v>
      </c>
      <c r="AD193" s="176">
        <v>0.0</v>
      </c>
      <c r="AE193" s="176">
        <v>0.0</v>
      </c>
      <c r="AF193" s="62"/>
      <c r="AG193" s="54"/>
      <c r="AH193" s="47"/>
      <c r="AI193" s="47"/>
      <c r="AJ193" s="54"/>
      <c r="AK193" s="54"/>
      <c r="AL193" s="54"/>
      <c r="AM193" s="54"/>
      <c r="AN193" s="62"/>
      <c r="AO193" s="184">
        <f t="shared" ref="AO193:AS193" si="377">ROUND(E193*(5/12)+K193*(5/12)+S193+Y193-AG193,2)</f>
        <v>0.98</v>
      </c>
      <c r="AP193" s="184">
        <f t="shared" si="377"/>
        <v>0.02</v>
      </c>
      <c r="AQ193" s="184">
        <f t="shared" si="377"/>
        <v>0</v>
      </c>
      <c r="AR193" s="184">
        <f t="shared" si="377"/>
        <v>0</v>
      </c>
      <c r="AS193" s="184">
        <f t="shared" si="377"/>
        <v>0</v>
      </c>
      <c r="AT193" s="184">
        <f t="shared" ref="AT193:AU193" si="378">P193+AD193-AL193</f>
        <v>1</v>
      </c>
      <c r="AU193" s="184">
        <f t="shared" si="378"/>
        <v>1</v>
      </c>
      <c r="AV193" s="62"/>
      <c r="AW193" s="176">
        <v>0.5</v>
      </c>
      <c r="AX193" s="176">
        <v>0.0</v>
      </c>
      <c r="AY193" s="176" t="s">
        <v>913</v>
      </c>
      <c r="AZ193" s="176" t="s">
        <v>913</v>
      </c>
      <c r="BA193" s="176" t="s">
        <v>913</v>
      </c>
      <c r="BB193" s="176">
        <v>0.5</v>
      </c>
      <c r="BC193" s="176">
        <v>0.0</v>
      </c>
      <c r="BD193" s="194" t="s">
        <v>1504</v>
      </c>
      <c r="BE193" s="62"/>
      <c r="BF193" s="62"/>
      <c r="BG193" s="62"/>
      <c r="BH193" s="54"/>
      <c r="BI193" s="54"/>
      <c r="BJ193" s="54"/>
      <c r="BK193" s="54"/>
      <c r="BL193" s="54"/>
      <c r="BM193" s="54"/>
      <c r="BN193" s="54"/>
      <c r="BO193" s="57"/>
      <c r="BP193" s="57"/>
      <c r="BQ193" s="57"/>
      <c r="BR193" s="57"/>
    </row>
    <row r="194">
      <c r="A194" s="176">
        <v>190.0</v>
      </c>
      <c r="B194" s="199" t="s">
        <v>1505</v>
      </c>
      <c r="C194" s="178" t="s">
        <v>234</v>
      </c>
      <c r="D194" s="245">
        <v>2.0</v>
      </c>
      <c r="E194" s="245">
        <v>1.0</v>
      </c>
      <c r="F194" s="245">
        <v>0.4</v>
      </c>
      <c r="G194" s="245">
        <v>0.6</v>
      </c>
      <c r="H194" s="245">
        <v>0.0</v>
      </c>
      <c r="I194" s="245">
        <v>0.0</v>
      </c>
      <c r="J194" s="268"/>
      <c r="K194" s="268"/>
      <c r="L194" s="268"/>
      <c r="M194" s="268"/>
      <c r="N194" s="268"/>
      <c r="O194" s="268"/>
      <c r="P194" s="180">
        <v>1.0</v>
      </c>
      <c r="Q194" s="180">
        <v>1.0</v>
      </c>
      <c r="R194" s="62"/>
      <c r="S194" s="187">
        <v>0.33</v>
      </c>
      <c r="T194" s="188">
        <v>0.07</v>
      </c>
      <c r="U194" s="188">
        <v>0.1</v>
      </c>
      <c r="V194" s="188">
        <v>0.0</v>
      </c>
      <c r="W194" s="188">
        <v>0.0</v>
      </c>
      <c r="X194" s="62"/>
      <c r="Y194" s="176">
        <v>0.0</v>
      </c>
      <c r="Z194" s="176">
        <v>0.0</v>
      </c>
      <c r="AA194" s="176">
        <v>0.0</v>
      </c>
      <c r="AB194" s="176">
        <v>0.0</v>
      </c>
      <c r="AC194" s="176">
        <v>0.0</v>
      </c>
      <c r="AD194" s="176">
        <v>0.0</v>
      </c>
      <c r="AE194" s="176">
        <v>0.0</v>
      </c>
      <c r="AF194" s="62"/>
      <c r="AG194" s="54"/>
      <c r="AH194" s="54"/>
      <c r="AI194" s="54"/>
      <c r="AJ194" s="47">
        <v>0.11</v>
      </c>
      <c r="AK194" s="54"/>
      <c r="AL194" s="54"/>
      <c r="AM194" s="54"/>
      <c r="AN194" s="62"/>
      <c r="AO194" s="184">
        <f t="shared" ref="AO194:AS194" si="379">ROUND(E194*(5/12)+K194*(5/12)+S194+Y194-AG194,2)</f>
        <v>0.75</v>
      </c>
      <c r="AP194" s="184">
        <f t="shared" si="379"/>
        <v>0.24</v>
      </c>
      <c r="AQ194" s="184">
        <f t="shared" si="379"/>
        <v>0.35</v>
      </c>
      <c r="AR194" s="184">
        <f t="shared" si="379"/>
        <v>-0.11</v>
      </c>
      <c r="AS194" s="184">
        <f t="shared" si="379"/>
        <v>0</v>
      </c>
      <c r="AT194" s="184">
        <f t="shared" ref="AT194:AU194" si="380">P194+AD194-AL194</f>
        <v>1</v>
      </c>
      <c r="AU194" s="184">
        <f t="shared" si="380"/>
        <v>1</v>
      </c>
      <c r="AV194" s="62"/>
      <c r="AW194" s="202"/>
      <c r="AX194" s="202"/>
      <c r="AY194" s="202"/>
      <c r="AZ194" s="202"/>
      <c r="BA194" s="202"/>
      <c r="BB194" s="202"/>
      <c r="BC194" s="202"/>
      <c r="BD194" s="203"/>
      <c r="BE194" s="62"/>
      <c r="BF194" s="62"/>
      <c r="BG194" s="62"/>
      <c r="BH194" s="54"/>
      <c r="BI194" s="54"/>
      <c r="BJ194" s="54"/>
      <c r="BK194" s="54"/>
      <c r="BL194" s="54"/>
      <c r="BM194" s="54"/>
      <c r="BN194" s="54"/>
      <c r="BO194" s="57"/>
      <c r="BP194" s="57"/>
      <c r="BQ194" s="57"/>
      <c r="BR194" s="57"/>
    </row>
    <row r="195">
      <c r="A195" s="176">
        <v>191.0</v>
      </c>
      <c r="B195" s="177" t="s">
        <v>239</v>
      </c>
      <c r="C195" s="178" t="s">
        <v>234</v>
      </c>
      <c r="D195" s="245">
        <v>3.0</v>
      </c>
      <c r="E195" s="245">
        <v>0.4</v>
      </c>
      <c r="F195" s="245">
        <v>0.6</v>
      </c>
      <c r="G195" s="245">
        <v>0.0</v>
      </c>
      <c r="H195" s="245">
        <v>0.0</v>
      </c>
      <c r="I195" s="245">
        <v>0.0</v>
      </c>
      <c r="J195" s="106">
        <v>3.0</v>
      </c>
      <c r="K195" s="106">
        <v>0.4</v>
      </c>
      <c r="L195" s="106">
        <v>0.6</v>
      </c>
      <c r="M195" s="106">
        <v>0.0</v>
      </c>
      <c r="N195" s="106">
        <v>0.0</v>
      </c>
      <c r="O195" s="106">
        <v>0.0</v>
      </c>
      <c r="P195" s="180">
        <v>1.0</v>
      </c>
      <c r="Q195" s="180">
        <v>1.0</v>
      </c>
      <c r="R195" s="62"/>
      <c r="S195" s="187">
        <v>0.07</v>
      </c>
      <c r="T195" s="188">
        <v>0.1</v>
      </c>
      <c r="U195" s="188">
        <v>0.0</v>
      </c>
      <c r="V195" s="188">
        <v>0.0</v>
      </c>
      <c r="W195" s="188">
        <v>0.0</v>
      </c>
      <c r="X195" s="62"/>
      <c r="Y195" s="176">
        <v>0.0</v>
      </c>
      <c r="Z195" s="176">
        <v>0.0</v>
      </c>
      <c r="AA195" s="176">
        <v>0.0</v>
      </c>
      <c r="AB195" s="176">
        <v>0.0</v>
      </c>
      <c r="AC195" s="176">
        <v>0.0</v>
      </c>
      <c r="AD195" s="176">
        <v>0.0</v>
      </c>
      <c r="AE195" s="176">
        <v>0.0</v>
      </c>
      <c r="AF195" s="62"/>
      <c r="AG195" s="54"/>
      <c r="AH195" s="54"/>
      <c r="AI195" s="54"/>
      <c r="AJ195" s="54"/>
      <c r="AK195" s="54"/>
      <c r="AL195" s="54"/>
      <c r="AM195" s="54"/>
      <c r="AN195" s="62"/>
      <c r="AO195" s="184">
        <f t="shared" ref="AO195:AS195" si="381">ROUND(E195*(5/12)+K195*(5/12)+S195+Y195-AG195,2)</f>
        <v>0.4</v>
      </c>
      <c r="AP195" s="184">
        <f t="shared" si="381"/>
        <v>0.6</v>
      </c>
      <c r="AQ195" s="184">
        <f t="shared" si="381"/>
        <v>0</v>
      </c>
      <c r="AR195" s="184">
        <f t="shared" si="381"/>
        <v>0</v>
      </c>
      <c r="AS195" s="184">
        <f t="shared" si="381"/>
        <v>0</v>
      </c>
      <c r="AT195" s="184">
        <f t="shared" ref="AT195:AU195" si="382">P195+AD195-AL195</f>
        <v>1</v>
      </c>
      <c r="AU195" s="184">
        <f t="shared" si="382"/>
        <v>1</v>
      </c>
      <c r="AV195" s="62"/>
      <c r="AW195" s="176">
        <v>0.0</v>
      </c>
      <c r="AX195" s="176">
        <v>0.56</v>
      </c>
      <c r="AY195" s="176" t="s">
        <v>913</v>
      </c>
      <c r="AZ195" s="176" t="s">
        <v>913</v>
      </c>
      <c r="BA195" s="176" t="s">
        <v>913</v>
      </c>
      <c r="BB195" s="176">
        <v>0.0</v>
      </c>
      <c r="BC195" s="176">
        <v>0.0</v>
      </c>
      <c r="BD195" s="194" t="s">
        <v>1506</v>
      </c>
      <c r="BE195" s="62"/>
      <c r="BF195" s="62"/>
      <c r="BG195" s="62"/>
      <c r="BH195" s="54"/>
      <c r="BI195" s="54"/>
      <c r="BJ195" s="54"/>
      <c r="BK195" s="54"/>
      <c r="BL195" s="54"/>
      <c r="BM195" s="54"/>
      <c r="BN195" s="54"/>
      <c r="BO195" s="57"/>
      <c r="BP195" s="57"/>
      <c r="BQ195" s="57"/>
      <c r="BR195" s="57"/>
    </row>
    <row r="196">
      <c r="A196" s="176">
        <v>192.0</v>
      </c>
      <c r="B196" s="199" t="s">
        <v>1507</v>
      </c>
      <c r="C196" s="178" t="s">
        <v>234</v>
      </c>
      <c r="D196" s="245">
        <v>2.0</v>
      </c>
      <c r="E196" s="245">
        <v>1.5</v>
      </c>
      <c r="F196" s="245">
        <v>0.2</v>
      </c>
      <c r="G196" s="245">
        <v>0.3</v>
      </c>
      <c r="H196" s="245">
        <v>0.0</v>
      </c>
      <c r="I196" s="245">
        <v>0.0</v>
      </c>
      <c r="J196" s="258"/>
      <c r="K196" s="258"/>
      <c r="L196" s="258"/>
      <c r="M196" s="258"/>
      <c r="N196" s="258"/>
      <c r="O196" s="258"/>
      <c r="P196" s="180">
        <v>1.0</v>
      </c>
      <c r="Q196" s="180">
        <v>1.0</v>
      </c>
      <c r="R196" s="62"/>
      <c r="S196" s="187">
        <v>0.32</v>
      </c>
      <c r="T196" s="188">
        <v>0.02</v>
      </c>
      <c r="U196" s="188">
        <v>0.0</v>
      </c>
      <c r="V196" s="188">
        <v>0.0</v>
      </c>
      <c r="W196" s="188">
        <v>0.0</v>
      </c>
      <c r="X196" s="62"/>
      <c r="Y196" s="176">
        <v>0.0</v>
      </c>
      <c r="Z196" s="176">
        <v>0.0</v>
      </c>
      <c r="AA196" s="176">
        <v>0.0</v>
      </c>
      <c r="AB196" s="176">
        <v>0.0</v>
      </c>
      <c r="AC196" s="176">
        <v>0.0</v>
      </c>
      <c r="AD196" s="176">
        <v>0.0</v>
      </c>
      <c r="AE196" s="176">
        <v>0.0</v>
      </c>
      <c r="AF196" s="62"/>
      <c r="AG196" s="54"/>
      <c r="AH196" s="54"/>
      <c r="AI196" s="54"/>
      <c r="AJ196" s="54"/>
      <c r="AK196" s="54"/>
      <c r="AL196" s="54"/>
      <c r="AM196" s="54"/>
      <c r="AN196" s="62"/>
      <c r="AO196" s="184">
        <f t="shared" ref="AO196:AS196" si="383">ROUND(E196*(5/12)+K196*(5/12)+S196+Y196-AG196,2)</f>
        <v>0.95</v>
      </c>
      <c r="AP196" s="184">
        <f t="shared" si="383"/>
        <v>0.1</v>
      </c>
      <c r="AQ196" s="184">
        <f t="shared" si="383"/>
        <v>0.13</v>
      </c>
      <c r="AR196" s="184">
        <f t="shared" si="383"/>
        <v>0</v>
      </c>
      <c r="AS196" s="184">
        <f t="shared" si="383"/>
        <v>0</v>
      </c>
      <c r="AT196" s="184">
        <f t="shared" ref="AT196:AU196" si="384">P196+AD196-AL196</f>
        <v>1</v>
      </c>
      <c r="AU196" s="184">
        <f t="shared" si="384"/>
        <v>1</v>
      </c>
      <c r="AV196" s="62"/>
      <c r="AW196" s="202"/>
      <c r="AX196" s="202"/>
      <c r="AY196" s="202"/>
      <c r="AZ196" s="202"/>
      <c r="BA196" s="202"/>
      <c r="BB196" s="202"/>
      <c r="BC196" s="202"/>
      <c r="BD196" s="203"/>
      <c r="BE196" s="62"/>
      <c r="BF196" s="62"/>
      <c r="BG196" s="62"/>
      <c r="BH196" s="54"/>
      <c r="BI196" s="54"/>
      <c r="BJ196" s="54"/>
      <c r="BK196" s="54"/>
      <c r="BL196" s="54"/>
      <c r="BM196" s="54"/>
      <c r="BN196" s="54"/>
      <c r="BO196" s="57"/>
      <c r="BP196" s="57"/>
      <c r="BQ196" s="57"/>
      <c r="BR196" s="57"/>
    </row>
    <row r="197">
      <c r="A197" s="176">
        <v>193.0</v>
      </c>
      <c r="B197" s="177" t="s">
        <v>1508</v>
      </c>
      <c r="C197" s="178" t="s">
        <v>234</v>
      </c>
      <c r="D197" s="245">
        <v>4.0</v>
      </c>
      <c r="E197" s="245">
        <v>0.0</v>
      </c>
      <c r="F197" s="245">
        <v>0.0</v>
      </c>
      <c r="G197" s="245">
        <v>0.0</v>
      </c>
      <c r="H197" s="245">
        <v>0.0</v>
      </c>
      <c r="I197" s="245">
        <v>0.0</v>
      </c>
      <c r="J197" s="106">
        <v>4.0</v>
      </c>
      <c r="K197" s="106">
        <v>0.0</v>
      </c>
      <c r="L197" s="106">
        <v>0.0</v>
      </c>
      <c r="M197" s="106">
        <v>0.0</v>
      </c>
      <c r="N197" s="106">
        <v>0.0</v>
      </c>
      <c r="O197" s="106">
        <v>0.0</v>
      </c>
      <c r="P197" s="180">
        <v>1.0</v>
      </c>
      <c r="Q197" s="180">
        <v>1.0</v>
      </c>
      <c r="R197" s="62"/>
      <c r="S197" s="182">
        <v>0.0</v>
      </c>
      <c r="T197" s="183">
        <v>0.0</v>
      </c>
      <c r="U197" s="183">
        <v>0.0</v>
      </c>
      <c r="V197" s="183">
        <v>0.0</v>
      </c>
      <c r="W197" s="183">
        <v>0.0</v>
      </c>
      <c r="X197" s="62"/>
      <c r="Y197" s="176">
        <v>0.0</v>
      </c>
      <c r="Z197" s="176">
        <v>0.0</v>
      </c>
      <c r="AA197" s="176">
        <v>0.0</v>
      </c>
      <c r="AB197" s="176">
        <v>0.0</v>
      </c>
      <c r="AC197" s="176">
        <v>0.0</v>
      </c>
      <c r="AD197" s="176">
        <v>0.0</v>
      </c>
      <c r="AE197" s="176">
        <v>0.0</v>
      </c>
      <c r="AF197" s="62"/>
      <c r="AG197" s="54"/>
      <c r="AH197" s="54"/>
      <c r="AI197" s="54"/>
      <c r="AJ197" s="54"/>
      <c r="AK197" s="54"/>
      <c r="AL197" s="54"/>
      <c r="AM197" s="54"/>
      <c r="AN197" s="62"/>
      <c r="AO197" s="184">
        <f t="shared" ref="AO197:AS197" si="385">ROUND(E197*(5/12)+K197*(5/12)+S197+Y197-AG197,2)</f>
        <v>0</v>
      </c>
      <c r="AP197" s="184">
        <f t="shared" si="385"/>
        <v>0</v>
      </c>
      <c r="AQ197" s="184">
        <f t="shared" si="385"/>
        <v>0</v>
      </c>
      <c r="AR197" s="184">
        <f t="shared" si="385"/>
        <v>0</v>
      </c>
      <c r="AS197" s="184">
        <f t="shared" si="385"/>
        <v>0</v>
      </c>
      <c r="AT197" s="184">
        <f t="shared" ref="AT197:AU197" si="386">P197+AD197-AL197</f>
        <v>1</v>
      </c>
      <c r="AU197" s="184">
        <f t="shared" si="386"/>
        <v>1</v>
      </c>
      <c r="AV197" s="62"/>
      <c r="AW197" s="176" t="s">
        <v>913</v>
      </c>
      <c r="AX197" s="176" t="s">
        <v>913</v>
      </c>
      <c r="AY197" s="176" t="s">
        <v>913</v>
      </c>
      <c r="AZ197" s="176" t="s">
        <v>913</v>
      </c>
      <c r="BA197" s="176" t="s">
        <v>913</v>
      </c>
      <c r="BB197" s="176">
        <v>0.0</v>
      </c>
      <c r="BC197" s="176">
        <v>0.0</v>
      </c>
      <c r="BD197" s="195" t="s">
        <v>1509</v>
      </c>
      <c r="BE197" s="62"/>
      <c r="BF197" s="62"/>
      <c r="BG197" s="62"/>
      <c r="BH197" s="54"/>
      <c r="BI197" s="54"/>
      <c r="BJ197" s="54"/>
      <c r="BK197" s="54"/>
      <c r="BL197" s="54"/>
      <c r="BM197" s="54"/>
      <c r="BN197" s="54"/>
      <c r="BO197" s="57"/>
      <c r="BP197" s="57"/>
      <c r="BQ197" s="57"/>
      <c r="BR197" s="57"/>
    </row>
    <row r="198">
      <c r="A198" s="176">
        <v>194.0</v>
      </c>
      <c r="B198" s="199" t="s">
        <v>1510</v>
      </c>
      <c r="C198" s="178" t="s">
        <v>234</v>
      </c>
      <c r="D198" s="245">
        <v>4.0</v>
      </c>
      <c r="E198" s="245">
        <v>0.0</v>
      </c>
      <c r="F198" s="245">
        <v>0.0</v>
      </c>
      <c r="G198" s="245">
        <v>0.3</v>
      </c>
      <c r="H198" s="245">
        <v>0.0</v>
      </c>
      <c r="I198" s="245">
        <v>0.0</v>
      </c>
      <c r="J198" s="268"/>
      <c r="K198" s="268"/>
      <c r="L198" s="268"/>
      <c r="M198" s="268"/>
      <c r="N198" s="268"/>
      <c r="O198" s="268"/>
      <c r="P198" s="180">
        <v>1.0</v>
      </c>
      <c r="Q198" s="180">
        <v>1.0</v>
      </c>
      <c r="R198" s="62"/>
      <c r="S198" s="182">
        <v>0.0</v>
      </c>
      <c r="T198" s="183">
        <v>0.0</v>
      </c>
      <c r="U198" s="183">
        <v>0.05</v>
      </c>
      <c r="V198" s="183">
        <v>0.0</v>
      </c>
      <c r="W198" s="183">
        <v>0.0</v>
      </c>
      <c r="X198" s="62"/>
      <c r="Y198" s="176">
        <v>0.0</v>
      </c>
      <c r="Z198" s="176">
        <v>0.0</v>
      </c>
      <c r="AA198" s="176">
        <v>0.0</v>
      </c>
      <c r="AB198" s="176">
        <v>0.0</v>
      </c>
      <c r="AC198" s="176">
        <v>0.0</v>
      </c>
      <c r="AD198" s="176">
        <v>0.0</v>
      </c>
      <c r="AE198" s="176">
        <v>0.0</v>
      </c>
      <c r="AF198" s="62"/>
      <c r="AG198" s="54"/>
      <c r="AH198" s="54"/>
      <c r="AI198" s="54"/>
      <c r="AJ198" s="54"/>
      <c r="AK198" s="54"/>
      <c r="AL198" s="54"/>
      <c r="AM198" s="54"/>
      <c r="AN198" s="62"/>
      <c r="AO198" s="184">
        <f t="shared" ref="AO198:AS198" si="387">ROUND(E198*(5/12)+K198*(5/12)+S198+Y198-AG198,2)</f>
        <v>0</v>
      </c>
      <c r="AP198" s="184">
        <f t="shared" si="387"/>
        <v>0</v>
      </c>
      <c r="AQ198" s="184">
        <f t="shared" si="387"/>
        <v>0.18</v>
      </c>
      <c r="AR198" s="184">
        <f t="shared" si="387"/>
        <v>0</v>
      </c>
      <c r="AS198" s="184">
        <f t="shared" si="387"/>
        <v>0</v>
      </c>
      <c r="AT198" s="184">
        <f t="shared" ref="AT198:AU198" si="388">P198+AD198-AL198</f>
        <v>1</v>
      </c>
      <c r="AU198" s="184">
        <f t="shared" si="388"/>
        <v>1</v>
      </c>
      <c r="AV198" s="62"/>
      <c r="AW198" s="202"/>
      <c r="AX198" s="202"/>
      <c r="AY198" s="202"/>
      <c r="AZ198" s="202"/>
      <c r="BA198" s="202"/>
      <c r="BB198" s="202"/>
      <c r="BC198" s="202"/>
      <c r="BD198" s="228"/>
      <c r="BE198" s="62"/>
      <c r="BF198" s="62"/>
      <c r="BG198" s="62"/>
      <c r="BH198" s="54"/>
      <c r="BI198" s="54"/>
      <c r="BJ198" s="54"/>
      <c r="BK198" s="54"/>
      <c r="BL198" s="54"/>
      <c r="BM198" s="54"/>
      <c r="BN198" s="54"/>
      <c r="BO198" s="57"/>
      <c r="BP198" s="57"/>
      <c r="BQ198" s="57"/>
      <c r="BR198" s="57"/>
    </row>
    <row r="199">
      <c r="A199" s="176">
        <v>195.0</v>
      </c>
      <c r="B199" s="177" t="s">
        <v>1511</v>
      </c>
      <c r="C199" s="178" t="s">
        <v>234</v>
      </c>
      <c r="D199" s="245">
        <v>2.0</v>
      </c>
      <c r="E199" s="245">
        <v>1.0</v>
      </c>
      <c r="F199" s="245">
        <v>0.0</v>
      </c>
      <c r="G199" s="245">
        <v>0.0</v>
      </c>
      <c r="H199" s="245">
        <v>0.6</v>
      </c>
      <c r="I199" s="245">
        <v>0.4</v>
      </c>
      <c r="J199" s="106">
        <v>2.0</v>
      </c>
      <c r="K199" s="106">
        <v>1.0</v>
      </c>
      <c r="L199" s="106">
        <v>0.0</v>
      </c>
      <c r="M199" s="106">
        <v>0.0</v>
      </c>
      <c r="N199" s="106">
        <v>0.4</v>
      </c>
      <c r="O199" s="106">
        <v>0.6</v>
      </c>
      <c r="P199" s="180">
        <v>1.0</v>
      </c>
      <c r="Q199" s="180">
        <v>1.0</v>
      </c>
      <c r="R199" s="62"/>
      <c r="S199" s="187">
        <v>0.18</v>
      </c>
      <c r="T199" s="188">
        <v>0.0</v>
      </c>
      <c r="U199" s="188">
        <v>0.05</v>
      </c>
      <c r="V199" s="188">
        <v>0.1</v>
      </c>
      <c r="W199" s="188">
        <v>0.0</v>
      </c>
      <c r="X199" s="62"/>
      <c r="Y199" s="176">
        <v>0.0</v>
      </c>
      <c r="Z199" s="176">
        <v>0.0</v>
      </c>
      <c r="AA199" s="176">
        <v>0.0</v>
      </c>
      <c r="AB199" s="176">
        <v>0.0</v>
      </c>
      <c r="AC199" s="176">
        <v>0.0</v>
      </c>
      <c r="AD199" s="176">
        <v>0.0</v>
      </c>
      <c r="AE199" s="176">
        <v>0.0</v>
      </c>
      <c r="AF199" s="62"/>
      <c r="AG199" s="54"/>
      <c r="AH199" s="54"/>
      <c r="AI199" s="54"/>
      <c r="AJ199" s="54"/>
      <c r="AK199" s="54"/>
      <c r="AL199" s="54"/>
      <c r="AM199" s="54"/>
      <c r="AN199" s="62"/>
      <c r="AO199" s="184">
        <f t="shared" ref="AO199:AS199" si="389">ROUND(E199*(5/12)+K199*(5/12)+S199+Y199-AG199,2)</f>
        <v>1.01</v>
      </c>
      <c r="AP199" s="184">
        <f t="shared" si="389"/>
        <v>0</v>
      </c>
      <c r="AQ199" s="184">
        <f t="shared" si="389"/>
        <v>0.05</v>
      </c>
      <c r="AR199" s="184">
        <f t="shared" si="389"/>
        <v>0.52</v>
      </c>
      <c r="AS199" s="184">
        <f t="shared" si="389"/>
        <v>0.42</v>
      </c>
      <c r="AT199" s="184">
        <f t="shared" ref="AT199:AU199" si="390">P199+AD199-AL199</f>
        <v>1</v>
      </c>
      <c r="AU199" s="184">
        <f t="shared" si="390"/>
        <v>1</v>
      </c>
      <c r="AV199" s="62"/>
      <c r="AW199" s="176">
        <v>0.0</v>
      </c>
      <c r="AX199" s="176" t="s">
        <v>913</v>
      </c>
      <c r="AY199" s="176">
        <v>0.1</v>
      </c>
      <c r="AZ199" s="176">
        <v>0.0</v>
      </c>
      <c r="BA199" s="176">
        <v>0.0</v>
      </c>
      <c r="BB199" s="176">
        <v>0.0</v>
      </c>
      <c r="BC199" s="176">
        <v>1.0</v>
      </c>
      <c r="BD199" s="180" t="s">
        <v>1512</v>
      </c>
      <c r="BE199" s="62"/>
      <c r="BF199" s="62"/>
      <c r="BG199" s="62"/>
      <c r="BH199" s="54"/>
      <c r="BI199" s="54"/>
      <c r="BJ199" s="54"/>
      <c r="BK199" s="54"/>
      <c r="BL199" s="54"/>
      <c r="BM199" s="54"/>
      <c r="BN199" s="54"/>
      <c r="BO199" s="57"/>
      <c r="BP199" s="57"/>
      <c r="BQ199" s="57"/>
      <c r="BR199" s="57"/>
    </row>
    <row r="200">
      <c r="A200" s="176">
        <v>196.0</v>
      </c>
      <c r="B200" s="139" t="s">
        <v>1513</v>
      </c>
      <c r="C200" s="178" t="s">
        <v>234</v>
      </c>
      <c r="D200" s="245">
        <v>2.0</v>
      </c>
      <c r="E200" s="245">
        <v>1.8</v>
      </c>
      <c r="F200" s="245">
        <v>0.0</v>
      </c>
      <c r="G200" s="245">
        <v>0.0</v>
      </c>
      <c r="H200" s="245">
        <v>0.0</v>
      </c>
      <c r="I200" s="245">
        <v>0.2</v>
      </c>
      <c r="J200" s="106">
        <v>2.0</v>
      </c>
      <c r="K200" s="106">
        <v>1.0</v>
      </c>
      <c r="L200" s="106">
        <v>0.4</v>
      </c>
      <c r="M200" s="106">
        <v>0.6</v>
      </c>
      <c r="N200" s="106">
        <v>0.0</v>
      </c>
      <c r="O200" s="106">
        <v>0.0</v>
      </c>
      <c r="P200" s="180">
        <v>1.0</v>
      </c>
      <c r="Q200" s="180">
        <v>1.0</v>
      </c>
      <c r="R200" s="62"/>
      <c r="S200" s="182">
        <v>0.07</v>
      </c>
      <c r="T200" s="183">
        <v>0.0</v>
      </c>
      <c r="U200" s="183">
        <v>0.0</v>
      </c>
      <c r="V200" s="183">
        <v>0.0</v>
      </c>
      <c r="W200" s="183">
        <v>0.1</v>
      </c>
      <c r="X200" s="62"/>
      <c r="Y200" s="176">
        <v>0.0</v>
      </c>
      <c r="Z200" s="176">
        <v>0.0</v>
      </c>
      <c r="AA200" s="176">
        <v>0.0</v>
      </c>
      <c r="AB200" s="176">
        <v>0.0</v>
      </c>
      <c r="AC200" s="176">
        <v>0.0</v>
      </c>
      <c r="AD200" s="176">
        <v>0.0</v>
      </c>
      <c r="AE200" s="176">
        <v>0.0</v>
      </c>
      <c r="AF200" s="62"/>
      <c r="AG200" s="47"/>
      <c r="AH200" s="54"/>
      <c r="AI200" s="54"/>
      <c r="AJ200" s="54"/>
      <c r="AK200" s="54"/>
      <c r="AL200" s="54"/>
      <c r="AM200" s="54"/>
      <c r="AN200" s="62"/>
      <c r="AO200" s="184">
        <f t="shared" ref="AO200:AS200" si="391">ROUND(E200*(5/12)+K200*(5/12)+S200+Y200-AG200,2)</f>
        <v>1.24</v>
      </c>
      <c r="AP200" s="184">
        <f t="shared" si="391"/>
        <v>0.17</v>
      </c>
      <c r="AQ200" s="184">
        <f t="shared" si="391"/>
        <v>0.25</v>
      </c>
      <c r="AR200" s="184">
        <f t="shared" si="391"/>
        <v>0</v>
      </c>
      <c r="AS200" s="184">
        <f t="shared" si="391"/>
        <v>0.18</v>
      </c>
      <c r="AT200" s="184">
        <f t="shared" ref="AT200:AU200" si="392">P200+AD200-AL200</f>
        <v>1</v>
      </c>
      <c r="AU200" s="184">
        <f t="shared" si="392"/>
        <v>1</v>
      </c>
      <c r="AV200" s="62"/>
      <c r="AW200" s="176">
        <v>0.0</v>
      </c>
      <c r="AX200" s="176">
        <v>0.0</v>
      </c>
      <c r="AY200" s="176">
        <v>0.0</v>
      </c>
      <c r="AZ200" s="176" t="s">
        <v>913</v>
      </c>
      <c r="BA200" s="176">
        <v>0.0</v>
      </c>
      <c r="BB200" s="176">
        <v>0.0</v>
      </c>
      <c r="BC200" s="176">
        <v>0.0</v>
      </c>
      <c r="BD200" s="180" t="s">
        <v>1514</v>
      </c>
      <c r="BE200" s="62"/>
      <c r="BF200" s="62"/>
      <c r="BG200" s="62"/>
      <c r="BH200" s="54"/>
      <c r="BI200" s="54"/>
      <c r="BJ200" s="54"/>
      <c r="BK200" s="54"/>
      <c r="BL200" s="54"/>
      <c r="BM200" s="54"/>
      <c r="BN200" s="54"/>
      <c r="BO200" s="57"/>
      <c r="BP200" s="57"/>
      <c r="BQ200" s="57"/>
      <c r="BR200" s="57"/>
    </row>
    <row r="201">
      <c r="A201" s="176">
        <v>197.0</v>
      </c>
      <c r="B201" s="139" t="s">
        <v>1515</v>
      </c>
      <c r="C201" s="178" t="s">
        <v>234</v>
      </c>
      <c r="D201" s="245">
        <v>0.0</v>
      </c>
      <c r="E201" s="245">
        <v>4.0</v>
      </c>
      <c r="F201" s="245">
        <v>0.0</v>
      </c>
      <c r="G201" s="245">
        <v>0.0</v>
      </c>
      <c r="H201" s="245">
        <v>0.0</v>
      </c>
      <c r="I201" s="245">
        <v>0.0</v>
      </c>
      <c r="J201" s="106">
        <v>0.0</v>
      </c>
      <c r="K201" s="106">
        <v>4.0</v>
      </c>
      <c r="L201" s="106">
        <v>0.0</v>
      </c>
      <c r="M201" s="106">
        <v>0.0</v>
      </c>
      <c r="N201" s="106">
        <v>0.0</v>
      </c>
      <c r="O201" s="106">
        <v>0.0</v>
      </c>
      <c r="P201" s="180">
        <v>1.0</v>
      </c>
      <c r="Q201" s="180">
        <v>1.0</v>
      </c>
      <c r="R201" s="62"/>
      <c r="S201" s="182">
        <v>0.67</v>
      </c>
      <c r="T201" s="183">
        <v>0.0</v>
      </c>
      <c r="U201" s="183">
        <v>0.0</v>
      </c>
      <c r="V201" s="183">
        <v>0.0</v>
      </c>
      <c r="W201" s="183">
        <v>0.0</v>
      </c>
      <c r="X201" s="62"/>
      <c r="Y201" s="176">
        <v>0.0</v>
      </c>
      <c r="Z201" s="176">
        <v>0.0</v>
      </c>
      <c r="AA201" s="176">
        <v>0.0</v>
      </c>
      <c r="AB201" s="176">
        <v>0.0</v>
      </c>
      <c r="AC201" s="176">
        <v>0.0</v>
      </c>
      <c r="AD201" s="176">
        <v>0.0</v>
      </c>
      <c r="AE201" s="176">
        <v>0.0</v>
      </c>
      <c r="AF201" s="62"/>
      <c r="AG201" s="47">
        <v>0.0</v>
      </c>
      <c r="AH201" s="47">
        <v>0.0</v>
      </c>
      <c r="AI201" s="47">
        <v>0.0</v>
      </c>
      <c r="AJ201" s="54"/>
      <c r="AK201" s="54"/>
      <c r="AL201" s="54"/>
      <c r="AM201" s="54"/>
      <c r="AN201" s="62"/>
      <c r="AO201" s="184">
        <f t="shared" ref="AO201:AS201" si="393">ROUND(E201*(5/12)+K201*(5/12)+S201+Y201-AG201,2)</f>
        <v>4</v>
      </c>
      <c r="AP201" s="184">
        <f t="shared" si="393"/>
        <v>0</v>
      </c>
      <c r="AQ201" s="184">
        <f t="shared" si="393"/>
        <v>0</v>
      </c>
      <c r="AR201" s="184">
        <f t="shared" si="393"/>
        <v>0</v>
      </c>
      <c r="AS201" s="184">
        <f t="shared" si="393"/>
        <v>0</v>
      </c>
      <c r="AT201" s="184">
        <f t="shared" ref="AT201:AU201" si="394">P201+AD201-AL201</f>
        <v>1</v>
      </c>
      <c r="AU201" s="184">
        <f t="shared" si="394"/>
        <v>1</v>
      </c>
      <c r="AV201" s="62"/>
      <c r="AW201" s="176">
        <v>4.0</v>
      </c>
      <c r="AX201" s="176" t="s">
        <v>913</v>
      </c>
      <c r="AY201" s="176" t="s">
        <v>913</v>
      </c>
      <c r="AZ201" s="176" t="s">
        <v>913</v>
      </c>
      <c r="BA201" s="176" t="s">
        <v>913</v>
      </c>
      <c r="BB201" s="176">
        <v>1.0</v>
      </c>
      <c r="BC201" s="176">
        <v>0.0</v>
      </c>
      <c r="BD201" s="95" t="s">
        <v>1516</v>
      </c>
      <c r="BE201" s="62"/>
      <c r="BF201" s="62"/>
      <c r="BG201" s="62"/>
      <c r="BH201" s="54"/>
      <c r="BI201" s="54"/>
      <c r="BJ201" s="72"/>
      <c r="BK201" s="54"/>
      <c r="BL201" s="54"/>
      <c r="BM201" s="54"/>
      <c r="BN201" s="54"/>
      <c r="BO201" s="58"/>
      <c r="BP201" s="57"/>
      <c r="BQ201" s="57"/>
      <c r="BR201" s="57"/>
    </row>
    <row r="202">
      <c r="A202" s="176">
        <v>198.0</v>
      </c>
      <c r="B202" s="277" t="s">
        <v>1517</v>
      </c>
      <c r="C202" s="178" t="s">
        <v>234</v>
      </c>
      <c r="D202" s="245">
        <v>2.0</v>
      </c>
      <c r="E202" s="245">
        <v>2.0</v>
      </c>
      <c r="F202" s="245">
        <v>0.0</v>
      </c>
      <c r="G202" s="245">
        <v>0.0</v>
      </c>
      <c r="H202" s="245">
        <v>0.0</v>
      </c>
      <c r="I202" s="245">
        <v>0.0</v>
      </c>
      <c r="J202" s="258"/>
      <c r="K202" s="258"/>
      <c r="L202" s="278"/>
      <c r="M202" s="278"/>
      <c r="N202" s="258"/>
      <c r="O202" s="278"/>
      <c r="P202" s="180">
        <v>1.0</v>
      </c>
      <c r="Q202" s="180">
        <v>1.0</v>
      </c>
      <c r="R202" s="62"/>
      <c r="S202" s="182">
        <v>0.0</v>
      </c>
      <c r="T202" s="183">
        <v>0.0</v>
      </c>
      <c r="U202" s="183">
        <v>0.0</v>
      </c>
      <c r="V202" s="183">
        <v>0.0</v>
      </c>
      <c r="W202" s="183">
        <v>0.0</v>
      </c>
      <c r="X202" s="62"/>
      <c r="Y202" s="176">
        <v>0.0</v>
      </c>
      <c r="Z202" s="176">
        <v>0.0</v>
      </c>
      <c r="AA202" s="176">
        <v>0.0</v>
      </c>
      <c r="AB202" s="176">
        <v>0.0</v>
      </c>
      <c r="AC202" s="176">
        <v>0.0</v>
      </c>
      <c r="AD202" s="176">
        <v>0.0</v>
      </c>
      <c r="AE202" s="176">
        <v>0.0</v>
      </c>
      <c r="AF202" s="62"/>
      <c r="AG202" s="54"/>
      <c r="AH202" s="54"/>
      <c r="AI202" s="54"/>
      <c r="AJ202" s="54"/>
      <c r="AK202" s="54"/>
      <c r="AL202" s="54"/>
      <c r="AM202" s="54"/>
      <c r="AN202" s="62"/>
      <c r="AO202" s="184">
        <f t="shared" ref="AO202:AS202" si="395">ROUND(E202*(5/12)+K202*(5/12)+S202+Y202-AG202,2)</f>
        <v>0.83</v>
      </c>
      <c r="AP202" s="184">
        <f t="shared" si="395"/>
        <v>0</v>
      </c>
      <c r="AQ202" s="184">
        <f t="shared" si="395"/>
        <v>0</v>
      </c>
      <c r="AR202" s="184">
        <f t="shared" si="395"/>
        <v>0</v>
      </c>
      <c r="AS202" s="184">
        <f t="shared" si="395"/>
        <v>0</v>
      </c>
      <c r="AT202" s="184">
        <f t="shared" ref="AT202:AU202" si="396">P202+AD202-AL202</f>
        <v>1</v>
      </c>
      <c r="AU202" s="184">
        <f t="shared" si="396"/>
        <v>1</v>
      </c>
      <c r="AV202" s="62"/>
      <c r="AW202" s="202"/>
      <c r="AX202" s="202"/>
      <c r="AY202" s="202"/>
      <c r="AZ202" s="202"/>
      <c r="BA202" s="202"/>
      <c r="BB202" s="202"/>
      <c r="BC202" s="202"/>
      <c r="BD202" s="203"/>
      <c r="BE202" s="62"/>
      <c r="BF202" s="62"/>
      <c r="BG202" s="62"/>
      <c r="BH202" s="54"/>
      <c r="BI202" s="54"/>
      <c r="BJ202" s="54"/>
      <c r="BK202" s="54"/>
      <c r="BL202" s="54"/>
      <c r="BM202" s="54"/>
      <c r="BN202" s="54"/>
      <c r="BO202" s="57"/>
      <c r="BP202" s="58"/>
      <c r="BQ202" s="57"/>
      <c r="BR202" s="57"/>
    </row>
    <row r="203">
      <c r="A203" s="176">
        <v>199.0</v>
      </c>
      <c r="B203" s="254" t="s">
        <v>244</v>
      </c>
      <c r="C203" s="178" t="s">
        <v>234</v>
      </c>
      <c r="D203" s="245">
        <v>3.0</v>
      </c>
      <c r="E203" s="245">
        <v>1.0</v>
      </c>
      <c r="F203" s="245">
        <v>0.0</v>
      </c>
      <c r="G203" s="245">
        <v>0.0</v>
      </c>
      <c r="H203" s="245">
        <v>0.0</v>
      </c>
      <c r="I203" s="245">
        <v>0.0</v>
      </c>
      <c r="J203" s="106">
        <v>4.0</v>
      </c>
      <c r="K203" s="106">
        <v>0.0</v>
      </c>
      <c r="L203" s="106">
        <v>0.0</v>
      </c>
      <c r="M203" s="106">
        <v>0.0</v>
      </c>
      <c r="N203" s="106">
        <v>0.0</v>
      </c>
      <c r="O203" s="106">
        <v>0.0</v>
      </c>
      <c r="P203" s="180">
        <v>1.0</v>
      </c>
      <c r="Q203" s="180">
        <v>1.0</v>
      </c>
      <c r="R203" s="62"/>
      <c r="S203" s="187">
        <v>0.17</v>
      </c>
      <c r="T203" s="188">
        <v>0.0</v>
      </c>
      <c r="U203" s="188">
        <v>0.0</v>
      </c>
      <c r="V203" s="188">
        <v>0.0</v>
      </c>
      <c r="W203" s="188">
        <v>0.0</v>
      </c>
      <c r="X203" s="62"/>
      <c r="Y203" s="176">
        <v>0.0</v>
      </c>
      <c r="Z203" s="176">
        <v>0.0</v>
      </c>
      <c r="AA203" s="176">
        <v>0.0</v>
      </c>
      <c r="AB203" s="176">
        <v>0.0</v>
      </c>
      <c r="AC203" s="176">
        <v>0.0</v>
      </c>
      <c r="AD203" s="176">
        <v>0.0</v>
      </c>
      <c r="AE203" s="176">
        <v>0.0</v>
      </c>
      <c r="AF203" s="62"/>
      <c r="AG203" s="54"/>
      <c r="AH203" s="54"/>
      <c r="AI203" s="54"/>
      <c r="AJ203" s="54"/>
      <c r="AK203" s="54"/>
      <c r="AL203" s="54"/>
      <c r="AM203" s="47"/>
      <c r="AN203" s="62"/>
      <c r="AO203" s="184">
        <f t="shared" ref="AO203:AS203" si="397">ROUND(E203*(5/12)+K203*(5/12)+S203+Y203-AG203,2)</f>
        <v>0.59</v>
      </c>
      <c r="AP203" s="184">
        <f t="shared" si="397"/>
        <v>0</v>
      </c>
      <c r="AQ203" s="184">
        <f t="shared" si="397"/>
        <v>0</v>
      </c>
      <c r="AR203" s="184">
        <f t="shared" si="397"/>
        <v>0</v>
      </c>
      <c r="AS203" s="184">
        <f t="shared" si="397"/>
        <v>0</v>
      </c>
      <c r="AT203" s="184">
        <f t="shared" ref="AT203:AU203" si="398">P203+AD203-AL203</f>
        <v>1</v>
      </c>
      <c r="AU203" s="184">
        <f t="shared" si="398"/>
        <v>1</v>
      </c>
      <c r="AV203" s="62"/>
      <c r="AW203" s="176">
        <v>0.0</v>
      </c>
      <c r="AX203" s="176" t="s">
        <v>913</v>
      </c>
      <c r="AY203" s="176" t="s">
        <v>913</v>
      </c>
      <c r="AZ203" s="176" t="s">
        <v>913</v>
      </c>
      <c r="BA203" s="176" t="s">
        <v>913</v>
      </c>
      <c r="BB203" s="176">
        <v>0.0</v>
      </c>
      <c r="BC203" s="176">
        <v>0.0</v>
      </c>
      <c r="BD203" s="195" t="s">
        <v>1518</v>
      </c>
      <c r="BE203" s="62"/>
      <c r="BF203" s="62"/>
      <c r="BG203" s="62"/>
      <c r="BH203" s="54"/>
      <c r="BI203" s="54"/>
      <c r="BJ203" s="54"/>
      <c r="BK203" s="54"/>
      <c r="BL203" s="72"/>
      <c r="BM203" s="54"/>
      <c r="BN203" s="54"/>
      <c r="BO203" s="58"/>
      <c r="BP203" s="58"/>
      <c r="BQ203" s="57"/>
      <c r="BR203" s="57"/>
    </row>
    <row r="204">
      <c r="A204" s="176">
        <v>200.0</v>
      </c>
      <c r="B204" s="279" t="s">
        <v>1519</v>
      </c>
      <c r="C204" s="178" t="s">
        <v>234</v>
      </c>
      <c r="D204" s="245">
        <v>2.0</v>
      </c>
      <c r="E204" s="245">
        <v>2.0</v>
      </c>
      <c r="F204" s="245">
        <v>0.0</v>
      </c>
      <c r="G204" s="245">
        <v>0.0</v>
      </c>
      <c r="H204" s="245">
        <v>0.0</v>
      </c>
      <c r="I204" s="245">
        <v>0.0</v>
      </c>
      <c r="J204" s="258"/>
      <c r="K204" s="258"/>
      <c r="L204" s="278"/>
      <c r="M204" s="278"/>
      <c r="N204" s="258"/>
      <c r="O204" s="269"/>
      <c r="P204" s="180">
        <v>1.0</v>
      </c>
      <c r="Q204" s="180">
        <v>1.0</v>
      </c>
      <c r="R204" s="62"/>
      <c r="S204" s="176">
        <v>0.0</v>
      </c>
      <c r="T204" s="176">
        <v>0.0</v>
      </c>
      <c r="U204" s="176">
        <v>0.0</v>
      </c>
      <c r="V204" s="176">
        <v>0.0</v>
      </c>
      <c r="W204" s="176">
        <v>0.0</v>
      </c>
      <c r="X204" s="62"/>
      <c r="Y204" s="176">
        <v>0.0</v>
      </c>
      <c r="Z204" s="176">
        <v>0.0</v>
      </c>
      <c r="AA204" s="176">
        <v>0.0</v>
      </c>
      <c r="AB204" s="176">
        <v>0.0</v>
      </c>
      <c r="AC204" s="176">
        <v>0.0</v>
      </c>
      <c r="AD204" s="176">
        <v>0.0</v>
      </c>
      <c r="AE204" s="176">
        <v>0.0</v>
      </c>
      <c r="AF204" s="62"/>
      <c r="AG204" s="54"/>
      <c r="AH204" s="54"/>
      <c r="AI204" s="54"/>
      <c r="AJ204" s="54"/>
      <c r="AK204" s="54"/>
      <c r="AL204" s="47"/>
      <c r="AM204" s="47"/>
      <c r="AN204" s="62"/>
      <c r="AO204" s="184">
        <f t="shared" ref="AO204:AS204" si="399">ROUND(E204*(5/12)+K204*(5/12)+S204+Y204-AG204,2)</f>
        <v>0.83</v>
      </c>
      <c r="AP204" s="184">
        <f t="shared" si="399"/>
        <v>0</v>
      </c>
      <c r="AQ204" s="184">
        <f t="shared" si="399"/>
        <v>0</v>
      </c>
      <c r="AR204" s="184">
        <f t="shared" si="399"/>
        <v>0</v>
      </c>
      <c r="AS204" s="184">
        <f t="shared" si="399"/>
        <v>0</v>
      </c>
      <c r="AT204" s="184">
        <f t="shared" ref="AT204:AU204" si="400">P204+AD204-AL204</f>
        <v>1</v>
      </c>
      <c r="AU204" s="184">
        <f t="shared" si="400"/>
        <v>1</v>
      </c>
      <c r="AV204" s="62"/>
      <c r="AW204" s="176"/>
      <c r="AX204" s="176"/>
      <c r="AY204" s="176"/>
      <c r="AZ204" s="176"/>
      <c r="BA204" s="176"/>
      <c r="BB204" s="176"/>
      <c r="BC204" s="176"/>
      <c r="BD204" s="195"/>
      <c r="BE204" s="62"/>
      <c r="BF204" s="62"/>
      <c r="BG204" s="62"/>
      <c r="BH204" s="54"/>
      <c r="BI204" s="54"/>
      <c r="BJ204" s="54"/>
      <c r="BK204" s="54"/>
      <c r="BL204" s="54"/>
      <c r="BM204" s="54"/>
      <c r="BN204" s="54"/>
      <c r="BO204" s="57"/>
      <c r="BP204" s="58"/>
      <c r="BQ204" s="57"/>
      <c r="BR204" s="57"/>
    </row>
    <row r="205">
      <c r="A205" s="176">
        <v>201.0</v>
      </c>
      <c r="B205" s="117" t="s">
        <v>1520</v>
      </c>
      <c r="C205" s="178" t="s">
        <v>234</v>
      </c>
      <c r="D205" s="241"/>
      <c r="E205" s="241"/>
      <c r="F205" s="241"/>
      <c r="G205" s="241"/>
      <c r="H205" s="241"/>
      <c r="I205" s="241"/>
      <c r="J205" s="245">
        <v>2.0</v>
      </c>
      <c r="K205" s="245">
        <v>1.4</v>
      </c>
      <c r="L205" s="245">
        <v>0.0</v>
      </c>
      <c r="M205" s="245">
        <v>0.6</v>
      </c>
      <c r="N205" s="245">
        <v>0.0</v>
      </c>
      <c r="O205" s="245">
        <v>0.0</v>
      </c>
      <c r="P205" s="180">
        <v>0.42</v>
      </c>
      <c r="Q205" s="180">
        <v>0.42</v>
      </c>
      <c r="R205" s="62"/>
      <c r="S205" s="176">
        <v>0.0</v>
      </c>
      <c r="T205" s="176">
        <v>0.0</v>
      </c>
      <c r="U205" s="176">
        <v>0.0</v>
      </c>
      <c r="V205" s="176">
        <v>0.0</v>
      </c>
      <c r="W205" s="176">
        <v>0.0</v>
      </c>
      <c r="X205" s="62"/>
      <c r="Y205" s="176">
        <v>0.0</v>
      </c>
      <c r="Z205" s="176">
        <v>0.0</v>
      </c>
      <c r="AA205" s="176">
        <v>0.0</v>
      </c>
      <c r="AB205" s="176">
        <v>0.0</v>
      </c>
      <c r="AC205" s="176">
        <v>0.0</v>
      </c>
      <c r="AD205" s="176">
        <v>0.0</v>
      </c>
      <c r="AE205" s="176">
        <v>0.0</v>
      </c>
      <c r="AF205" s="62"/>
      <c r="AG205" s="54"/>
      <c r="AH205" s="54"/>
      <c r="AI205" s="54"/>
      <c r="AJ205" s="54"/>
      <c r="AK205" s="54"/>
      <c r="AL205" s="47"/>
      <c r="AM205" s="47"/>
      <c r="AN205" s="62"/>
      <c r="AO205" s="184">
        <f t="shared" ref="AO205:AS205" si="401">ROUND(E205*(5/12)+K205*(5/12)+S205+Y205-AG205,2)</f>
        <v>0.58</v>
      </c>
      <c r="AP205" s="184">
        <f t="shared" si="401"/>
        <v>0</v>
      </c>
      <c r="AQ205" s="184">
        <f t="shared" si="401"/>
        <v>0.25</v>
      </c>
      <c r="AR205" s="184">
        <f t="shared" si="401"/>
        <v>0</v>
      </c>
      <c r="AS205" s="184">
        <f t="shared" si="401"/>
        <v>0</v>
      </c>
      <c r="AT205" s="184">
        <f t="shared" ref="AT205:AU205" si="402">P205+AD205-AL205</f>
        <v>0.42</v>
      </c>
      <c r="AU205" s="184">
        <f t="shared" si="402"/>
        <v>0.42</v>
      </c>
      <c r="AV205" s="62"/>
      <c r="AW205" s="176">
        <v>0.0</v>
      </c>
      <c r="AX205" s="176">
        <v>0.0</v>
      </c>
      <c r="AY205" s="176">
        <v>0.0</v>
      </c>
      <c r="AZ205" s="176">
        <v>0.0</v>
      </c>
      <c r="BA205" s="176">
        <v>0.0</v>
      </c>
      <c r="BB205" s="176">
        <v>0.0</v>
      </c>
      <c r="BC205" s="176">
        <v>0.0</v>
      </c>
      <c r="BD205" s="195" t="s">
        <v>1521</v>
      </c>
      <c r="BE205" s="62"/>
      <c r="BF205" s="62"/>
      <c r="BG205" s="62"/>
      <c r="BH205" s="54"/>
      <c r="BI205" s="54"/>
      <c r="BJ205" s="54"/>
      <c r="BK205" s="54"/>
      <c r="BL205" s="54"/>
      <c r="BM205" s="54"/>
      <c r="BN205" s="54"/>
      <c r="BO205" s="57"/>
      <c r="BP205" s="58"/>
      <c r="BQ205" s="57"/>
      <c r="BR205" s="57"/>
    </row>
    <row r="206">
      <c r="A206" s="176">
        <v>202.0</v>
      </c>
      <c r="B206" s="117" t="s">
        <v>1522</v>
      </c>
      <c r="C206" s="178" t="s">
        <v>234</v>
      </c>
      <c r="D206" s="258"/>
      <c r="E206" s="258"/>
      <c r="F206" s="258"/>
      <c r="G206" s="258"/>
      <c r="H206" s="258"/>
      <c r="I206" s="258"/>
      <c r="J206" s="106">
        <v>3.0</v>
      </c>
      <c r="K206" s="106">
        <v>0.6</v>
      </c>
      <c r="L206" s="106">
        <v>0.2</v>
      </c>
      <c r="M206" s="106">
        <v>0.0</v>
      </c>
      <c r="N206" s="106">
        <v>0.2</v>
      </c>
      <c r="O206" s="106">
        <v>0.0</v>
      </c>
      <c r="P206" s="180">
        <v>0.42</v>
      </c>
      <c r="Q206" s="180">
        <v>0.42</v>
      </c>
      <c r="R206" s="62"/>
      <c r="S206" s="176">
        <v>0.0</v>
      </c>
      <c r="T206" s="176">
        <v>0.0</v>
      </c>
      <c r="U206" s="176">
        <v>0.0</v>
      </c>
      <c r="V206" s="176">
        <v>0.0</v>
      </c>
      <c r="W206" s="176">
        <v>0.0</v>
      </c>
      <c r="X206" s="62"/>
      <c r="Y206" s="176">
        <v>0.0</v>
      </c>
      <c r="Z206" s="176">
        <v>0.0</v>
      </c>
      <c r="AA206" s="176">
        <v>0.0</v>
      </c>
      <c r="AB206" s="176">
        <v>0.0</v>
      </c>
      <c r="AC206" s="176">
        <v>0.0</v>
      </c>
      <c r="AD206" s="176">
        <v>0.0</v>
      </c>
      <c r="AE206" s="176">
        <v>0.0</v>
      </c>
      <c r="AF206" s="62"/>
      <c r="AG206" s="54"/>
      <c r="AH206" s="54"/>
      <c r="AI206" s="54"/>
      <c r="AJ206" s="54"/>
      <c r="AK206" s="54"/>
      <c r="AL206" s="47"/>
      <c r="AM206" s="47"/>
      <c r="AN206" s="62"/>
      <c r="AO206" s="184">
        <f t="shared" ref="AO206:AS206" si="403">ROUND(E206*(5/12)+K206*(5/12)+S206+Y206-AG206,2)</f>
        <v>0.25</v>
      </c>
      <c r="AP206" s="184">
        <f t="shared" si="403"/>
        <v>0.08</v>
      </c>
      <c r="AQ206" s="184">
        <f t="shared" si="403"/>
        <v>0</v>
      </c>
      <c r="AR206" s="184">
        <f t="shared" si="403"/>
        <v>0.08</v>
      </c>
      <c r="AS206" s="184">
        <f t="shared" si="403"/>
        <v>0</v>
      </c>
      <c r="AT206" s="184">
        <f t="shared" ref="AT206:AU206" si="404">P206+AD206-AL206</f>
        <v>0.42</v>
      </c>
      <c r="AU206" s="184">
        <f t="shared" si="404"/>
        <v>0.42</v>
      </c>
      <c r="AV206" s="62"/>
      <c r="AW206" s="176">
        <v>0.0</v>
      </c>
      <c r="AX206" s="176">
        <v>0.0</v>
      </c>
      <c r="AY206" s="176">
        <v>0.0</v>
      </c>
      <c r="AZ206" s="176">
        <v>0.0</v>
      </c>
      <c r="BA206" s="176">
        <v>0.0</v>
      </c>
      <c r="BB206" s="176">
        <v>0.0</v>
      </c>
      <c r="BC206" s="176">
        <v>0.0</v>
      </c>
      <c r="BD206" s="195" t="s">
        <v>1523</v>
      </c>
      <c r="BE206" s="62"/>
      <c r="BF206" s="62"/>
      <c r="BG206" s="62"/>
      <c r="BH206" s="54"/>
      <c r="BI206" s="54"/>
      <c r="BJ206" s="54"/>
      <c r="BK206" s="54"/>
      <c r="BL206" s="54"/>
      <c r="BM206" s="54"/>
      <c r="BN206" s="54"/>
      <c r="BO206" s="57"/>
      <c r="BP206" s="58"/>
      <c r="BQ206" s="57"/>
      <c r="BR206" s="57"/>
    </row>
    <row r="207">
      <c r="A207" s="176">
        <v>203.0</v>
      </c>
      <c r="B207" s="117" t="s">
        <v>1524</v>
      </c>
      <c r="C207" s="178" t="s">
        <v>234</v>
      </c>
      <c r="D207" s="258"/>
      <c r="E207" s="258"/>
      <c r="F207" s="258"/>
      <c r="G207" s="258"/>
      <c r="H207" s="258"/>
      <c r="I207" s="258"/>
      <c r="J207" s="106">
        <v>2.0</v>
      </c>
      <c r="K207" s="106">
        <v>2.0</v>
      </c>
      <c r="L207" s="106">
        <v>0.0</v>
      </c>
      <c r="M207" s="106">
        <v>0.0</v>
      </c>
      <c r="N207" s="106">
        <v>0.0</v>
      </c>
      <c r="O207" s="106">
        <v>0.0</v>
      </c>
      <c r="P207" s="180">
        <v>0.58</v>
      </c>
      <c r="Q207" s="180">
        <v>0.58</v>
      </c>
      <c r="R207" s="62"/>
      <c r="S207" s="176">
        <v>0.0</v>
      </c>
      <c r="T207" s="176">
        <v>0.0</v>
      </c>
      <c r="U207" s="176">
        <v>0.0</v>
      </c>
      <c r="V207" s="176">
        <v>0.0</v>
      </c>
      <c r="W207" s="176">
        <v>0.0</v>
      </c>
      <c r="X207" s="62"/>
      <c r="Y207" s="176">
        <v>0.0</v>
      </c>
      <c r="Z207" s="176">
        <v>0.0</v>
      </c>
      <c r="AA207" s="176">
        <v>0.0</v>
      </c>
      <c r="AB207" s="176">
        <v>0.0</v>
      </c>
      <c r="AC207" s="176">
        <v>0.0</v>
      </c>
      <c r="AD207" s="176">
        <v>0.0</v>
      </c>
      <c r="AE207" s="176">
        <v>0.0</v>
      </c>
      <c r="AF207" s="62"/>
      <c r="AG207" s="54"/>
      <c r="AH207" s="54"/>
      <c r="AI207" s="54"/>
      <c r="AJ207" s="54"/>
      <c r="AK207" s="54"/>
      <c r="AL207" s="47"/>
      <c r="AM207" s="47"/>
      <c r="AN207" s="62"/>
      <c r="AO207" s="184">
        <f t="shared" ref="AO207:AS207" si="405">ROUND(E207*(5/12)+K207*(5/12)+S207+Y207-AG207,2)</f>
        <v>0.83</v>
      </c>
      <c r="AP207" s="184">
        <f t="shared" si="405"/>
        <v>0</v>
      </c>
      <c r="AQ207" s="184">
        <f t="shared" si="405"/>
        <v>0</v>
      </c>
      <c r="AR207" s="184">
        <f t="shared" si="405"/>
        <v>0</v>
      </c>
      <c r="AS207" s="184">
        <f t="shared" si="405"/>
        <v>0</v>
      </c>
      <c r="AT207" s="184">
        <f t="shared" ref="AT207:AU207" si="406">P207+AD207-AL207</f>
        <v>0.58</v>
      </c>
      <c r="AU207" s="184">
        <f t="shared" si="406"/>
        <v>0.58</v>
      </c>
      <c r="AV207" s="62"/>
      <c r="AW207" s="176">
        <v>0.0</v>
      </c>
      <c r="AX207" s="176">
        <v>0.0</v>
      </c>
      <c r="AY207" s="176">
        <v>0.0</v>
      </c>
      <c r="AZ207" s="176">
        <v>0.0</v>
      </c>
      <c r="BA207" s="176">
        <v>0.0</v>
      </c>
      <c r="BB207" s="176">
        <v>0.0</v>
      </c>
      <c r="BC207" s="176">
        <v>0.0</v>
      </c>
      <c r="BD207" s="195" t="s">
        <v>1525</v>
      </c>
      <c r="BE207" s="62"/>
      <c r="BF207" s="62"/>
      <c r="BG207" s="62"/>
      <c r="BH207" s="54"/>
      <c r="BI207" s="54"/>
      <c r="BJ207" s="54"/>
      <c r="BK207" s="54"/>
      <c r="BL207" s="54"/>
      <c r="BM207" s="54"/>
      <c r="BN207" s="54"/>
      <c r="BO207" s="57"/>
      <c r="BP207" s="58"/>
      <c r="BQ207" s="57"/>
      <c r="BR207" s="57"/>
    </row>
    <row r="208">
      <c r="A208" s="176">
        <v>204.0</v>
      </c>
      <c r="B208" s="118" t="s">
        <v>1526</v>
      </c>
      <c r="C208" s="178" t="s">
        <v>234</v>
      </c>
      <c r="D208" s="258"/>
      <c r="E208" s="258"/>
      <c r="F208" s="258"/>
      <c r="G208" s="258"/>
      <c r="H208" s="258"/>
      <c r="I208" s="258"/>
      <c r="J208" s="106">
        <v>2.0</v>
      </c>
      <c r="K208" s="106">
        <v>2.0</v>
      </c>
      <c r="L208" s="106">
        <v>0.0</v>
      </c>
      <c r="M208" s="106">
        <v>0.0</v>
      </c>
      <c r="N208" s="106">
        <v>0.0</v>
      </c>
      <c r="O208" s="106">
        <v>0.0</v>
      </c>
      <c r="P208" s="180">
        <v>0.25</v>
      </c>
      <c r="Q208" s="180">
        <v>0.25</v>
      </c>
      <c r="R208" s="62"/>
      <c r="S208" s="176">
        <v>0.0</v>
      </c>
      <c r="T208" s="176">
        <v>0.0</v>
      </c>
      <c r="U208" s="176">
        <v>0.0</v>
      </c>
      <c r="V208" s="176">
        <v>0.0</v>
      </c>
      <c r="W208" s="176">
        <v>0.0</v>
      </c>
      <c r="X208" s="62"/>
      <c r="Y208" s="176">
        <v>0.0</v>
      </c>
      <c r="Z208" s="176">
        <v>0.0</v>
      </c>
      <c r="AA208" s="176">
        <v>0.0</v>
      </c>
      <c r="AB208" s="176">
        <v>0.0</v>
      </c>
      <c r="AC208" s="176">
        <v>0.0</v>
      </c>
      <c r="AD208" s="176">
        <v>0.0</v>
      </c>
      <c r="AE208" s="176">
        <v>0.0</v>
      </c>
      <c r="AF208" s="62"/>
      <c r="AG208" s="54"/>
      <c r="AH208" s="54"/>
      <c r="AI208" s="54"/>
      <c r="AJ208" s="54"/>
      <c r="AK208" s="54"/>
      <c r="AL208" s="47"/>
      <c r="AM208" s="47"/>
      <c r="AN208" s="62"/>
      <c r="AO208" s="184">
        <f t="shared" ref="AO208:AS208" si="407">ROUND(E208*(5/12)+K208*(5/12)+S208+Y208-AG208,2)</f>
        <v>0.83</v>
      </c>
      <c r="AP208" s="184">
        <f t="shared" si="407"/>
        <v>0</v>
      </c>
      <c r="AQ208" s="184">
        <f t="shared" si="407"/>
        <v>0</v>
      </c>
      <c r="AR208" s="184">
        <f t="shared" si="407"/>
        <v>0</v>
      </c>
      <c r="AS208" s="184">
        <f t="shared" si="407"/>
        <v>0</v>
      </c>
      <c r="AT208" s="184">
        <f t="shared" ref="AT208:AU208" si="408">P208+AD208-AL208</f>
        <v>0.25</v>
      </c>
      <c r="AU208" s="184">
        <f t="shared" si="408"/>
        <v>0.25</v>
      </c>
      <c r="AV208" s="62"/>
      <c r="AW208" s="176">
        <v>0.0</v>
      </c>
      <c r="AX208" s="176">
        <v>0.0</v>
      </c>
      <c r="AY208" s="176">
        <v>0.0</v>
      </c>
      <c r="AZ208" s="176">
        <v>0.0</v>
      </c>
      <c r="BA208" s="176">
        <v>0.0</v>
      </c>
      <c r="BB208" s="176">
        <v>0.0</v>
      </c>
      <c r="BC208" s="176">
        <v>0.0</v>
      </c>
      <c r="BD208" s="195" t="s">
        <v>1527</v>
      </c>
      <c r="BE208" s="62"/>
      <c r="BF208" s="62"/>
      <c r="BG208" s="62"/>
      <c r="BH208" s="54"/>
      <c r="BI208" s="54"/>
      <c r="BJ208" s="54"/>
      <c r="BK208" s="54"/>
      <c r="BL208" s="54"/>
      <c r="BM208" s="54"/>
      <c r="BN208" s="54"/>
      <c r="BO208" s="57"/>
      <c r="BP208" s="58"/>
      <c r="BQ208" s="57"/>
      <c r="BR208" s="57"/>
    </row>
    <row r="209">
      <c r="A209" s="176">
        <v>205.0</v>
      </c>
      <c r="B209" s="118" t="s">
        <v>1528</v>
      </c>
      <c r="C209" s="178" t="s">
        <v>234</v>
      </c>
      <c r="D209" s="258"/>
      <c r="E209" s="258"/>
      <c r="F209" s="258"/>
      <c r="G209" s="258"/>
      <c r="H209" s="258"/>
      <c r="I209" s="258"/>
      <c r="J209" s="106">
        <v>3.0</v>
      </c>
      <c r="K209" s="106">
        <v>1.0</v>
      </c>
      <c r="L209" s="106">
        <v>0.0</v>
      </c>
      <c r="M209" s="106">
        <v>0.0</v>
      </c>
      <c r="N209" s="106">
        <v>0.0</v>
      </c>
      <c r="O209" s="106">
        <v>0.0</v>
      </c>
      <c r="P209" s="180">
        <v>0.25</v>
      </c>
      <c r="Q209" s="180">
        <v>0.25</v>
      </c>
      <c r="R209" s="62"/>
      <c r="S209" s="176">
        <v>0.0</v>
      </c>
      <c r="T209" s="176">
        <v>0.0</v>
      </c>
      <c r="U209" s="176">
        <v>0.0</v>
      </c>
      <c r="V209" s="176">
        <v>0.0</v>
      </c>
      <c r="W209" s="176">
        <v>0.0</v>
      </c>
      <c r="X209" s="62"/>
      <c r="Y209" s="176">
        <v>0.0</v>
      </c>
      <c r="Z209" s="176">
        <v>0.0</v>
      </c>
      <c r="AA209" s="176">
        <v>0.0</v>
      </c>
      <c r="AB209" s="176">
        <v>0.0</v>
      </c>
      <c r="AC209" s="176">
        <v>0.0</v>
      </c>
      <c r="AD209" s="176">
        <v>0.0</v>
      </c>
      <c r="AE209" s="176">
        <v>0.0</v>
      </c>
      <c r="AF209" s="62"/>
      <c r="AG209" s="54"/>
      <c r="AH209" s="54"/>
      <c r="AI209" s="54"/>
      <c r="AJ209" s="54"/>
      <c r="AK209" s="54"/>
      <c r="AL209" s="47"/>
      <c r="AM209" s="47"/>
      <c r="AN209" s="62"/>
      <c r="AO209" s="184">
        <f t="shared" ref="AO209:AS209" si="409">ROUND(E209*(5/12)+K209*(5/12)+S209+Y209-AG209,2)</f>
        <v>0.42</v>
      </c>
      <c r="AP209" s="184">
        <f t="shared" si="409"/>
        <v>0</v>
      </c>
      <c r="AQ209" s="184">
        <f t="shared" si="409"/>
        <v>0</v>
      </c>
      <c r="AR209" s="184">
        <f t="shared" si="409"/>
        <v>0</v>
      </c>
      <c r="AS209" s="184">
        <f t="shared" si="409"/>
        <v>0</v>
      </c>
      <c r="AT209" s="184">
        <f t="shared" ref="AT209:AU209" si="410">P209+AD209-AL209</f>
        <v>0.25</v>
      </c>
      <c r="AU209" s="184">
        <f t="shared" si="410"/>
        <v>0.25</v>
      </c>
      <c r="AV209" s="62"/>
      <c r="AW209" s="176">
        <v>0.0</v>
      </c>
      <c r="AX209" s="176">
        <v>0.0</v>
      </c>
      <c r="AY209" s="176">
        <v>0.0</v>
      </c>
      <c r="AZ209" s="176">
        <v>0.0</v>
      </c>
      <c r="BA209" s="176">
        <v>0.0</v>
      </c>
      <c r="BB209" s="176">
        <v>0.0</v>
      </c>
      <c r="BC209" s="176">
        <v>0.0</v>
      </c>
      <c r="BD209" s="195" t="s">
        <v>1529</v>
      </c>
      <c r="BE209" s="62"/>
      <c r="BF209" s="62"/>
      <c r="BG209" s="62"/>
      <c r="BH209" s="54"/>
      <c r="BI209" s="54"/>
      <c r="BJ209" s="54"/>
      <c r="BK209" s="54"/>
      <c r="BL209" s="54"/>
      <c r="BM209" s="54"/>
      <c r="BN209" s="54"/>
      <c r="BO209" s="57"/>
      <c r="BP209" s="58"/>
      <c r="BQ209" s="57"/>
      <c r="BR209" s="57"/>
    </row>
    <row r="210">
      <c r="A210" s="176">
        <v>206.0</v>
      </c>
      <c r="B210" s="139" t="s">
        <v>248</v>
      </c>
      <c r="C210" s="178" t="s">
        <v>1530</v>
      </c>
      <c r="D210" s="106">
        <v>3.0</v>
      </c>
      <c r="E210" s="106">
        <v>0.0</v>
      </c>
      <c r="F210" s="106">
        <v>0.0</v>
      </c>
      <c r="G210" s="106">
        <v>0.0</v>
      </c>
      <c r="H210" s="106">
        <v>0.0</v>
      </c>
      <c r="I210" s="106">
        <v>0.0</v>
      </c>
      <c r="J210" s="106">
        <v>3.0</v>
      </c>
      <c r="K210" s="106">
        <v>0.0</v>
      </c>
      <c r="L210" s="106">
        <v>0.0</v>
      </c>
      <c r="M210" s="106">
        <v>0.0</v>
      </c>
      <c r="N210" s="106">
        <v>0.0</v>
      </c>
      <c r="O210" s="106">
        <v>0.0</v>
      </c>
      <c r="P210" s="180">
        <v>1.0</v>
      </c>
      <c r="Q210" s="180">
        <v>1.0</v>
      </c>
      <c r="R210" s="62"/>
      <c r="S210" s="182">
        <v>0.0</v>
      </c>
      <c r="T210" s="183">
        <v>0.0</v>
      </c>
      <c r="U210" s="183">
        <v>0.0</v>
      </c>
      <c r="V210" s="183">
        <v>0.0</v>
      </c>
      <c r="W210" s="183">
        <v>0.0</v>
      </c>
      <c r="X210" s="62"/>
      <c r="Y210" s="176">
        <v>0.0</v>
      </c>
      <c r="Z210" s="176">
        <v>0.0</v>
      </c>
      <c r="AA210" s="176">
        <v>0.0</v>
      </c>
      <c r="AB210" s="176">
        <v>0.0</v>
      </c>
      <c r="AC210" s="176">
        <v>0.0</v>
      </c>
      <c r="AD210" s="176">
        <v>0.0</v>
      </c>
      <c r="AE210" s="176">
        <v>0.0</v>
      </c>
      <c r="AF210" s="62"/>
      <c r="AG210" s="54"/>
      <c r="AH210" s="54"/>
      <c r="AI210" s="54"/>
      <c r="AJ210" s="47">
        <v>0.16</v>
      </c>
      <c r="AK210" s="54"/>
      <c r="AL210" s="57"/>
      <c r="AM210" s="57"/>
      <c r="AN210" s="62"/>
      <c r="AO210" s="184">
        <f t="shared" ref="AO210:AS210" si="411">ROUND(E210*(5/12)+K210*(5/12)+S210+Y210-AG210,2)</f>
        <v>0</v>
      </c>
      <c r="AP210" s="184">
        <f t="shared" si="411"/>
        <v>0</v>
      </c>
      <c r="AQ210" s="184">
        <f t="shared" si="411"/>
        <v>0</v>
      </c>
      <c r="AR210" s="184">
        <f t="shared" si="411"/>
        <v>-0.16</v>
      </c>
      <c r="AS210" s="184">
        <f t="shared" si="411"/>
        <v>0</v>
      </c>
      <c r="AT210" s="184">
        <f t="shared" ref="AT210:AU210" si="412">P210+AD210-AL210</f>
        <v>1</v>
      </c>
      <c r="AU210" s="184">
        <f t="shared" si="412"/>
        <v>1</v>
      </c>
      <c r="AV210" s="62"/>
      <c r="AW210" s="176">
        <v>0.0</v>
      </c>
      <c r="AX210" s="176">
        <v>0.0</v>
      </c>
      <c r="AY210" s="176">
        <v>0.0</v>
      </c>
      <c r="AZ210" s="176" t="s">
        <v>913</v>
      </c>
      <c r="BA210" s="176">
        <v>0.0</v>
      </c>
      <c r="BB210" s="176">
        <v>0.0</v>
      </c>
      <c r="BC210" s="176">
        <v>1.0</v>
      </c>
      <c r="BD210" s="195" t="s">
        <v>1531</v>
      </c>
      <c r="BE210" s="62"/>
      <c r="BF210" s="62"/>
      <c r="BG210" s="62"/>
      <c r="BH210" s="54"/>
      <c r="BI210" s="54"/>
      <c r="BJ210" s="54"/>
      <c r="BK210" s="54"/>
      <c r="BL210" s="54"/>
      <c r="BM210" s="54"/>
      <c r="BN210" s="54"/>
      <c r="BO210" s="57"/>
      <c r="BP210" s="58"/>
      <c r="BQ210" s="57"/>
      <c r="BR210" s="57"/>
    </row>
    <row r="211">
      <c r="A211" s="176">
        <v>207.0</v>
      </c>
      <c r="B211" s="244" t="s">
        <v>1532</v>
      </c>
      <c r="C211" s="178" t="s">
        <v>1530</v>
      </c>
      <c r="D211" s="106">
        <v>2.66</v>
      </c>
      <c r="E211" s="106">
        <v>1.14</v>
      </c>
      <c r="F211" s="106">
        <v>0.0</v>
      </c>
      <c r="G211" s="106">
        <v>0.2</v>
      </c>
      <c r="H211" s="106">
        <v>0.0</v>
      </c>
      <c r="I211" s="106">
        <v>0.0</v>
      </c>
      <c r="J211" s="106">
        <v>2.66</v>
      </c>
      <c r="K211" s="106">
        <v>1.14</v>
      </c>
      <c r="L211" s="106">
        <v>0.0</v>
      </c>
      <c r="M211" s="106">
        <v>0.2</v>
      </c>
      <c r="N211" s="106">
        <v>0.0</v>
      </c>
      <c r="O211" s="106">
        <v>0.0</v>
      </c>
      <c r="P211" s="180">
        <v>1.0</v>
      </c>
      <c r="Q211" s="180">
        <v>1.0</v>
      </c>
      <c r="R211" s="62"/>
      <c r="S211" s="187">
        <v>0.23</v>
      </c>
      <c r="T211" s="188">
        <v>0.02</v>
      </c>
      <c r="U211" s="188">
        <v>0.03</v>
      </c>
      <c r="V211" s="188">
        <v>0.0</v>
      </c>
      <c r="W211" s="188">
        <v>0.0</v>
      </c>
      <c r="X211" s="62"/>
      <c r="Y211" s="176">
        <v>0.0</v>
      </c>
      <c r="Z211" s="176">
        <v>0.0</v>
      </c>
      <c r="AA211" s="176">
        <v>0.0</v>
      </c>
      <c r="AB211" s="176">
        <v>0.0</v>
      </c>
      <c r="AC211" s="176">
        <v>0.0</v>
      </c>
      <c r="AD211" s="176">
        <v>0.0</v>
      </c>
      <c r="AE211" s="176">
        <v>0.0</v>
      </c>
      <c r="AF211" s="62"/>
      <c r="AG211" s="54"/>
      <c r="AH211" s="54"/>
      <c r="AI211" s="54"/>
      <c r="AJ211" s="54"/>
      <c r="AK211" s="54"/>
      <c r="AL211" s="54"/>
      <c r="AM211" s="54"/>
      <c r="AN211" s="62"/>
      <c r="AO211" s="184">
        <f t="shared" ref="AO211:AS211" si="413">ROUND(E211*(5/12)+K211*(5/12)+S211+Y211-AG211,2)</f>
        <v>1.18</v>
      </c>
      <c r="AP211" s="184">
        <f t="shared" si="413"/>
        <v>0.02</v>
      </c>
      <c r="AQ211" s="184">
        <f t="shared" si="413"/>
        <v>0.2</v>
      </c>
      <c r="AR211" s="184">
        <f t="shared" si="413"/>
        <v>0</v>
      </c>
      <c r="AS211" s="184">
        <f t="shared" si="413"/>
        <v>0</v>
      </c>
      <c r="AT211" s="184">
        <f t="shared" ref="AT211:AU211" si="414">P211+AD211-AL211</f>
        <v>1</v>
      </c>
      <c r="AU211" s="184">
        <f t="shared" si="414"/>
        <v>1</v>
      </c>
      <c r="AV211" s="62"/>
      <c r="AW211" s="176">
        <v>1.0</v>
      </c>
      <c r="AX211" s="176">
        <v>0.0</v>
      </c>
      <c r="AY211" s="176">
        <v>0.0</v>
      </c>
      <c r="AZ211" s="176" t="s">
        <v>913</v>
      </c>
      <c r="BA211" s="176" t="s">
        <v>913</v>
      </c>
      <c r="BB211" s="176">
        <v>1.0</v>
      </c>
      <c r="BC211" s="176">
        <v>1.0</v>
      </c>
      <c r="BD211" s="180" t="s">
        <v>1533</v>
      </c>
      <c r="BE211" s="62"/>
      <c r="BF211" s="62"/>
      <c r="BG211" s="62"/>
      <c r="BH211" s="54"/>
      <c r="BI211" s="54"/>
      <c r="BJ211" s="54"/>
      <c r="BK211" s="54"/>
      <c r="BL211" s="54"/>
      <c r="BM211" s="54"/>
      <c r="BN211" s="54"/>
      <c r="BO211" s="57"/>
      <c r="BP211" s="57"/>
      <c r="BQ211" s="57"/>
      <c r="BR211" s="58" t="s">
        <v>1534</v>
      </c>
    </row>
    <row r="212">
      <c r="A212" s="176">
        <v>208.0</v>
      </c>
      <c r="B212" s="139" t="s">
        <v>251</v>
      </c>
      <c r="C212" s="178" t="s">
        <v>1530</v>
      </c>
      <c r="D212" s="106">
        <v>3.0</v>
      </c>
      <c r="E212" s="106">
        <v>0.0</v>
      </c>
      <c r="F212" s="106">
        <v>0.0</v>
      </c>
      <c r="G212" s="280">
        <v>0.0</v>
      </c>
      <c r="H212" s="106">
        <v>0.6</v>
      </c>
      <c r="I212" s="106">
        <v>0.4</v>
      </c>
      <c r="J212" s="106">
        <v>3.0</v>
      </c>
      <c r="K212" s="106">
        <v>0.0</v>
      </c>
      <c r="L212" s="106">
        <v>0.0</v>
      </c>
      <c r="M212" s="106">
        <v>0.0</v>
      </c>
      <c r="N212" s="106">
        <v>0.6</v>
      </c>
      <c r="O212" s="106">
        <v>0.4</v>
      </c>
      <c r="P212" s="180">
        <v>1.0</v>
      </c>
      <c r="Q212" s="180">
        <v>1.0</v>
      </c>
      <c r="R212" s="62"/>
      <c r="S212" s="187">
        <v>0.03</v>
      </c>
      <c r="T212" s="188">
        <v>0.0</v>
      </c>
      <c r="U212" s="188">
        <v>0.0</v>
      </c>
      <c r="V212" s="188">
        <v>0.07</v>
      </c>
      <c r="W212" s="188">
        <v>0.07</v>
      </c>
      <c r="X212" s="62"/>
      <c r="Y212" s="176">
        <v>0.0</v>
      </c>
      <c r="Z212" s="176">
        <v>0.0</v>
      </c>
      <c r="AA212" s="176">
        <v>0.0</v>
      </c>
      <c r="AB212" s="176">
        <v>0.0</v>
      </c>
      <c r="AC212" s="176">
        <v>0.0</v>
      </c>
      <c r="AD212" s="176">
        <v>0.0</v>
      </c>
      <c r="AE212" s="176">
        <v>0.0</v>
      </c>
      <c r="AF212" s="62"/>
      <c r="AG212" s="47"/>
      <c r="AH212" s="54"/>
      <c r="AI212" s="54"/>
      <c r="AJ212" s="54"/>
      <c r="AK212" s="54"/>
      <c r="AL212" s="54"/>
      <c r="AM212" s="54"/>
      <c r="AN212" s="62"/>
      <c r="AO212" s="184">
        <f t="shared" ref="AO212:AS212" si="415">ROUND(E212*(5/12)+K212*(5/12)+S212+Y212-AG212,2)</f>
        <v>0.03</v>
      </c>
      <c r="AP212" s="184">
        <f t="shared" si="415"/>
        <v>0</v>
      </c>
      <c r="AQ212" s="184">
        <f t="shared" si="415"/>
        <v>0</v>
      </c>
      <c r="AR212" s="184">
        <f t="shared" si="415"/>
        <v>0.57</v>
      </c>
      <c r="AS212" s="184">
        <f t="shared" si="415"/>
        <v>0.4</v>
      </c>
      <c r="AT212" s="184">
        <f t="shared" ref="AT212:AU212" si="416">P212+AD212-AL212</f>
        <v>1</v>
      </c>
      <c r="AU212" s="184">
        <f t="shared" si="416"/>
        <v>1</v>
      </c>
      <c r="AV212" s="62"/>
      <c r="AW212" s="176">
        <v>0.0</v>
      </c>
      <c r="AX212" s="176" t="s">
        <v>913</v>
      </c>
      <c r="AY212" s="176" t="s">
        <v>913</v>
      </c>
      <c r="AZ212" s="176">
        <v>0.33</v>
      </c>
      <c r="BA212" s="176">
        <v>0.0</v>
      </c>
      <c r="BB212" s="176">
        <v>0.0</v>
      </c>
      <c r="BC212" s="176">
        <v>0.0</v>
      </c>
      <c r="BD212" s="180" t="s">
        <v>1535</v>
      </c>
      <c r="BE212" s="62"/>
      <c r="BF212" s="62"/>
      <c r="BG212" s="62"/>
      <c r="BH212" s="54"/>
      <c r="BI212" s="54"/>
      <c r="BJ212" s="54"/>
      <c r="BK212" s="54"/>
      <c r="BL212" s="54"/>
      <c r="BM212" s="54"/>
      <c r="BN212" s="54"/>
      <c r="BO212" s="57"/>
      <c r="BP212" s="58"/>
      <c r="BQ212" s="57"/>
      <c r="BR212" s="57"/>
    </row>
    <row r="213">
      <c r="A213" s="176">
        <v>209.0</v>
      </c>
      <c r="B213" s="139" t="s">
        <v>1536</v>
      </c>
      <c r="C213" s="178" t="s">
        <v>1530</v>
      </c>
      <c r="D213" s="106">
        <v>3.33</v>
      </c>
      <c r="E213" s="106">
        <v>0.47</v>
      </c>
      <c r="F213" s="106">
        <v>0.2</v>
      </c>
      <c r="G213" s="106">
        <v>0.0</v>
      </c>
      <c r="H213" s="106">
        <v>0.0</v>
      </c>
      <c r="I213" s="106">
        <v>0.0</v>
      </c>
      <c r="J213" s="106">
        <v>3.33</v>
      </c>
      <c r="K213" s="106">
        <v>0.47</v>
      </c>
      <c r="L213" s="106">
        <v>0.2</v>
      </c>
      <c r="M213" s="106">
        <v>0.0</v>
      </c>
      <c r="N213" s="106">
        <v>0.0</v>
      </c>
      <c r="O213" s="106">
        <v>0.0</v>
      </c>
      <c r="P213" s="180">
        <v>1.0</v>
      </c>
      <c r="Q213" s="180">
        <v>1.0</v>
      </c>
      <c r="R213" s="62"/>
      <c r="S213" s="187">
        <v>0.06</v>
      </c>
      <c r="T213" s="188">
        <v>0.0</v>
      </c>
      <c r="U213" s="188">
        <v>0.0</v>
      </c>
      <c r="V213" s="188">
        <v>0.0</v>
      </c>
      <c r="W213" s="188">
        <v>0.0</v>
      </c>
      <c r="X213" s="62"/>
      <c r="Y213" s="176">
        <v>0.0</v>
      </c>
      <c r="Z213" s="176">
        <v>0.0</v>
      </c>
      <c r="AA213" s="176">
        <v>0.0</v>
      </c>
      <c r="AB213" s="176">
        <v>0.0</v>
      </c>
      <c r="AC213" s="176">
        <v>0.0</v>
      </c>
      <c r="AD213" s="176">
        <v>0.0</v>
      </c>
      <c r="AE213" s="176">
        <v>0.0</v>
      </c>
      <c r="AF213" s="62"/>
      <c r="AG213" s="47"/>
      <c r="AH213" s="54"/>
      <c r="AI213" s="54"/>
      <c r="AJ213" s="54"/>
      <c r="AK213" s="54"/>
      <c r="AL213" s="54"/>
      <c r="AM213" s="54"/>
      <c r="AN213" s="62"/>
      <c r="AO213" s="184">
        <f t="shared" ref="AO213:AS213" si="417">ROUND(E213*(5/12)+K213*(5/12)+S213+Y213-AG213,2)</f>
        <v>0.45</v>
      </c>
      <c r="AP213" s="184">
        <f t="shared" si="417"/>
        <v>0.17</v>
      </c>
      <c r="AQ213" s="184">
        <f t="shared" si="417"/>
        <v>0</v>
      </c>
      <c r="AR213" s="184">
        <f t="shared" si="417"/>
        <v>0</v>
      </c>
      <c r="AS213" s="184">
        <f t="shared" si="417"/>
        <v>0</v>
      </c>
      <c r="AT213" s="184">
        <f t="shared" ref="AT213:AU213" si="418">P213+AD213-AL213</f>
        <v>1</v>
      </c>
      <c r="AU213" s="184">
        <f t="shared" si="418"/>
        <v>1</v>
      </c>
      <c r="AV213" s="62"/>
      <c r="AW213" s="176">
        <v>0.0</v>
      </c>
      <c r="AX213" s="176">
        <v>0.0</v>
      </c>
      <c r="AY213" s="176" t="s">
        <v>913</v>
      </c>
      <c r="AZ213" s="176" t="s">
        <v>913</v>
      </c>
      <c r="BA213" s="176" t="s">
        <v>913</v>
      </c>
      <c r="BB213" s="176">
        <v>0.5</v>
      </c>
      <c r="BC213" s="176">
        <v>1.0</v>
      </c>
      <c r="BD213" s="194" t="s">
        <v>1537</v>
      </c>
      <c r="BE213" s="62"/>
      <c r="BF213" s="62"/>
      <c r="BG213" s="62"/>
      <c r="BH213" s="54"/>
      <c r="BI213" s="54"/>
      <c r="BJ213" s="54"/>
      <c r="BK213" s="54"/>
      <c r="BL213" s="54"/>
      <c r="BM213" s="54"/>
      <c r="BN213" s="54"/>
      <c r="BO213" s="113"/>
      <c r="BP213" s="58"/>
      <c r="BQ213" s="113"/>
      <c r="BR213" s="113"/>
    </row>
    <row r="214">
      <c r="A214" s="176">
        <v>210.0</v>
      </c>
      <c r="B214" s="244" t="s">
        <v>1538</v>
      </c>
      <c r="C214" s="178" t="s">
        <v>1530</v>
      </c>
      <c r="D214" s="106">
        <v>3.66</v>
      </c>
      <c r="E214" s="106">
        <v>0.34</v>
      </c>
      <c r="F214" s="106">
        <v>0.0</v>
      </c>
      <c r="G214" s="106">
        <v>0.0</v>
      </c>
      <c r="H214" s="106">
        <v>0.0</v>
      </c>
      <c r="I214" s="106">
        <v>0.0</v>
      </c>
      <c r="J214" s="106">
        <v>3.66</v>
      </c>
      <c r="K214" s="106">
        <v>0.34</v>
      </c>
      <c r="L214" s="106">
        <v>0.0</v>
      </c>
      <c r="M214" s="106">
        <v>0.0</v>
      </c>
      <c r="N214" s="106">
        <v>0.0</v>
      </c>
      <c r="O214" s="106">
        <v>0.0</v>
      </c>
      <c r="P214" s="180">
        <v>1.0</v>
      </c>
      <c r="Q214" s="180">
        <v>1.0</v>
      </c>
      <c r="R214" s="62"/>
      <c r="S214" s="187">
        <v>0.06</v>
      </c>
      <c r="T214" s="188">
        <v>0.0</v>
      </c>
      <c r="U214" s="188">
        <v>0.0</v>
      </c>
      <c r="V214" s="188">
        <v>0.0</v>
      </c>
      <c r="W214" s="188">
        <v>0.0</v>
      </c>
      <c r="X214" s="62"/>
      <c r="Y214" s="176">
        <v>0.0</v>
      </c>
      <c r="Z214" s="176">
        <v>0.0</v>
      </c>
      <c r="AA214" s="176">
        <v>0.0</v>
      </c>
      <c r="AB214" s="176">
        <v>0.0</v>
      </c>
      <c r="AC214" s="176">
        <v>0.0</v>
      </c>
      <c r="AD214" s="176">
        <v>0.0</v>
      </c>
      <c r="AE214" s="176">
        <v>0.0</v>
      </c>
      <c r="AF214" s="62"/>
      <c r="AG214" s="47"/>
      <c r="AH214" s="54"/>
      <c r="AI214" s="54"/>
      <c r="AJ214" s="54"/>
      <c r="AK214" s="54"/>
      <c r="AL214" s="54"/>
      <c r="AM214" s="54"/>
      <c r="AN214" s="62"/>
      <c r="AO214" s="184">
        <f t="shared" ref="AO214:AS214" si="419">ROUND(E214*(5/12)+K214*(5/12)+S214+Y214-AG214,2)</f>
        <v>0.34</v>
      </c>
      <c r="AP214" s="184">
        <f t="shared" si="419"/>
        <v>0</v>
      </c>
      <c r="AQ214" s="184">
        <f t="shared" si="419"/>
        <v>0</v>
      </c>
      <c r="AR214" s="184">
        <f t="shared" si="419"/>
        <v>0</v>
      </c>
      <c r="AS214" s="184">
        <f t="shared" si="419"/>
        <v>0</v>
      </c>
      <c r="AT214" s="184">
        <f t="shared" ref="AT214:AU214" si="420">P214+AD214-AL214</f>
        <v>1</v>
      </c>
      <c r="AU214" s="184">
        <f t="shared" si="420"/>
        <v>1</v>
      </c>
      <c r="AV214" s="62"/>
      <c r="AW214" s="176">
        <v>0.0</v>
      </c>
      <c r="AX214" s="176" t="s">
        <v>913</v>
      </c>
      <c r="AY214" s="176" t="s">
        <v>913</v>
      </c>
      <c r="AZ214" s="176" t="s">
        <v>913</v>
      </c>
      <c r="BA214" s="176" t="s">
        <v>913</v>
      </c>
      <c r="BB214" s="176">
        <v>1.0</v>
      </c>
      <c r="BC214" s="176">
        <v>1.0</v>
      </c>
      <c r="BD214" s="194" t="s">
        <v>1539</v>
      </c>
      <c r="BE214" s="62"/>
      <c r="BF214" s="62"/>
      <c r="BG214" s="62"/>
      <c r="BH214" s="54"/>
      <c r="BI214" s="54"/>
      <c r="BJ214" s="54"/>
      <c r="BK214" s="54"/>
      <c r="BL214" s="54"/>
      <c r="BM214" s="206"/>
      <c r="BN214" s="206"/>
      <c r="BO214" s="57"/>
      <c r="BP214" s="58"/>
      <c r="BQ214" s="57"/>
      <c r="BR214" s="57"/>
    </row>
    <row r="215">
      <c r="A215" s="176">
        <v>211.0</v>
      </c>
      <c r="B215" s="244" t="s">
        <v>1540</v>
      </c>
      <c r="C215" s="247" t="s">
        <v>1530</v>
      </c>
      <c r="D215" s="106">
        <v>2.33</v>
      </c>
      <c r="E215" s="106">
        <v>1.47</v>
      </c>
      <c r="F215" s="106">
        <v>0.0</v>
      </c>
      <c r="G215" s="106">
        <v>0.2</v>
      </c>
      <c r="H215" s="106">
        <v>0.0</v>
      </c>
      <c r="I215" s="106">
        <v>0.0</v>
      </c>
      <c r="J215" s="106">
        <v>2.33</v>
      </c>
      <c r="K215" s="106">
        <v>1.47</v>
      </c>
      <c r="L215" s="106">
        <v>0.0</v>
      </c>
      <c r="M215" s="106">
        <v>0.2</v>
      </c>
      <c r="N215" s="106">
        <v>0.0</v>
      </c>
      <c r="O215" s="106">
        <v>0.0</v>
      </c>
      <c r="P215" s="180">
        <v>1.0</v>
      </c>
      <c r="Q215" s="180">
        <v>1.0</v>
      </c>
      <c r="R215" s="62"/>
      <c r="S215" s="187">
        <v>0.28</v>
      </c>
      <c r="T215" s="188">
        <v>0.0</v>
      </c>
      <c r="U215" s="188">
        <v>0.05</v>
      </c>
      <c r="V215" s="188">
        <v>0.0</v>
      </c>
      <c r="W215" s="188">
        <v>0.0</v>
      </c>
      <c r="X215" s="62"/>
      <c r="Y215" s="176">
        <v>0.0</v>
      </c>
      <c r="Z215" s="176">
        <v>0.0</v>
      </c>
      <c r="AA215" s="176">
        <v>0.0</v>
      </c>
      <c r="AB215" s="176">
        <v>0.0</v>
      </c>
      <c r="AC215" s="176">
        <v>0.0</v>
      </c>
      <c r="AD215" s="176">
        <v>0.0</v>
      </c>
      <c r="AE215" s="176">
        <v>0.0</v>
      </c>
      <c r="AF215" s="62"/>
      <c r="AG215" s="47">
        <v>0.68</v>
      </c>
      <c r="AH215" s="54"/>
      <c r="AI215" s="54"/>
      <c r="AJ215" s="54"/>
      <c r="AK215" s="54"/>
      <c r="AL215" s="54"/>
      <c r="AM215" s="54"/>
      <c r="AN215" s="62"/>
      <c r="AO215" s="184">
        <f t="shared" ref="AO215:AS215" si="421">ROUND(E215*(5/12)+K215*(5/12)+S215+Y215-AG215,2)</f>
        <v>0.83</v>
      </c>
      <c r="AP215" s="184">
        <f t="shared" si="421"/>
        <v>0</v>
      </c>
      <c r="AQ215" s="184">
        <f t="shared" si="421"/>
        <v>0.22</v>
      </c>
      <c r="AR215" s="184">
        <f t="shared" si="421"/>
        <v>0</v>
      </c>
      <c r="AS215" s="184">
        <f t="shared" si="421"/>
        <v>0</v>
      </c>
      <c r="AT215" s="184">
        <f t="shared" ref="AT215:AU215" si="422">P215+AD215-AL215</f>
        <v>1</v>
      </c>
      <c r="AU215" s="184">
        <f t="shared" si="422"/>
        <v>1</v>
      </c>
      <c r="AV215" s="62"/>
      <c r="AW215" s="176">
        <v>1.25</v>
      </c>
      <c r="AX215" s="176" t="s">
        <v>913</v>
      </c>
      <c r="AY215" s="176">
        <v>0.3</v>
      </c>
      <c r="AZ215" s="176" t="s">
        <v>913</v>
      </c>
      <c r="BA215" s="176" t="s">
        <v>913</v>
      </c>
      <c r="BB215" s="176">
        <v>1.0</v>
      </c>
      <c r="BC215" s="176">
        <v>1.0</v>
      </c>
      <c r="BD215" s="95" t="s">
        <v>1541</v>
      </c>
      <c r="BE215" s="62"/>
      <c r="BF215" s="62"/>
      <c r="BG215" s="62"/>
      <c r="BH215" s="192"/>
      <c r="BI215" s="54"/>
      <c r="BJ215" s="54"/>
      <c r="BK215" s="54"/>
      <c r="BL215" s="54"/>
      <c r="BM215" s="54"/>
      <c r="BN215" s="54"/>
      <c r="BO215" s="57"/>
      <c r="BP215" s="57"/>
      <c r="BQ215" s="57"/>
      <c r="BR215" s="58" t="s">
        <v>1542</v>
      </c>
    </row>
    <row r="216">
      <c r="A216" s="176">
        <v>212.0</v>
      </c>
      <c r="B216" s="139" t="s">
        <v>255</v>
      </c>
      <c r="C216" s="178" t="s">
        <v>1530</v>
      </c>
      <c r="D216" s="106">
        <v>2.66</v>
      </c>
      <c r="E216" s="106">
        <v>0.34</v>
      </c>
      <c r="F216" s="106">
        <v>0.6</v>
      </c>
      <c r="G216" s="106">
        <v>0.4</v>
      </c>
      <c r="H216" s="106">
        <v>0.0</v>
      </c>
      <c r="I216" s="106">
        <v>0.0</v>
      </c>
      <c r="J216" s="106">
        <v>2.66</v>
      </c>
      <c r="K216" s="106">
        <v>0.34</v>
      </c>
      <c r="L216" s="106">
        <v>0.6</v>
      </c>
      <c r="M216" s="106">
        <v>0.4</v>
      </c>
      <c r="N216" s="106">
        <v>0.0</v>
      </c>
      <c r="O216" s="106">
        <v>0.0</v>
      </c>
      <c r="P216" s="180">
        <v>1.0</v>
      </c>
      <c r="Q216" s="180">
        <v>1.0</v>
      </c>
      <c r="R216" s="62"/>
      <c r="S216" s="187">
        <v>0.11</v>
      </c>
      <c r="T216" s="188">
        <v>0.12</v>
      </c>
      <c r="U216" s="188">
        <v>0.05</v>
      </c>
      <c r="V216" s="188">
        <v>0.0</v>
      </c>
      <c r="W216" s="188">
        <v>0.0</v>
      </c>
      <c r="X216" s="62"/>
      <c r="Y216" s="176">
        <v>0.0</v>
      </c>
      <c r="Z216" s="176">
        <v>0.0</v>
      </c>
      <c r="AA216" s="176">
        <v>0.0</v>
      </c>
      <c r="AB216" s="176">
        <v>0.0</v>
      </c>
      <c r="AC216" s="176">
        <v>0.0</v>
      </c>
      <c r="AD216" s="176">
        <v>0.0</v>
      </c>
      <c r="AE216" s="176">
        <v>0.0</v>
      </c>
      <c r="AF216" s="62"/>
      <c r="AG216" s="54"/>
      <c r="AH216" s="54"/>
      <c r="AI216" s="54"/>
      <c r="AJ216" s="54"/>
      <c r="AK216" s="54"/>
      <c r="AL216" s="54"/>
      <c r="AM216" s="54"/>
      <c r="AN216" s="62"/>
      <c r="AO216" s="184">
        <f t="shared" ref="AO216:AS216" si="423">ROUND(E216*(5/12)+K216*(5/12)+S216+Y216-AG216,2)</f>
        <v>0.39</v>
      </c>
      <c r="AP216" s="184">
        <f t="shared" si="423"/>
        <v>0.62</v>
      </c>
      <c r="AQ216" s="184">
        <f t="shared" si="423"/>
        <v>0.38</v>
      </c>
      <c r="AR216" s="184">
        <f t="shared" si="423"/>
        <v>0</v>
      </c>
      <c r="AS216" s="184">
        <f t="shared" si="423"/>
        <v>0</v>
      </c>
      <c r="AT216" s="184">
        <f t="shared" ref="AT216:AU216" si="424">P216+AD216-AL216</f>
        <v>1</v>
      </c>
      <c r="AU216" s="184">
        <f t="shared" si="424"/>
        <v>1</v>
      </c>
      <c r="AV216" s="62"/>
      <c r="AW216" s="176">
        <v>0.0</v>
      </c>
      <c r="AX216" s="176">
        <v>0.0</v>
      </c>
      <c r="AY216" s="176">
        <v>0.0</v>
      </c>
      <c r="AZ216" s="176" t="s">
        <v>913</v>
      </c>
      <c r="BA216" s="176" t="s">
        <v>913</v>
      </c>
      <c r="BB216" s="176">
        <v>0.0</v>
      </c>
      <c r="BC216" s="176">
        <v>1.0</v>
      </c>
      <c r="BD216" s="135" t="s">
        <v>1543</v>
      </c>
      <c r="BE216" s="62"/>
      <c r="BF216" s="62"/>
      <c r="BG216" s="62"/>
      <c r="BH216" s="192"/>
      <c r="BI216" s="54"/>
      <c r="BJ216" s="54"/>
      <c r="BK216" s="54"/>
      <c r="BL216" s="54"/>
      <c r="BM216" s="206"/>
      <c r="BN216" s="206"/>
      <c r="BO216" s="57"/>
      <c r="BP216" s="57"/>
      <c r="BQ216" s="57"/>
      <c r="BR216" s="57"/>
    </row>
    <row r="217">
      <c r="A217" s="176">
        <v>213.0</v>
      </c>
      <c r="B217" s="274" t="s">
        <v>1544</v>
      </c>
      <c r="C217" s="178" t="s">
        <v>1530</v>
      </c>
      <c r="D217" s="106">
        <v>3.33</v>
      </c>
      <c r="E217" s="106">
        <v>0.67</v>
      </c>
      <c r="F217" s="106">
        <v>0.0</v>
      </c>
      <c r="G217" s="106">
        <v>0.0</v>
      </c>
      <c r="H217" s="106">
        <v>0.0</v>
      </c>
      <c r="I217" s="106">
        <v>0.0</v>
      </c>
      <c r="J217" s="106">
        <v>3.33</v>
      </c>
      <c r="K217" s="106">
        <v>0.67</v>
      </c>
      <c r="L217" s="106">
        <v>0.0</v>
      </c>
      <c r="M217" s="106">
        <v>0.0</v>
      </c>
      <c r="N217" s="106">
        <v>0.0</v>
      </c>
      <c r="O217" s="106">
        <v>0.0</v>
      </c>
      <c r="P217" s="180">
        <v>1.0</v>
      </c>
      <c r="Q217" s="180">
        <v>1.0</v>
      </c>
      <c r="R217" s="62"/>
      <c r="S217" s="187">
        <v>0.0</v>
      </c>
      <c r="T217" s="188">
        <v>0.0</v>
      </c>
      <c r="U217" s="188">
        <v>0.0</v>
      </c>
      <c r="V217" s="188">
        <v>0.0</v>
      </c>
      <c r="W217" s="188">
        <v>0.0</v>
      </c>
      <c r="X217" s="62"/>
      <c r="Y217" s="176">
        <v>0.0</v>
      </c>
      <c r="Z217" s="176">
        <v>0.0</v>
      </c>
      <c r="AA217" s="176">
        <v>0.0</v>
      </c>
      <c r="AB217" s="176">
        <v>0.0</v>
      </c>
      <c r="AC217" s="176">
        <v>0.0</v>
      </c>
      <c r="AD217" s="176">
        <v>0.0</v>
      </c>
      <c r="AE217" s="176">
        <v>0.0</v>
      </c>
      <c r="AF217" s="62"/>
      <c r="AG217" s="47"/>
      <c r="AH217" s="54"/>
      <c r="AI217" s="54"/>
      <c r="AJ217" s="54"/>
      <c r="AK217" s="54"/>
      <c r="AL217" s="54"/>
      <c r="AM217" s="54"/>
      <c r="AN217" s="62"/>
      <c r="AO217" s="184">
        <f t="shared" ref="AO217:AS217" si="425">ROUND(E217*(5/12)+K217*(5/12)+S217+Y217-AG217,2)</f>
        <v>0.56</v>
      </c>
      <c r="AP217" s="184">
        <f t="shared" si="425"/>
        <v>0</v>
      </c>
      <c r="AQ217" s="184">
        <f t="shared" si="425"/>
        <v>0</v>
      </c>
      <c r="AR217" s="184">
        <f t="shared" si="425"/>
        <v>0</v>
      </c>
      <c r="AS217" s="184">
        <f t="shared" si="425"/>
        <v>0</v>
      </c>
      <c r="AT217" s="184">
        <f t="shared" ref="AT217:AU217" si="426">P217+AD217-AL217</f>
        <v>1</v>
      </c>
      <c r="AU217" s="184">
        <f t="shared" si="426"/>
        <v>1</v>
      </c>
      <c r="AV217" s="62"/>
      <c r="AW217" s="189"/>
      <c r="AX217" s="189"/>
      <c r="AY217" s="189"/>
      <c r="AZ217" s="189"/>
      <c r="BA217" s="189"/>
      <c r="BB217" s="189"/>
      <c r="BC217" s="189"/>
      <c r="BD217" s="281"/>
      <c r="BE217" s="62"/>
      <c r="BF217" s="62"/>
      <c r="BG217" s="62"/>
      <c r="BH217" s="54"/>
      <c r="BI217" s="54"/>
      <c r="BJ217" s="54"/>
      <c r="BK217" s="54"/>
      <c r="BL217" s="54"/>
      <c r="BM217" s="54"/>
      <c r="BN217" s="54"/>
      <c r="BO217" s="57"/>
      <c r="BP217" s="57"/>
      <c r="BQ217" s="57"/>
      <c r="BR217" s="57"/>
    </row>
    <row r="218">
      <c r="A218" s="176">
        <v>214.0</v>
      </c>
      <c r="B218" s="101" t="s">
        <v>1545</v>
      </c>
      <c r="C218" s="178"/>
      <c r="D218" s="107"/>
      <c r="E218" s="107"/>
      <c r="F218" s="107"/>
      <c r="G218" s="107"/>
      <c r="H218" s="107"/>
      <c r="I218" s="107"/>
      <c r="J218" s="106">
        <v>3.66</v>
      </c>
      <c r="K218" s="106">
        <v>0.34</v>
      </c>
      <c r="L218" s="106"/>
      <c r="M218" s="106"/>
      <c r="N218" s="106"/>
      <c r="O218" s="106"/>
      <c r="P218" s="180">
        <v>0.25</v>
      </c>
      <c r="Q218" s="180">
        <v>0.25</v>
      </c>
      <c r="R218" s="62"/>
      <c r="S218" s="187"/>
      <c r="T218" s="188"/>
      <c r="U218" s="188"/>
      <c r="V218" s="188"/>
      <c r="W218" s="188"/>
      <c r="X218" s="62"/>
      <c r="Y218" s="176"/>
      <c r="Z218" s="176"/>
      <c r="AA218" s="176"/>
      <c r="AB218" s="176"/>
      <c r="AC218" s="176"/>
      <c r="AD218" s="176"/>
      <c r="AE218" s="176"/>
      <c r="AF218" s="62"/>
      <c r="AG218" s="47"/>
      <c r="AH218" s="54"/>
      <c r="AI218" s="54"/>
      <c r="AJ218" s="54"/>
      <c r="AK218" s="54"/>
      <c r="AL218" s="54"/>
      <c r="AM218" s="54"/>
      <c r="AN218" s="62"/>
      <c r="AO218" s="184">
        <f t="shared" ref="AO218:AS218" si="427">ROUND(E218*(5/12)+K218*(5/12)+S218+Y218-AG218,2)</f>
        <v>0.14</v>
      </c>
      <c r="AP218" s="184">
        <f t="shared" si="427"/>
        <v>0</v>
      </c>
      <c r="AQ218" s="184">
        <f t="shared" si="427"/>
        <v>0</v>
      </c>
      <c r="AR218" s="184">
        <f t="shared" si="427"/>
        <v>0</v>
      </c>
      <c r="AS218" s="184">
        <f t="shared" si="427"/>
        <v>0</v>
      </c>
      <c r="AT218" s="184">
        <f t="shared" ref="AT218:AU218" si="428">P218+AD218-AL218</f>
        <v>0.25</v>
      </c>
      <c r="AU218" s="184">
        <f t="shared" si="428"/>
        <v>0.25</v>
      </c>
      <c r="AV218" s="62"/>
      <c r="AW218" s="109">
        <v>0.0</v>
      </c>
      <c r="AX218" s="109" t="s">
        <v>913</v>
      </c>
      <c r="AY218" s="109" t="s">
        <v>913</v>
      </c>
      <c r="AZ218" s="109" t="s">
        <v>913</v>
      </c>
      <c r="BA218" s="109" t="s">
        <v>913</v>
      </c>
      <c r="BB218" s="109">
        <v>0.0</v>
      </c>
      <c r="BC218" s="109">
        <v>1.0</v>
      </c>
      <c r="BD218" s="95" t="s">
        <v>1546</v>
      </c>
      <c r="BE218" s="62"/>
      <c r="BF218" s="62"/>
      <c r="BG218" s="62"/>
      <c r="BH218" s="54"/>
      <c r="BI218" s="54"/>
      <c r="BJ218" s="54"/>
      <c r="BK218" s="54"/>
      <c r="BL218" s="54"/>
      <c r="BM218" s="54"/>
      <c r="BN218" s="54"/>
      <c r="BO218" s="57"/>
      <c r="BP218" s="57"/>
      <c r="BQ218" s="57"/>
      <c r="BR218" s="57"/>
    </row>
    <row r="219">
      <c r="A219" s="176">
        <v>215.0</v>
      </c>
      <c r="B219" s="139" t="s">
        <v>281</v>
      </c>
      <c r="C219" s="178" t="s">
        <v>1530</v>
      </c>
      <c r="D219" s="245">
        <v>2.33</v>
      </c>
      <c r="E219" s="245">
        <v>0.0</v>
      </c>
      <c r="F219" s="245">
        <v>0.2</v>
      </c>
      <c r="G219" s="245">
        <v>0.0</v>
      </c>
      <c r="H219" s="245">
        <v>0.47</v>
      </c>
      <c r="I219" s="245">
        <v>0.0</v>
      </c>
      <c r="J219" s="106">
        <v>2.33</v>
      </c>
      <c r="K219" s="106">
        <v>0.0</v>
      </c>
      <c r="L219" s="106">
        <v>0.2</v>
      </c>
      <c r="M219" s="106">
        <v>0.2</v>
      </c>
      <c r="N219" s="106">
        <v>0.27</v>
      </c>
      <c r="O219" s="106">
        <v>0.0</v>
      </c>
      <c r="P219" s="180">
        <v>1.0</v>
      </c>
      <c r="Q219" s="180">
        <v>1.0</v>
      </c>
      <c r="R219" s="62"/>
      <c r="S219" s="182">
        <v>0.08</v>
      </c>
      <c r="T219" s="183">
        <v>0.02</v>
      </c>
      <c r="U219" s="183">
        <v>0.02</v>
      </c>
      <c r="V219" s="183">
        <v>0.0</v>
      </c>
      <c r="W219" s="183">
        <v>0.0</v>
      </c>
      <c r="X219" s="62"/>
      <c r="Y219" s="176">
        <v>0.0</v>
      </c>
      <c r="Z219" s="176">
        <v>0.0</v>
      </c>
      <c r="AA219" s="176">
        <v>0.0</v>
      </c>
      <c r="AB219" s="176">
        <v>0.0</v>
      </c>
      <c r="AC219" s="176">
        <v>0.0</v>
      </c>
      <c r="AD219" s="176">
        <v>0.0</v>
      </c>
      <c r="AE219" s="176">
        <v>0.0</v>
      </c>
      <c r="AF219" s="62"/>
      <c r="AG219" s="47"/>
      <c r="AH219" s="54"/>
      <c r="AI219" s="47">
        <v>0.02</v>
      </c>
      <c r="AJ219" s="54"/>
      <c r="AK219" s="47">
        <v>0.003</v>
      </c>
      <c r="AL219" s="54"/>
      <c r="AM219" s="54"/>
      <c r="AN219" s="62"/>
      <c r="AO219" s="184">
        <f t="shared" ref="AO219:AS219" si="429">ROUND(E219*(5/12)+K219*(5/12)+S219+Y219-AG219,2)</f>
        <v>0.08</v>
      </c>
      <c r="AP219" s="184">
        <f t="shared" si="429"/>
        <v>0.19</v>
      </c>
      <c r="AQ219" s="184">
        <f t="shared" si="429"/>
        <v>0.08</v>
      </c>
      <c r="AR219" s="184">
        <f t="shared" si="429"/>
        <v>0.31</v>
      </c>
      <c r="AS219" s="184">
        <f t="shared" si="429"/>
        <v>0</v>
      </c>
      <c r="AT219" s="184">
        <f t="shared" ref="AT219:AU219" si="430">P219+AD219-AL219</f>
        <v>1</v>
      </c>
      <c r="AU219" s="184">
        <f t="shared" si="430"/>
        <v>1</v>
      </c>
      <c r="AV219" s="62"/>
      <c r="AW219" s="176">
        <v>0.0</v>
      </c>
      <c r="AX219" s="176">
        <v>0.0</v>
      </c>
      <c r="AY219" s="176">
        <v>0.0</v>
      </c>
      <c r="AZ219" s="176">
        <v>0.33</v>
      </c>
      <c r="BA219" s="176" t="s">
        <v>913</v>
      </c>
      <c r="BB219" s="176">
        <v>0.0</v>
      </c>
      <c r="BC219" s="176">
        <v>1.0</v>
      </c>
      <c r="BD219" s="180" t="s">
        <v>1547</v>
      </c>
      <c r="BE219" s="62"/>
      <c r="BF219" s="62"/>
      <c r="BG219" s="62"/>
      <c r="BH219" s="54"/>
      <c r="BI219" s="54"/>
      <c r="BJ219" s="54"/>
      <c r="BK219" s="54"/>
      <c r="BL219" s="54"/>
      <c r="BM219" s="54"/>
      <c r="BN219" s="54"/>
      <c r="BO219" s="57"/>
      <c r="BP219" s="57"/>
      <c r="BQ219" s="57"/>
      <c r="BR219" s="57"/>
    </row>
    <row r="220">
      <c r="A220" s="176">
        <v>216.0</v>
      </c>
      <c r="B220" s="139" t="s">
        <v>283</v>
      </c>
      <c r="C220" s="178" t="s">
        <v>1530</v>
      </c>
      <c r="D220" s="245">
        <v>3.0</v>
      </c>
      <c r="E220" s="245">
        <v>0.8</v>
      </c>
      <c r="F220" s="245">
        <v>0.2</v>
      </c>
      <c r="G220" s="245">
        <v>0.0</v>
      </c>
      <c r="H220" s="245">
        <v>0.0</v>
      </c>
      <c r="I220" s="245">
        <v>0.0</v>
      </c>
      <c r="J220" s="106">
        <v>3.0</v>
      </c>
      <c r="K220" s="106">
        <v>0.8</v>
      </c>
      <c r="L220" s="106">
        <v>0.2</v>
      </c>
      <c r="M220" s="106">
        <v>0.0</v>
      </c>
      <c r="N220" s="106">
        <v>0.0</v>
      </c>
      <c r="O220" s="106">
        <v>0.0</v>
      </c>
      <c r="P220" s="180">
        <v>1.0</v>
      </c>
      <c r="Q220" s="180">
        <v>1.0</v>
      </c>
      <c r="R220" s="62"/>
      <c r="S220" s="187">
        <v>0.1</v>
      </c>
      <c r="T220" s="188">
        <v>0.07</v>
      </c>
      <c r="U220" s="188">
        <v>0.0</v>
      </c>
      <c r="V220" s="188">
        <v>0.0</v>
      </c>
      <c r="W220" s="188">
        <v>0.0</v>
      </c>
      <c r="X220" s="62"/>
      <c r="Y220" s="176">
        <v>0.0</v>
      </c>
      <c r="Z220" s="176">
        <v>0.0</v>
      </c>
      <c r="AA220" s="176">
        <v>0.0</v>
      </c>
      <c r="AB220" s="176">
        <v>0.0</v>
      </c>
      <c r="AC220" s="176">
        <v>0.0</v>
      </c>
      <c r="AD220" s="176">
        <v>0.0</v>
      </c>
      <c r="AE220" s="176">
        <v>0.0</v>
      </c>
      <c r="AF220" s="62"/>
      <c r="AG220" s="54"/>
      <c r="AH220" s="54"/>
      <c r="AI220" s="47">
        <v>0.06</v>
      </c>
      <c r="AJ220" s="47">
        <v>0.07</v>
      </c>
      <c r="AK220" s="54"/>
      <c r="AL220" s="54"/>
      <c r="AM220" s="54"/>
      <c r="AN220" s="62"/>
      <c r="AO220" s="184">
        <f t="shared" ref="AO220:AS220" si="431">ROUND(E220*(5/12)+K220*(5/12)+S220+Y220-AG220,2)</f>
        <v>0.77</v>
      </c>
      <c r="AP220" s="184">
        <f t="shared" si="431"/>
        <v>0.24</v>
      </c>
      <c r="AQ220" s="184">
        <f t="shared" si="431"/>
        <v>-0.06</v>
      </c>
      <c r="AR220" s="184">
        <f t="shared" si="431"/>
        <v>-0.07</v>
      </c>
      <c r="AS220" s="184">
        <f t="shared" si="431"/>
        <v>0</v>
      </c>
      <c r="AT220" s="184">
        <f t="shared" ref="AT220:AU220" si="432">P220+AD220-AL220</f>
        <v>1</v>
      </c>
      <c r="AU220" s="184">
        <f t="shared" si="432"/>
        <v>1</v>
      </c>
      <c r="AV220" s="62"/>
      <c r="AW220" s="176">
        <v>0.25</v>
      </c>
      <c r="AX220" s="176">
        <v>0.086</v>
      </c>
      <c r="AY220" s="176" t="s">
        <v>913</v>
      </c>
      <c r="AZ220" s="176" t="s">
        <v>913</v>
      </c>
      <c r="BA220" s="176" t="s">
        <v>913</v>
      </c>
      <c r="BB220" s="176">
        <v>1.0</v>
      </c>
      <c r="BC220" s="176">
        <v>1.0</v>
      </c>
      <c r="BD220" s="180" t="s">
        <v>1548</v>
      </c>
      <c r="BE220" s="62"/>
      <c r="BF220" s="62"/>
      <c r="BG220" s="62"/>
      <c r="BH220" s="54"/>
      <c r="BI220" s="54"/>
      <c r="BJ220" s="54"/>
      <c r="BK220" s="54"/>
      <c r="BL220" s="54"/>
      <c r="BM220" s="54"/>
      <c r="BN220" s="54"/>
      <c r="BO220" s="57"/>
      <c r="BP220" s="57"/>
      <c r="BQ220" s="57"/>
      <c r="BR220" s="57"/>
    </row>
    <row r="221">
      <c r="A221" s="176">
        <v>217.0</v>
      </c>
      <c r="B221" s="139" t="s">
        <v>284</v>
      </c>
      <c r="C221" s="282" t="s">
        <v>1530</v>
      </c>
      <c r="D221" s="245">
        <v>3.33</v>
      </c>
      <c r="E221" s="245">
        <v>0.27</v>
      </c>
      <c r="F221" s="245">
        <v>0.2</v>
      </c>
      <c r="G221" s="245">
        <v>0.2</v>
      </c>
      <c r="H221" s="245">
        <v>0.0</v>
      </c>
      <c r="I221" s="245">
        <v>0.0</v>
      </c>
      <c r="J221" s="106">
        <v>3.33</v>
      </c>
      <c r="K221" s="106">
        <v>0.27</v>
      </c>
      <c r="L221" s="106">
        <v>0.2</v>
      </c>
      <c r="M221" s="106">
        <v>0.2</v>
      </c>
      <c r="N221" s="106">
        <v>0.0</v>
      </c>
      <c r="O221" s="106">
        <v>0.0</v>
      </c>
      <c r="P221" s="180">
        <v>1.0</v>
      </c>
      <c r="Q221" s="180">
        <v>1.0</v>
      </c>
      <c r="R221" s="62"/>
      <c r="S221" s="187">
        <v>0.1</v>
      </c>
      <c r="T221" s="188">
        <v>0.02</v>
      </c>
      <c r="U221" s="188">
        <v>0.0</v>
      </c>
      <c r="V221" s="188">
        <v>0.0</v>
      </c>
      <c r="W221" s="188">
        <v>0.0</v>
      </c>
      <c r="X221" s="62"/>
      <c r="Y221" s="176">
        <v>0.0</v>
      </c>
      <c r="Z221" s="176">
        <v>0.0</v>
      </c>
      <c r="AA221" s="176">
        <v>0.0</v>
      </c>
      <c r="AB221" s="176">
        <v>0.0</v>
      </c>
      <c r="AC221" s="176">
        <v>0.0</v>
      </c>
      <c r="AD221" s="176">
        <v>0.0</v>
      </c>
      <c r="AE221" s="176">
        <v>0.0</v>
      </c>
      <c r="AF221" s="62"/>
      <c r="AG221" s="54"/>
      <c r="AH221" s="54"/>
      <c r="AI221" s="47">
        <v>0.06</v>
      </c>
      <c r="AJ221" s="54"/>
      <c r="AK221" s="54"/>
      <c r="AL221" s="54"/>
      <c r="AM221" s="54"/>
      <c r="AN221" s="62"/>
      <c r="AO221" s="184">
        <f t="shared" ref="AO221:AS221" si="433">ROUND(E221*(5/12)+K221*(5/12)+S221+Y221-AG221,2)</f>
        <v>0.33</v>
      </c>
      <c r="AP221" s="184">
        <f t="shared" si="433"/>
        <v>0.19</v>
      </c>
      <c r="AQ221" s="184">
        <f t="shared" si="433"/>
        <v>0.11</v>
      </c>
      <c r="AR221" s="184">
        <f t="shared" si="433"/>
        <v>0</v>
      </c>
      <c r="AS221" s="184">
        <f t="shared" si="433"/>
        <v>0</v>
      </c>
      <c r="AT221" s="184">
        <f t="shared" ref="AT221:AU221" si="434">P221+AD221-AL221</f>
        <v>1</v>
      </c>
      <c r="AU221" s="184">
        <f t="shared" si="434"/>
        <v>1</v>
      </c>
      <c r="AV221" s="62"/>
      <c r="AW221" s="176">
        <v>0.5</v>
      </c>
      <c r="AX221" s="176">
        <v>0.086</v>
      </c>
      <c r="AY221" s="176">
        <v>0.0</v>
      </c>
      <c r="AZ221" s="176" t="s">
        <v>913</v>
      </c>
      <c r="BA221" s="176" t="s">
        <v>913</v>
      </c>
      <c r="BB221" s="176">
        <v>1.0</v>
      </c>
      <c r="BC221" s="176">
        <v>1.0</v>
      </c>
      <c r="BD221" s="180" t="s">
        <v>1549</v>
      </c>
      <c r="BE221" s="62"/>
      <c r="BF221" s="62"/>
      <c r="BG221" s="62"/>
      <c r="BH221" s="54"/>
      <c r="BI221" s="54"/>
      <c r="BJ221" s="54"/>
      <c r="BK221" s="54"/>
      <c r="BL221" s="54"/>
      <c r="BM221" s="54"/>
      <c r="BN221" s="54"/>
      <c r="BO221" s="57"/>
      <c r="BP221" s="57"/>
      <c r="BQ221" s="57"/>
      <c r="BR221" s="57"/>
    </row>
    <row r="222">
      <c r="A222" s="176">
        <v>218.0</v>
      </c>
      <c r="B222" s="139" t="s">
        <v>285</v>
      </c>
      <c r="C222" s="282" t="s">
        <v>1530</v>
      </c>
      <c r="D222" s="245">
        <v>3.0</v>
      </c>
      <c r="E222" s="245">
        <v>0.0</v>
      </c>
      <c r="F222" s="245">
        <v>0.0</v>
      </c>
      <c r="G222" s="245">
        <v>0.2</v>
      </c>
      <c r="H222" s="245">
        <v>0.4</v>
      </c>
      <c r="I222" s="245">
        <v>0.4</v>
      </c>
      <c r="J222" s="106">
        <v>3.56</v>
      </c>
      <c r="K222" s="106">
        <v>0.0</v>
      </c>
      <c r="L222" s="106">
        <v>0.0</v>
      </c>
      <c r="M222" s="106">
        <v>0.0</v>
      </c>
      <c r="N222" s="106">
        <v>0.6</v>
      </c>
      <c r="O222" s="106">
        <v>0.4</v>
      </c>
      <c r="P222" s="180">
        <v>1.0</v>
      </c>
      <c r="Q222" s="180">
        <v>1.0</v>
      </c>
      <c r="R222" s="62"/>
      <c r="S222" s="187">
        <v>0.0</v>
      </c>
      <c r="T222" s="188">
        <v>0.0</v>
      </c>
      <c r="U222" s="188">
        <v>0.03</v>
      </c>
      <c r="V222" s="188">
        <v>0.07</v>
      </c>
      <c r="W222" s="188">
        <v>0.07</v>
      </c>
      <c r="X222" s="62"/>
      <c r="Y222" s="176">
        <v>0.0</v>
      </c>
      <c r="Z222" s="176">
        <v>0.0</v>
      </c>
      <c r="AA222" s="176">
        <v>0.0</v>
      </c>
      <c r="AB222" s="176">
        <v>0.0</v>
      </c>
      <c r="AC222" s="176">
        <v>0.0</v>
      </c>
      <c r="AD222" s="176">
        <v>0.0</v>
      </c>
      <c r="AE222" s="176">
        <v>0.0</v>
      </c>
      <c r="AF222" s="62"/>
      <c r="AG222" s="54"/>
      <c r="AH222" s="54"/>
      <c r="AI222" s="47">
        <v>0.07</v>
      </c>
      <c r="AJ222" s="54"/>
      <c r="AK222" s="54"/>
      <c r="AL222" s="54"/>
      <c r="AM222" s="54"/>
      <c r="AN222" s="62"/>
      <c r="AO222" s="184">
        <f t="shared" ref="AO222:AS222" si="435">ROUND(E222*(5/12)+K222*(5/12)+S222+Y222-AG222,2)</f>
        <v>0</v>
      </c>
      <c r="AP222" s="184">
        <f t="shared" si="435"/>
        <v>0</v>
      </c>
      <c r="AQ222" s="184">
        <f t="shared" si="435"/>
        <v>0.04</v>
      </c>
      <c r="AR222" s="184">
        <f t="shared" si="435"/>
        <v>0.49</v>
      </c>
      <c r="AS222" s="184">
        <f t="shared" si="435"/>
        <v>0.4</v>
      </c>
      <c r="AT222" s="184">
        <f t="shared" ref="AT222:AU222" si="436">P222+AD222-AL222</f>
        <v>1</v>
      </c>
      <c r="AU222" s="184">
        <f t="shared" si="436"/>
        <v>1</v>
      </c>
      <c r="AV222" s="62"/>
      <c r="AW222" s="176" t="s">
        <v>913</v>
      </c>
      <c r="AX222" s="176" t="s">
        <v>913</v>
      </c>
      <c r="AY222" s="176">
        <v>0.0</v>
      </c>
      <c r="AZ222" s="176">
        <v>0.33</v>
      </c>
      <c r="BA222" s="176">
        <v>0.0</v>
      </c>
      <c r="BB222" s="176">
        <v>0.0</v>
      </c>
      <c r="BC222" s="176">
        <v>1.0</v>
      </c>
      <c r="BD222" s="194" t="s">
        <v>1550</v>
      </c>
      <c r="BE222" s="62"/>
      <c r="BF222" s="62"/>
      <c r="BG222" s="62"/>
      <c r="BH222" s="54"/>
      <c r="BI222" s="54"/>
      <c r="BJ222" s="54"/>
      <c r="BK222" s="54"/>
      <c r="BL222" s="54"/>
      <c r="BM222" s="54"/>
      <c r="BN222" s="54"/>
      <c r="BO222" s="57"/>
      <c r="BP222" s="57"/>
      <c r="BQ222" s="57"/>
      <c r="BR222" s="57"/>
    </row>
    <row r="223">
      <c r="A223" s="176">
        <v>219.0</v>
      </c>
      <c r="B223" s="139" t="s">
        <v>286</v>
      </c>
      <c r="C223" s="282" t="s">
        <v>1530</v>
      </c>
      <c r="D223" s="245">
        <v>3.89</v>
      </c>
      <c r="E223" s="245">
        <v>0.67</v>
      </c>
      <c r="F223" s="245">
        <v>0.0</v>
      </c>
      <c r="G223" s="245">
        <v>0.0</v>
      </c>
      <c r="H223" s="245">
        <v>0.0</v>
      </c>
      <c r="I223" s="245">
        <v>0.0</v>
      </c>
      <c r="J223" s="106">
        <v>3.83</v>
      </c>
      <c r="K223" s="106">
        <v>0.17</v>
      </c>
      <c r="L223" s="106">
        <v>0.0</v>
      </c>
      <c r="M223" s="106">
        <v>0.0</v>
      </c>
      <c r="N223" s="106">
        <v>0.0</v>
      </c>
      <c r="O223" s="106">
        <v>0.0</v>
      </c>
      <c r="P223" s="180">
        <v>1.0</v>
      </c>
      <c r="Q223" s="180">
        <v>1.0</v>
      </c>
      <c r="R223" s="62"/>
      <c r="S223" s="187">
        <v>0.08</v>
      </c>
      <c r="T223" s="188">
        <v>0.02</v>
      </c>
      <c r="U223" s="188">
        <v>0.02</v>
      </c>
      <c r="V223" s="188">
        <v>0.0</v>
      </c>
      <c r="W223" s="188">
        <v>0.0</v>
      </c>
      <c r="X223" s="62"/>
      <c r="Y223" s="176">
        <v>0.0</v>
      </c>
      <c r="Z223" s="176">
        <v>0.0</v>
      </c>
      <c r="AA223" s="176">
        <v>0.0</v>
      </c>
      <c r="AB223" s="176">
        <v>0.0</v>
      </c>
      <c r="AC223" s="176">
        <v>0.0</v>
      </c>
      <c r="AD223" s="176">
        <v>0.0</v>
      </c>
      <c r="AE223" s="176">
        <v>0.0</v>
      </c>
      <c r="AF223" s="62"/>
      <c r="AG223" s="54"/>
      <c r="AH223" s="54"/>
      <c r="AI223" s="54"/>
      <c r="AJ223" s="54"/>
      <c r="AK223" s="54"/>
      <c r="AL223" s="54"/>
      <c r="AM223" s="54"/>
      <c r="AN223" s="62"/>
      <c r="AO223" s="184">
        <f t="shared" ref="AO223:AS223" si="437">ROUND(E223*(5/12)+K223*(5/12)+S223+Y223-AG223,2)</f>
        <v>0.43</v>
      </c>
      <c r="AP223" s="184">
        <f t="shared" si="437"/>
        <v>0.02</v>
      </c>
      <c r="AQ223" s="184">
        <f t="shared" si="437"/>
        <v>0.02</v>
      </c>
      <c r="AR223" s="184">
        <f t="shared" si="437"/>
        <v>0</v>
      </c>
      <c r="AS223" s="184">
        <f t="shared" si="437"/>
        <v>0</v>
      </c>
      <c r="AT223" s="184">
        <f t="shared" ref="AT223:AU223" si="438">P223+AD223-AL223</f>
        <v>1</v>
      </c>
      <c r="AU223" s="184">
        <f t="shared" si="438"/>
        <v>1</v>
      </c>
      <c r="AV223" s="62"/>
      <c r="AW223" s="176">
        <v>0.2</v>
      </c>
      <c r="AX223" s="176">
        <v>0.0</v>
      </c>
      <c r="AY223" s="176">
        <v>0.0</v>
      </c>
      <c r="AZ223" s="176" t="s">
        <v>913</v>
      </c>
      <c r="BA223" s="176" t="s">
        <v>913</v>
      </c>
      <c r="BB223" s="176">
        <v>1.0</v>
      </c>
      <c r="BC223" s="176">
        <v>1.0</v>
      </c>
      <c r="BD223" s="194" t="s">
        <v>1551</v>
      </c>
      <c r="BE223" s="62"/>
      <c r="BF223" s="62"/>
      <c r="BG223" s="62"/>
      <c r="BH223" s="54"/>
      <c r="BI223" s="54"/>
      <c r="BJ223" s="54"/>
      <c r="BK223" s="54"/>
      <c r="BL223" s="54"/>
      <c r="BM223" s="54"/>
      <c r="BN223" s="54"/>
      <c r="BO223" s="57"/>
      <c r="BP223" s="57"/>
      <c r="BQ223" s="57"/>
      <c r="BR223" s="58" t="s">
        <v>1552</v>
      </c>
    </row>
    <row r="224">
      <c r="A224" s="176">
        <v>220.0</v>
      </c>
      <c r="B224" s="139" t="s">
        <v>1553</v>
      </c>
      <c r="C224" s="282" t="s">
        <v>1530</v>
      </c>
      <c r="D224" s="245">
        <v>4.08</v>
      </c>
      <c r="E224" s="245">
        <v>0.67</v>
      </c>
      <c r="F224" s="245">
        <v>0.0</v>
      </c>
      <c r="G224" s="245">
        <v>0.0</v>
      </c>
      <c r="H224" s="245">
        <v>0.0</v>
      </c>
      <c r="I224" s="245">
        <v>0.0</v>
      </c>
      <c r="J224" s="106">
        <v>3.33</v>
      </c>
      <c r="K224" s="106">
        <v>0.67</v>
      </c>
      <c r="L224" s="106">
        <v>0.0</v>
      </c>
      <c r="M224" s="106">
        <v>0.0</v>
      </c>
      <c r="N224" s="106">
        <v>0.0</v>
      </c>
      <c r="O224" s="106">
        <v>0.0</v>
      </c>
      <c r="P224" s="180">
        <v>1.0</v>
      </c>
      <c r="Q224" s="180">
        <v>1.0</v>
      </c>
      <c r="R224" s="62"/>
      <c r="S224" s="187">
        <v>0.08</v>
      </c>
      <c r="T224" s="188">
        <v>0.02</v>
      </c>
      <c r="U224" s="188">
        <v>0.02</v>
      </c>
      <c r="V224" s="188">
        <v>0.0</v>
      </c>
      <c r="W224" s="188">
        <v>0.0</v>
      </c>
      <c r="X224" s="62"/>
      <c r="Y224" s="176">
        <v>0.0</v>
      </c>
      <c r="Z224" s="176">
        <v>0.0</v>
      </c>
      <c r="AA224" s="176">
        <v>0.0</v>
      </c>
      <c r="AB224" s="176">
        <v>0.0</v>
      </c>
      <c r="AC224" s="176">
        <v>0.0</v>
      </c>
      <c r="AD224" s="176">
        <v>0.0</v>
      </c>
      <c r="AE224" s="176">
        <v>0.0</v>
      </c>
      <c r="AF224" s="62"/>
      <c r="AG224" s="47">
        <v>0.54</v>
      </c>
      <c r="AH224" s="54"/>
      <c r="AI224" s="54"/>
      <c r="AJ224" s="47">
        <v>0.16</v>
      </c>
      <c r="AK224" s="54"/>
      <c r="AL224" s="54"/>
      <c r="AM224" s="47">
        <v>1.0</v>
      </c>
      <c r="AN224" s="62"/>
      <c r="AO224" s="184">
        <f t="shared" ref="AO224:AS224" si="439">ROUND(E224*(5/12)+K224*(5/12)+S224+Y224-AG224,2)</f>
        <v>0.1</v>
      </c>
      <c r="AP224" s="184">
        <f t="shared" si="439"/>
        <v>0.02</v>
      </c>
      <c r="AQ224" s="184">
        <f t="shared" si="439"/>
        <v>0.02</v>
      </c>
      <c r="AR224" s="184">
        <f t="shared" si="439"/>
        <v>-0.16</v>
      </c>
      <c r="AS224" s="184">
        <f t="shared" si="439"/>
        <v>0</v>
      </c>
      <c r="AT224" s="184">
        <f t="shared" ref="AT224:AU224" si="440">P224+AD224-AL224</f>
        <v>1</v>
      </c>
      <c r="AU224" s="184">
        <f t="shared" si="440"/>
        <v>0</v>
      </c>
      <c r="AV224" s="62"/>
      <c r="AW224" s="176">
        <v>0.8</v>
      </c>
      <c r="AX224" s="176">
        <v>0.0</v>
      </c>
      <c r="AY224" s="176">
        <v>0.0</v>
      </c>
      <c r="AZ224" s="176" t="s">
        <v>913</v>
      </c>
      <c r="BA224" s="176" t="s">
        <v>913</v>
      </c>
      <c r="BB224" s="176">
        <v>1.0</v>
      </c>
      <c r="BC224" s="176">
        <v>1.0</v>
      </c>
      <c r="BD224" s="180" t="s">
        <v>1554</v>
      </c>
      <c r="BE224" s="62"/>
      <c r="BF224" s="62"/>
      <c r="BG224" s="62"/>
      <c r="BH224" s="54"/>
      <c r="BI224" s="54"/>
      <c r="BJ224" s="54"/>
      <c r="BK224" s="54"/>
      <c r="BL224" s="54"/>
      <c r="BM224" s="54"/>
      <c r="BN224" s="54"/>
      <c r="BO224" s="57"/>
      <c r="BP224" s="57"/>
      <c r="BQ224" s="57"/>
      <c r="BR224" s="58" t="s">
        <v>1555</v>
      </c>
    </row>
    <row r="225">
      <c r="A225" s="176">
        <v>221.0</v>
      </c>
      <c r="B225" s="283" t="s">
        <v>288</v>
      </c>
      <c r="C225" s="282" t="s">
        <v>1530</v>
      </c>
      <c r="D225" s="245">
        <v>3.89</v>
      </c>
      <c r="E225" s="245">
        <v>0.27</v>
      </c>
      <c r="F225" s="245">
        <v>0.2</v>
      </c>
      <c r="G225" s="245">
        <v>0.2</v>
      </c>
      <c r="H225" s="245">
        <v>0.0</v>
      </c>
      <c r="I225" s="245">
        <v>0.0</v>
      </c>
      <c r="J225" s="106">
        <v>3.33</v>
      </c>
      <c r="K225" s="106">
        <v>0.27</v>
      </c>
      <c r="L225" s="106">
        <v>0.2</v>
      </c>
      <c r="M225" s="106">
        <v>0.2</v>
      </c>
      <c r="N225" s="106">
        <v>0.0</v>
      </c>
      <c r="O225" s="106">
        <v>0.0</v>
      </c>
      <c r="P225" s="180">
        <v>1.0</v>
      </c>
      <c r="Q225" s="180">
        <v>1.0</v>
      </c>
      <c r="R225" s="62"/>
      <c r="S225" s="187">
        <v>0.1</v>
      </c>
      <c r="T225" s="188">
        <v>0.0</v>
      </c>
      <c r="U225" s="188">
        <v>0.02</v>
      </c>
      <c r="V225" s="188">
        <v>0.0</v>
      </c>
      <c r="W225" s="188">
        <v>0.0</v>
      </c>
      <c r="X225" s="62"/>
      <c r="Y225" s="176">
        <v>0.0</v>
      </c>
      <c r="Z225" s="176">
        <v>0.0</v>
      </c>
      <c r="AA225" s="176">
        <v>0.0</v>
      </c>
      <c r="AB225" s="176">
        <v>0.0</v>
      </c>
      <c r="AC225" s="176">
        <v>0.0</v>
      </c>
      <c r="AD225" s="176">
        <v>0.0</v>
      </c>
      <c r="AE225" s="176">
        <v>0.0</v>
      </c>
      <c r="AF225" s="62"/>
      <c r="AG225" s="54"/>
      <c r="AH225" s="54"/>
      <c r="AI225" s="54"/>
      <c r="AJ225" s="54"/>
      <c r="AK225" s="54"/>
      <c r="AL225" s="54"/>
      <c r="AM225" s="47">
        <v>0.33</v>
      </c>
      <c r="AN225" s="62"/>
      <c r="AO225" s="184">
        <f t="shared" ref="AO225:AS225" si="441">ROUND(E225*(5/12)+K225*(5/12)+S225+Y225-AG225,2)</f>
        <v>0.33</v>
      </c>
      <c r="AP225" s="184">
        <f t="shared" si="441"/>
        <v>0.17</v>
      </c>
      <c r="AQ225" s="184">
        <f t="shared" si="441"/>
        <v>0.19</v>
      </c>
      <c r="AR225" s="184">
        <f t="shared" si="441"/>
        <v>0</v>
      </c>
      <c r="AS225" s="184">
        <f t="shared" si="441"/>
        <v>0</v>
      </c>
      <c r="AT225" s="184">
        <f t="shared" ref="AT225:AU225" si="442">P225+AD225-AL225</f>
        <v>1</v>
      </c>
      <c r="AU225" s="184">
        <f t="shared" si="442"/>
        <v>0.67</v>
      </c>
      <c r="AV225" s="62"/>
      <c r="AW225" s="176">
        <v>0.0</v>
      </c>
      <c r="AX225" s="176">
        <v>0.0</v>
      </c>
      <c r="AY225" s="176">
        <v>0.0</v>
      </c>
      <c r="AZ225" s="176" t="s">
        <v>913</v>
      </c>
      <c r="BA225" s="176" t="s">
        <v>913</v>
      </c>
      <c r="BB225" s="176">
        <v>0.0</v>
      </c>
      <c r="BC225" s="176">
        <v>1.0</v>
      </c>
      <c r="BD225" s="180" t="s">
        <v>1556</v>
      </c>
      <c r="BE225" s="62"/>
      <c r="BF225" s="62"/>
      <c r="BG225" s="62"/>
      <c r="BH225" s="54"/>
      <c r="BI225" s="54"/>
      <c r="BJ225" s="54"/>
      <c r="BK225" s="54"/>
      <c r="BL225" s="54"/>
      <c r="BM225" s="54"/>
      <c r="BN225" s="54"/>
      <c r="BO225" s="57"/>
      <c r="BP225" s="57"/>
      <c r="BQ225" s="57"/>
      <c r="BR225" s="57"/>
    </row>
    <row r="226">
      <c r="A226" s="176">
        <v>222.0</v>
      </c>
      <c r="B226" s="274" t="s">
        <v>289</v>
      </c>
      <c r="C226" s="282" t="s">
        <v>1530</v>
      </c>
      <c r="D226" s="245">
        <v>2.33</v>
      </c>
      <c r="E226" s="245">
        <v>1.27</v>
      </c>
      <c r="F226" s="245">
        <v>0.0</v>
      </c>
      <c r="G226" s="245">
        <v>0.4</v>
      </c>
      <c r="H226" s="245">
        <v>0.0</v>
      </c>
      <c r="I226" s="245">
        <v>0.0</v>
      </c>
      <c r="J226" s="106">
        <v>2.33</v>
      </c>
      <c r="K226" s="106">
        <v>1.27</v>
      </c>
      <c r="L226" s="106">
        <v>0.0</v>
      </c>
      <c r="M226" s="106">
        <v>0.4</v>
      </c>
      <c r="N226" s="106">
        <v>0.0</v>
      </c>
      <c r="O226" s="106">
        <v>0.0</v>
      </c>
      <c r="P226" s="180">
        <v>1.0</v>
      </c>
      <c r="Q226" s="180">
        <v>1.0</v>
      </c>
      <c r="R226" s="62"/>
      <c r="S226" s="187">
        <v>0.21</v>
      </c>
      <c r="T226" s="188">
        <v>0.0</v>
      </c>
      <c r="U226" s="188">
        <v>0.07</v>
      </c>
      <c r="V226" s="188">
        <v>0.0</v>
      </c>
      <c r="W226" s="188">
        <v>0.0</v>
      </c>
      <c r="X226" s="62"/>
      <c r="Y226" s="176">
        <v>0.0</v>
      </c>
      <c r="Z226" s="176">
        <v>0.0</v>
      </c>
      <c r="AA226" s="176">
        <v>0.0</v>
      </c>
      <c r="AB226" s="176">
        <v>0.0</v>
      </c>
      <c r="AC226" s="176">
        <v>0.0</v>
      </c>
      <c r="AD226" s="176">
        <v>0.0</v>
      </c>
      <c r="AE226" s="176">
        <v>0.0</v>
      </c>
      <c r="AF226" s="62"/>
      <c r="AG226" s="54"/>
      <c r="AH226" s="54"/>
      <c r="AI226" s="47">
        <v>0.03</v>
      </c>
      <c r="AJ226" s="54"/>
      <c r="AK226" s="54"/>
      <c r="AL226" s="54"/>
      <c r="AM226" s="54"/>
      <c r="AN226" s="62"/>
      <c r="AO226" s="184">
        <f t="shared" ref="AO226:AS226" si="443">ROUND(E226*(5/12)+K226*(5/12)+S226+Y226-AG226,2)</f>
        <v>1.27</v>
      </c>
      <c r="AP226" s="184">
        <f t="shared" si="443"/>
        <v>0</v>
      </c>
      <c r="AQ226" s="184">
        <f t="shared" si="443"/>
        <v>0.37</v>
      </c>
      <c r="AR226" s="184">
        <f t="shared" si="443"/>
        <v>0</v>
      </c>
      <c r="AS226" s="184">
        <f t="shared" si="443"/>
        <v>0</v>
      </c>
      <c r="AT226" s="184">
        <f t="shared" ref="AT226:AU226" si="444">P226+AD226-AL226</f>
        <v>1</v>
      </c>
      <c r="AU226" s="184">
        <f t="shared" si="444"/>
        <v>1</v>
      </c>
      <c r="AV226" s="62"/>
      <c r="AW226" s="176">
        <v>1.0</v>
      </c>
      <c r="AX226" s="176" t="s">
        <v>913</v>
      </c>
      <c r="AY226" s="176">
        <v>0.3</v>
      </c>
      <c r="AZ226" s="176" t="s">
        <v>913</v>
      </c>
      <c r="BA226" s="176" t="s">
        <v>913</v>
      </c>
      <c r="BB226" s="176">
        <v>1.0</v>
      </c>
      <c r="BC226" s="176">
        <v>2.0</v>
      </c>
      <c r="BD226" s="180" t="s">
        <v>1557</v>
      </c>
      <c r="BE226" s="62"/>
      <c r="BF226" s="62"/>
      <c r="BG226" s="62"/>
      <c r="BH226" s="54"/>
      <c r="BI226" s="54"/>
      <c r="BJ226" s="54"/>
      <c r="BK226" s="54"/>
      <c r="BL226" s="54"/>
      <c r="BM226" s="54"/>
      <c r="BN226" s="54"/>
      <c r="BO226" s="57"/>
      <c r="BP226" s="57"/>
      <c r="BQ226" s="57"/>
      <c r="BR226" s="58" t="s">
        <v>1558</v>
      </c>
    </row>
    <row r="227">
      <c r="A227" s="176">
        <v>223.0</v>
      </c>
      <c r="B227" s="139" t="s">
        <v>1559</v>
      </c>
      <c r="C227" s="282" t="s">
        <v>1530</v>
      </c>
      <c r="D227" s="245">
        <v>1.33</v>
      </c>
      <c r="E227" s="245">
        <v>1.2</v>
      </c>
      <c r="F227" s="245">
        <v>0.35</v>
      </c>
      <c r="G227" s="245">
        <v>0.0</v>
      </c>
      <c r="H227" s="245">
        <v>0.0</v>
      </c>
      <c r="I227" s="245">
        <v>0.25</v>
      </c>
      <c r="J227" s="106">
        <v>1.33</v>
      </c>
      <c r="K227" s="106">
        <v>1.07</v>
      </c>
      <c r="L227" s="106">
        <v>0.35</v>
      </c>
      <c r="M227" s="106">
        <v>0.0</v>
      </c>
      <c r="N227" s="106">
        <v>0.0</v>
      </c>
      <c r="O227" s="106">
        <v>0.25</v>
      </c>
      <c r="P227" s="180">
        <v>1.0</v>
      </c>
      <c r="Q227" s="180">
        <v>1.0</v>
      </c>
      <c r="R227" s="62"/>
      <c r="S227" s="182">
        <v>0.08</v>
      </c>
      <c r="T227" s="183">
        <v>0.02</v>
      </c>
      <c r="U227" s="183">
        <v>0.02</v>
      </c>
      <c r="V227" s="183">
        <v>0.13</v>
      </c>
      <c r="W227" s="183">
        <v>0.05</v>
      </c>
      <c r="X227" s="62"/>
      <c r="Y227" s="176">
        <v>0.0</v>
      </c>
      <c r="Z227" s="176">
        <v>0.0</v>
      </c>
      <c r="AA227" s="176">
        <v>0.0</v>
      </c>
      <c r="AB227" s="176">
        <v>0.0</v>
      </c>
      <c r="AC227" s="176">
        <v>0.0</v>
      </c>
      <c r="AD227" s="176">
        <v>0.0</v>
      </c>
      <c r="AE227" s="176">
        <v>0.0</v>
      </c>
      <c r="AF227" s="62"/>
      <c r="AG227" s="47">
        <v>1.0</v>
      </c>
      <c r="AH227" s="54"/>
      <c r="AI227" s="47"/>
      <c r="AJ227" s="47"/>
      <c r="AK227" s="54"/>
      <c r="AL227" s="54"/>
      <c r="AM227" s="47">
        <v>0.5</v>
      </c>
      <c r="AN227" s="62"/>
      <c r="AO227" s="184">
        <f t="shared" ref="AO227:AS227" si="445">ROUND(E227*(5/12)+K227*(5/12)+S227+Y227-AG227,2)</f>
        <v>0.03</v>
      </c>
      <c r="AP227" s="184">
        <f t="shared" si="445"/>
        <v>0.31</v>
      </c>
      <c r="AQ227" s="184">
        <f t="shared" si="445"/>
        <v>0.02</v>
      </c>
      <c r="AR227" s="184">
        <f t="shared" si="445"/>
        <v>0.13</v>
      </c>
      <c r="AS227" s="184">
        <f t="shared" si="445"/>
        <v>0.26</v>
      </c>
      <c r="AT227" s="184">
        <f t="shared" ref="AT227:AU227" si="446">P227+AD227-AL227</f>
        <v>1</v>
      </c>
      <c r="AU227" s="184">
        <f t="shared" si="446"/>
        <v>0.5</v>
      </c>
      <c r="AV227" s="62"/>
      <c r="AW227" s="176">
        <v>0.0</v>
      </c>
      <c r="AX227" s="176">
        <v>0.32</v>
      </c>
      <c r="AY227" s="176">
        <v>0.1</v>
      </c>
      <c r="AZ227" s="176">
        <v>0.33</v>
      </c>
      <c r="BA227" s="176">
        <v>0.26</v>
      </c>
      <c r="BB227" s="176">
        <v>0.75</v>
      </c>
      <c r="BC227" s="176">
        <v>1.0</v>
      </c>
      <c r="BD227" s="180" t="s">
        <v>1560</v>
      </c>
      <c r="BE227" s="62"/>
      <c r="BF227" s="62"/>
      <c r="BG227" s="62"/>
      <c r="BH227" s="54"/>
      <c r="BI227" s="54"/>
      <c r="BJ227" s="54"/>
      <c r="BK227" s="54"/>
      <c r="BL227" s="54"/>
      <c r="BM227" s="54"/>
      <c r="BN227" s="54"/>
      <c r="BO227" s="57"/>
      <c r="BP227" s="58" t="s">
        <v>1561</v>
      </c>
      <c r="BQ227" s="57"/>
      <c r="BR227" s="57"/>
    </row>
    <row r="228">
      <c r="A228" s="176">
        <v>224.0</v>
      </c>
      <c r="B228" s="139" t="s">
        <v>1562</v>
      </c>
      <c r="C228" s="282" t="s">
        <v>1530</v>
      </c>
      <c r="D228" s="245">
        <v>3.0</v>
      </c>
      <c r="E228" s="245">
        <v>0.0</v>
      </c>
      <c r="F228" s="245">
        <v>0.55</v>
      </c>
      <c r="G228" s="245">
        <v>0.45</v>
      </c>
      <c r="H228" s="245">
        <v>0.0</v>
      </c>
      <c r="I228" s="245">
        <v>0.0</v>
      </c>
      <c r="J228" s="106">
        <v>3.0</v>
      </c>
      <c r="K228" s="106">
        <v>0.0</v>
      </c>
      <c r="L228" s="106">
        <v>0.55</v>
      </c>
      <c r="M228" s="106">
        <v>0.45</v>
      </c>
      <c r="N228" s="106">
        <v>0.0</v>
      </c>
      <c r="O228" s="106">
        <v>0.0</v>
      </c>
      <c r="P228" s="180">
        <v>1.0</v>
      </c>
      <c r="Q228" s="180">
        <v>1.0</v>
      </c>
      <c r="R228" s="62"/>
      <c r="S228" s="182">
        <v>0.0</v>
      </c>
      <c r="T228" s="183">
        <v>0.05</v>
      </c>
      <c r="U228" s="183">
        <v>0.12</v>
      </c>
      <c r="V228" s="183">
        <v>0.0</v>
      </c>
      <c r="W228" s="183">
        <v>0.0</v>
      </c>
      <c r="X228" s="62"/>
      <c r="Y228" s="176">
        <v>0.0</v>
      </c>
      <c r="Z228" s="176">
        <v>0.0</v>
      </c>
      <c r="AA228" s="176">
        <v>0.0</v>
      </c>
      <c r="AB228" s="176">
        <v>0.0</v>
      </c>
      <c r="AC228" s="176">
        <v>0.0</v>
      </c>
      <c r="AD228" s="176">
        <v>0.0</v>
      </c>
      <c r="AE228" s="176">
        <v>0.0</v>
      </c>
      <c r="AF228" s="62"/>
      <c r="AG228" s="54"/>
      <c r="AH228" s="54"/>
      <c r="AI228" s="54"/>
      <c r="AJ228" s="54"/>
      <c r="AK228" s="54"/>
      <c r="AL228" s="54"/>
      <c r="AM228" s="47">
        <v>1.0</v>
      </c>
      <c r="AN228" s="62"/>
      <c r="AO228" s="184">
        <f t="shared" ref="AO228:AS228" si="447">ROUND(E228*(5/12)+K228*(5/12)+S228+Y228-AG228,2)</f>
        <v>0</v>
      </c>
      <c r="AP228" s="184">
        <f t="shared" si="447"/>
        <v>0.51</v>
      </c>
      <c r="AQ228" s="184">
        <f t="shared" si="447"/>
        <v>0.5</v>
      </c>
      <c r="AR228" s="184">
        <f t="shared" si="447"/>
        <v>0</v>
      </c>
      <c r="AS228" s="184">
        <f t="shared" si="447"/>
        <v>0</v>
      </c>
      <c r="AT228" s="184">
        <f t="shared" ref="AT228:AU228" si="448">P228+AD228-AL228</f>
        <v>1</v>
      </c>
      <c r="AU228" s="184">
        <f t="shared" si="448"/>
        <v>0</v>
      </c>
      <c r="AV228" s="62"/>
      <c r="AW228" s="176">
        <v>0.0</v>
      </c>
      <c r="AX228" s="176">
        <v>0.09</v>
      </c>
      <c r="AY228" s="176">
        <v>0.1</v>
      </c>
      <c r="AZ228" s="176" t="s">
        <v>913</v>
      </c>
      <c r="BA228" s="176" t="s">
        <v>913</v>
      </c>
      <c r="BB228" s="176">
        <v>0.75</v>
      </c>
      <c r="BC228" s="176" t="s">
        <v>913</v>
      </c>
      <c r="BD228" s="180" t="s">
        <v>1563</v>
      </c>
      <c r="BE228" s="62"/>
      <c r="BF228" s="62"/>
      <c r="BG228" s="62"/>
      <c r="BH228" s="54"/>
      <c r="BI228" s="54"/>
      <c r="BJ228" s="54"/>
      <c r="BK228" s="54"/>
      <c r="BL228" s="54"/>
      <c r="BM228" s="54"/>
      <c r="BN228" s="54"/>
      <c r="BO228" s="57"/>
      <c r="BP228" s="58" t="s">
        <v>1561</v>
      </c>
      <c r="BQ228" s="57"/>
      <c r="BR228" s="57"/>
    </row>
    <row r="229">
      <c r="A229" s="176">
        <v>225.0</v>
      </c>
      <c r="B229" s="139" t="s">
        <v>1564</v>
      </c>
      <c r="C229" s="282" t="s">
        <v>1530</v>
      </c>
      <c r="D229" s="245">
        <v>3.0</v>
      </c>
      <c r="E229" s="245">
        <v>0.5</v>
      </c>
      <c r="F229" s="245">
        <v>0.0</v>
      </c>
      <c r="G229" s="245">
        <v>0.0</v>
      </c>
      <c r="H229" s="245">
        <v>0.0</v>
      </c>
      <c r="I229" s="245">
        <v>0.5</v>
      </c>
      <c r="J229" s="106">
        <v>3.0</v>
      </c>
      <c r="K229" s="106">
        <v>0.5</v>
      </c>
      <c r="L229" s="106">
        <v>0.0</v>
      </c>
      <c r="M229" s="106">
        <v>0.0</v>
      </c>
      <c r="N229" s="106">
        <v>0.0</v>
      </c>
      <c r="O229" s="106">
        <v>0.5</v>
      </c>
      <c r="P229" s="180">
        <v>1.0</v>
      </c>
      <c r="Q229" s="180">
        <v>1.0</v>
      </c>
      <c r="R229" s="62"/>
      <c r="S229" s="182">
        <v>0.08</v>
      </c>
      <c r="T229" s="183">
        <v>0.03</v>
      </c>
      <c r="U229" s="183">
        <v>0.05</v>
      </c>
      <c r="V229" s="183">
        <v>0.0</v>
      </c>
      <c r="W229" s="183">
        <v>0.01</v>
      </c>
      <c r="X229" s="62"/>
      <c r="Y229" s="176">
        <v>0.0</v>
      </c>
      <c r="Z229" s="176">
        <v>0.0</v>
      </c>
      <c r="AA229" s="176">
        <v>0.0</v>
      </c>
      <c r="AB229" s="176">
        <v>0.0</v>
      </c>
      <c r="AC229" s="176">
        <v>0.0</v>
      </c>
      <c r="AD229" s="176">
        <v>0.0</v>
      </c>
      <c r="AE229" s="176">
        <v>0.0</v>
      </c>
      <c r="AF229" s="62"/>
      <c r="AG229" s="54"/>
      <c r="AH229" s="54"/>
      <c r="AI229" s="54"/>
      <c r="AJ229" s="54"/>
      <c r="AK229" s="54"/>
      <c r="AL229" s="54"/>
      <c r="AM229" s="54"/>
      <c r="AN229" s="62"/>
      <c r="AO229" s="184">
        <f t="shared" ref="AO229:AS229" si="449">ROUND(E229*(5/12)+K229*(5/12)+S229+Y229-AG229,2)</f>
        <v>0.5</v>
      </c>
      <c r="AP229" s="184">
        <f t="shared" si="449"/>
        <v>0.03</v>
      </c>
      <c r="AQ229" s="184">
        <f t="shared" si="449"/>
        <v>0.05</v>
      </c>
      <c r="AR229" s="184">
        <f t="shared" si="449"/>
        <v>0</v>
      </c>
      <c r="AS229" s="184">
        <f t="shared" si="449"/>
        <v>0.43</v>
      </c>
      <c r="AT229" s="184">
        <f t="shared" ref="AT229:AU229" si="450">P229+AD229-AL229</f>
        <v>1</v>
      </c>
      <c r="AU229" s="184">
        <f t="shared" si="450"/>
        <v>1</v>
      </c>
      <c r="AV229" s="62"/>
      <c r="AW229" s="176">
        <v>0.0</v>
      </c>
      <c r="AX229" s="176">
        <v>0.0</v>
      </c>
      <c r="AY229" s="176">
        <v>0.0</v>
      </c>
      <c r="AZ229" s="176" t="s">
        <v>913</v>
      </c>
      <c r="BA229" s="176">
        <v>0.0</v>
      </c>
      <c r="BB229" s="176">
        <v>1.0</v>
      </c>
      <c r="BC229" s="176">
        <v>1.0</v>
      </c>
      <c r="BD229" s="180" t="s">
        <v>1565</v>
      </c>
      <c r="BE229" s="62"/>
      <c r="BF229" s="62"/>
      <c r="BG229" s="62"/>
      <c r="BH229" s="54"/>
      <c r="BI229" s="54"/>
      <c r="BJ229" s="54"/>
      <c r="BK229" s="54"/>
      <c r="BL229" s="54"/>
      <c r="BM229" s="54"/>
      <c r="BN229" s="54"/>
      <c r="BO229" s="57"/>
      <c r="BP229" s="58" t="s">
        <v>1561</v>
      </c>
      <c r="BQ229" s="57"/>
      <c r="BR229" s="57"/>
    </row>
    <row r="230">
      <c r="A230" s="176">
        <v>226.0</v>
      </c>
      <c r="B230" s="139" t="s">
        <v>1566</v>
      </c>
      <c r="C230" s="282" t="s">
        <v>1530</v>
      </c>
      <c r="D230" s="245">
        <v>2.67</v>
      </c>
      <c r="E230" s="245">
        <v>1.0</v>
      </c>
      <c r="F230" s="245">
        <v>0.35</v>
      </c>
      <c r="G230" s="245">
        <v>0.0</v>
      </c>
      <c r="H230" s="245">
        <v>0.0</v>
      </c>
      <c r="I230" s="245">
        <v>0.0</v>
      </c>
      <c r="J230" s="106">
        <v>3.0</v>
      </c>
      <c r="K230" s="106">
        <v>0.65</v>
      </c>
      <c r="L230" s="106">
        <v>0.35</v>
      </c>
      <c r="M230" s="106">
        <v>0.0</v>
      </c>
      <c r="N230" s="106">
        <v>0.0</v>
      </c>
      <c r="O230" s="106">
        <v>0.0</v>
      </c>
      <c r="P230" s="180">
        <v>1.0</v>
      </c>
      <c r="Q230" s="180">
        <v>1.0</v>
      </c>
      <c r="R230" s="62"/>
      <c r="S230" s="182">
        <v>0.13</v>
      </c>
      <c r="T230" s="183">
        <v>0.04</v>
      </c>
      <c r="U230" s="183">
        <v>0.0</v>
      </c>
      <c r="V230" s="183">
        <v>0.0</v>
      </c>
      <c r="W230" s="183">
        <v>0.0</v>
      </c>
      <c r="X230" s="62"/>
      <c r="Y230" s="176">
        <v>0.0</v>
      </c>
      <c r="Z230" s="176">
        <v>0.0</v>
      </c>
      <c r="AA230" s="176">
        <v>0.0</v>
      </c>
      <c r="AB230" s="176">
        <v>0.0</v>
      </c>
      <c r="AC230" s="176">
        <v>0.0</v>
      </c>
      <c r="AD230" s="176">
        <v>0.0</v>
      </c>
      <c r="AE230" s="176">
        <v>0.0</v>
      </c>
      <c r="AF230" s="62"/>
      <c r="AG230" s="54"/>
      <c r="AH230" s="54"/>
      <c r="AI230" s="54"/>
      <c r="AJ230" s="54"/>
      <c r="AK230" s="54"/>
      <c r="AL230" s="54"/>
      <c r="AM230" s="54"/>
      <c r="AN230" s="62"/>
      <c r="AO230" s="184">
        <f t="shared" ref="AO230:AS230" si="451">ROUND(E230*(5/12)+K230*(5/12)+S230+Y230-AG230,2)</f>
        <v>0.82</v>
      </c>
      <c r="AP230" s="184">
        <f t="shared" si="451"/>
        <v>0.33</v>
      </c>
      <c r="AQ230" s="184">
        <f t="shared" si="451"/>
        <v>0</v>
      </c>
      <c r="AR230" s="184">
        <f t="shared" si="451"/>
        <v>0</v>
      </c>
      <c r="AS230" s="184">
        <f t="shared" si="451"/>
        <v>0</v>
      </c>
      <c r="AT230" s="184">
        <f t="shared" ref="AT230:AU230" si="452">P230+AD230-AL230</f>
        <v>1</v>
      </c>
      <c r="AU230" s="184">
        <f t="shared" si="452"/>
        <v>1</v>
      </c>
      <c r="AV230" s="62"/>
      <c r="AW230" s="176">
        <v>0.25</v>
      </c>
      <c r="AX230" s="176">
        <v>0.07</v>
      </c>
      <c r="AY230" s="176" t="s">
        <v>913</v>
      </c>
      <c r="AZ230" s="176" t="s">
        <v>913</v>
      </c>
      <c r="BA230" s="176" t="s">
        <v>913</v>
      </c>
      <c r="BB230" s="176">
        <v>1.0</v>
      </c>
      <c r="BC230" s="176">
        <v>1.0</v>
      </c>
      <c r="BD230" s="194" t="s">
        <v>1567</v>
      </c>
      <c r="BE230" s="62"/>
      <c r="BF230" s="62"/>
      <c r="BG230" s="62"/>
      <c r="BH230" s="54"/>
      <c r="BI230" s="54"/>
      <c r="BJ230" s="54"/>
      <c r="BK230" s="54"/>
      <c r="BL230" s="54"/>
      <c r="BM230" s="54"/>
      <c r="BN230" s="54"/>
      <c r="BO230" s="57"/>
      <c r="BP230" s="58" t="s">
        <v>1561</v>
      </c>
      <c r="BQ230" s="57"/>
      <c r="BR230" s="57"/>
    </row>
    <row r="231">
      <c r="A231" s="176">
        <v>227.0</v>
      </c>
      <c r="B231" s="139" t="s">
        <v>1568</v>
      </c>
      <c r="C231" s="282" t="s">
        <v>1530</v>
      </c>
      <c r="D231" s="245">
        <v>3.0</v>
      </c>
      <c r="E231" s="245">
        <v>0.55</v>
      </c>
      <c r="F231" s="245">
        <v>0.25</v>
      </c>
      <c r="G231" s="245">
        <v>0.2</v>
      </c>
      <c r="H231" s="245">
        <v>0.0</v>
      </c>
      <c r="I231" s="245">
        <v>0.0</v>
      </c>
      <c r="J231" s="106">
        <v>3.0</v>
      </c>
      <c r="K231" s="106">
        <v>0.55</v>
      </c>
      <c r="L231" s="106">
        <v>0.25</v>
      </c>
      <c r="M231" s="106">
        <v>0.2</v>
      </c>
      <c r="N231" s="106">
        <v>0.0</v>
      </c>
      <c r="O231" s="106">
        <v>0.0</v>
      </c>
      <c r="P231" s="180">
        <v>1.0</v>
      </c>
      <c r="Q231" s="180">
        <v>1.0</v>
      </c>
      <c r="R231" s="62"/>
      <c r="S231" s="182">
        <v>0.1</v>
      </c>
      <c r="T231" s="183">
        <v>0.02</v>
      </c>
      <c r="U231" s="183">
        <v>0.03</v>
      </c>
      <c r="V231" s="183">
        <v>0.0</v>
      </c>
      <c r="W231" s="183">
        <v>0.01</v>
      </c>
      <c r="X231" s="62"/>
      <c r="Y231" s="176">
        <v>0.0</v>
      </c>
      <c r="Z231" s="176">
        <v>0.0</v>
      </c>
      <c r="AA231" s="176">
        <v>0.0</v>
      </c>
      <c r="AB231" s="176">
        <v>0.0</v>
      </c>
      <c r="AC231" s="176">
        <v>0.0</v>
      </c>
      <c r="AD231" s="176">
        <v>0.0</v>
      </c>
      <c r="AE231" s="176">
        <v>0.0</v>
      </c>
      <c r="AF231" s="62"/>
      <c r="AG231" s="54"/>
      <c r="AH231" s="54"/>
      <c r="AI231" s="54"/>
      <c r="AJ231" s="54"/>
      <c r="AK231" s="54"/>
      <c r="AL231" s="54"/>
      <c r="AM231" s="47">
        <v>1.0</v>
      </c>
      <c r="AN231" s="62"/>
      <c r="AO231" s="184">
        <f t="shared" ref="AO231:AS231" si="453">ROUND(E231*(5/12)+K231*(5/12)+S231+Y231-AG231,2)</f>
        <v>0.56</v>
      </c>
      <c r="AP231" s="184">
        <f t="shared" si="453"/>
        <v>0.23</v>
      </c>
      <c r="AQ231" s="184">
        <f t="shared" si="453"/>
        <v>0.2</v>
      </c>
      <c r="AR231" s="184">
        <f t="shared" si="453"/>
        <v>0</v>
      </c>
      <c r="AS231" s="184">
        <f t="shared" si="453"/>
        <v>0.01</v>
      </c>
      <c r="AT231" s="184">
        <f t="shared" ref="AT231:AU231" si="454">P231+AD231-AL231</f>
        <v>1</v>
      </c>
      <c r="AU231" s="184">
        <f t="shared" si="454"/>
        <v>0</v>
      </c>
      <c r="AV231" s="62"/>
      <c r="AW231" s="176">
        <v>0.0</v>
      </c>
      <c r="AX231" s="176">
        <v>0.01</v>
      </c>
      <c r="AY231" s="176">
        <v>0.0</v>
      </c>
      <c r="AZ231" s="176" t="s">
        <v>913</v>
      </c>
      <c r="BA231" s="176">
        <v>0.0</v>
      </c>
      <c r="BB231" s="176">
        <v>0.0</v>
      </c>
      <c r="BC231" s="176">
        <v>0.0</v>
      </c>
      <c r="BD231" s="194" t="s">
        <v>1569</v>
      </c>
      <c r="BE231" s="62"/>
      <c r="BF231" s="62"/>
      <c r="BG231" s="62"/>
      <c r="BH231" s="54"/>
      <c r="BI231" s="54"/>
      <c r="BJ231" s="54"/>
      <c r="BK231" s="54"/>
      <c r="BL231" s="54"/>
      <c r="BM231" s="54"/>
      <c r="BN231" s="54"/>
      <c r="BO231" s="57"/>
      <c r="BP231" s="57"/>
      <c r="BQ231" s="57"/>
      <c r="BR231" s="57"/>
    </row>
    <row r="232">
      <c r="A232" s="176">
        <v>228.0</v>
      </c>
      <c r="B232" s="139" t="s">
        <v>1570</v>
      </c>
      <c r="C232" s="282" t="s">
        <v>1530</v>
      </c>
      <c r="D232" s="245">
        <v>3.67</v>
      </c>
      <c r="E232" s="245">
        <v>0.33</v>
      </c>
      <c r="F232" s="245">
        <v>0.0</v>
      </c>
      <c r="G232" s="245">
        <v>0.0</v>
      </c>
      <c r="H232" s="245">
        <v>0.0</v>
      </c>
      <c r="I232" s="245">
        <v>0.0</v>
      </c>
      <c r="J232" s="106">
        <v>4.0</v>
      </c>
      <c r="K232" s="106">
        <v>0.0</v>
      </c>
      <c r="L232" s="106">
        <v>0.0</v>
      </c>
      <c r="M232" s="106">
        <v>0.0</v>
      </c>
      <c r="N232" s="106">
        <v>0.0</v>
      </c>
      <c r="O232" s="106">
        <v>0.0</v>
      </c>
      <c r="P232" s="180">
        <v>1.0</v>
      </c>
      <c r="Q232" s="180">
        <v>1.0</v>
      </c>
      <c r="R232" s="62"/>
      <c r="S232" s="187">
        <v>0.14</v>
      </c>
      <c r="T232" s="188">
        <v>0.02</v>
      </c>
      <c r="U232" s="188">
        <v>0.0</v>
      </c>
      <c r="V232" s="188">
        <v>0.0</v>
      </c>
      <c r="W232" s="188">
        <v>0.01</v>
      </c>
      <c r="X232" s="62"/>
      <c r="Y232" s="176">
        <v>0.0</v>
      </c>
      <c r="Z232" s="176">
        <v>0.0</v>
      </c>
      <c r="AA232" s="176">
        <v>0.0</v>
      </c>
      <c r="AB232" s="176">
        <v>0.0</v>
      </c>
      <c r="AC232" s="176">
        <v>0.0</v>
      </c>
      <c r="AD232" s="176">
        <v>0.0</v>
      </c>
      <c r="AE232" s="176">
        <v>0.0</v>
      </c>
      <c r="AF232" s="62"/>
      <c r="AG232" s="54"/>
      <c r="AH232" s="54"/>
      <c r="AI232" s="54"/>
      <c r="AJ232" s="54"/>
      <c r="AK232" s="54"/>
      <c r="AL232" s="54"/>
      <c r="AM232" s="54"/>
      <c r="AN232" s="62"/>
      <c r="AO232" s="184">
        <f t="shared" ref="AO232:AS232" si="455">ROUND(E232*(5/12)+K232*(5/12)+S232+Y232-AG232,2)</f>
        <v>0.28</v>
      </c>
      <c r="AP232" s="184">
        <f t="shared" si="455"/>
        <v>0.02</v>
      </c>
      <c r="AQ232" s="184">
        <f t="shared" si="455"/>
        <v>0</v>
      </c>
      <c r="AR232" s="184">
        <f t="shared" si="455"/>
        <v>0</v>
      </c>
      <c r="AS232" s="184">
        <f t="shared" si="455"/>
        <v>0.01</v>
      </c>
      <c r="AT232" s="184">
        <f t="shared" ref="AT232:AU232" si="456">P232+AD232-AL232</f>
        <v>1</v>
      </c>
      <c r="AU232" s="184">
        <f t="shared" si="456"/>
        <v>1</v>
      </c>
      <c r="AV232" s="62"/>
      <c r="AW232" s="176">
        <v>0.0</v>
      </c>
      <c r="AX232" s="176">
        <v>0.0</v>
      </c>
      <c r="AY232" s="176" t="s">
        <v>913</v>
      </c>
      <c r="AZ232" s="176" t="s">
        <v>913</v>
      </c>
      <c r="BA232" s="176">
        <v>0.0</v>
      </c>
      <c r="BB232" s="176">
        <v>0.0</v>
      </c>
      <c r="BC232" s="176">
        <v>1.0</v>
      </c>
      <c r="BD232" s="180" t="s">
        <v>1571</v>
      </c>
      <c r="BE232" s="62"/>
      <c r="BF232" s="62"/>
      <c r="BG232" s="62"/>
      <c r="BH232" s="54"/>
      <c r="BI232" s="54"/>
      <c r="BJ232" s="54"/>
      <c r="BK232" s="54"/>
      <c r="BL232" s="54"/>
      <c r="BM232" s="54"/>
      <c r="BN232" s="54"/>
      <c r="BO232" s="57"/>
      <c r="BP232" s="58" t="s">
        <v>1561</v>
      </c>
      <c r="BQ232" s="57"/>
      <c r="BR232" s="57"/>
    </row>
    <row r="233">
      <c r="A233" s="176">
        <v>229.0</v>
      </c>
      <c r="B233" s="139" t="s">
        <v>1572</v>
      </c>
      <c r="C233" s="282" t="s">
        <v>1530</v>
      </c>
      <c r="D233" s="245">
        <v>3.67</v>
      </c>
      <c r="E233" s="245">
        <v>0.0</v>
      </c>
      <c r="F233" s="245">
        <v>0.0</v>
      </c>
      <c r="G233" s="245">
        <v>0.0</v>
      </c>
      <c r="H233" s="245">
        <v>0.33</v>
      </c>
      <c r="I233" s="245">
        <v>0.0</v>
      </c>
      <c r="J233" s="106">
        <v>3.67</v>
      </c>
      <c r="K233" s="106">
        <v>0.0</v>
      </c>
      <c r="L233" s="106">
        <v>0.0</v>
      </c>
      <c r="M233" s="106">
        <v>0.0</v>
      </c>
      <c r="N233" s="106">
        <v>0.33</v>
      </c>
      <c r="O233" s="106">
        <v>0.0</v>
      </c>
      <c r="P233" s="180">
        <v>1.0</v>
      </c>
      <c r="Q233" s="180">
        <v>1.0</v>
      </c>
      <c r="R233" s="62"/>
      <c r="S233" s="187">
        <v>0.03</v>
      </c>
      <c r="T233" s="188">
        <v>0.02</v>
      </c>
      <c r="U233" s="188">
        <v>0.0</v>
      </c>
      <c r="V233" s="188">
        <v>0.0</v>
      </c>
      <c r="W233" s="188">
        <v>0.01</v>
      </c>
      <c r="X233" s="62"/>
      <c r="Y233" s="176">
        <v>0.0</v>
      </c>
      <c r="Z233" s="176">
        <v>0.0</v>
      </c>
      <c r="AA233" s="176">
        <v>0.0</v>
      </c>
      <c r="AB233" s="176">
        <v>0.0</v>
      </c>
      <c r="AC233" s="176">
        <v>0.0</v>
      </c>
      <c r="AD233" s="176">
        <v>0.0</v>
      </c>
      <c r="AE233" s="176">
        <v>0.0</v>
      </c>
      <c r="AF233" s="62"/>
      <c r="AG233" s="54"/>
      <c r="AH233" s="54"/>
      <c r="AI233" s="54"/>
      <c r="AJ233" s="54"/>
      <c r="AK233" s="54"/>
      <c r="AL233" s="54"/>
      <c r="AM233" s="54"/>
      <c r="AN233" s="62"/>
      <c r="AO233" s="184">
        <f t="shared" ref="AO233:AS233" si="457">ROUND(E233*(5/12)+K233*(5/12)+S233+Y233-AG233,2)</f>
        <v>0.03</v>
      </c>
      <c r="AP233" s="184">
        <f t="shared" si="457"/>
        <v>0.02</v>
      </c>
      <c r="AQ233" s="184">
        <f t="shared" si="457"/>
        <v>0</v>
      </c>
      <c r="AR233" s="184">
        <f t="shared" si="457"/>
        <v>0.28</v>
      </c>
      <c r="AS233" s="184">
        <f t="shared" si="457"/>
        <v>0.01</v>
      </c>
      <c r="AT233" s="184">
        <f t="shared" ref="AT233:AU233" si="458">P233+AD233-AL233</f>
        <v>1</v>
      </c>
      <c r="AU233" s="184">
        <f t="shared" si="458"/>
        <v>1</v>
      </c>
      <c r="AV233" s="62"/>
      <c r="AW233" s="176">
        <v>0.0</v>
      </c>
      <c r="AX233" s="176">
        <v>0.0</v>
      </c>
      <c r="AY233" s="176" t="s">
        <v>913</v>
      </c>
      <c r="AZ233" s="176">
        <v>0.33</v>
      </c>
      <c r="BA233" s="176">
        <v>0.0</v>
      </c>
      <c r="BB233" s="176">
        <v>0.0</v>
      </c>
      <c r="BC233" s="176">
        <v>1.0</v>
      </c>
      <c r="BD233" s="180" t="s">
        <v>1573</v>
      </c>
      <c r="BE233" s="62"/>
      <c r="BF233" s="62"/>
      <c r="BG233" s="62"/>
      <c r="BH233" s="54"/>
      <c r="BI233" s="54"/>
      <c r="BJ233" s="54"/>
      <c r="BK233" s="54"/>
      <c r="BL233" s="54"/>
      <c r="BM233" s="54"/>
      <c r="BN233" s="54"/>
      <c r="BO233" s="57"/>
      <c r="BP233" s="58" t="s">
        <v>1561</v>
      </c>
      <c r="BQ233" s="57"/>
      <c r="BR233" s="57"/>
    </row>
    <row r="234">
      <c r="A234" s="176">
        <v>230.0</v>
      </c>
      <c r="B234" s="139" t="s">
        <v>1574</v>
      </c>
      <c r="C234" s="282" t="s">
        <v>1530</v>
      </c>
      <c r="D234" s="245">
        <v>3.33</v>
      </c>
      <c r="E234" s="245">
        <v>0.47</v>
      </c>
      <c r="F234" s="245">
        <v>0.0</v>
      </c>
      <c r="G234" s="245">
        <v>0.2</v>
      </c>
      <c r="H234" s="245">
        <v>0.0</v>
      </c>
      <c r="I234" s="245">
        <v>0.0</v>
      </c>
      <c r="J234" s="106">
        <v>3.0</v>
      </c>
      <c r="K234" s="106">
        <v>0.8</v>
      </c>
      <c r="L234" s="106">
        <v>0.0</v>
      </c>
      <c r="M234" s="106">
        <v>0.2</v>
      </c>
      <c r="N234" s="106">
        <v>0.0</v>
      </c>
      <c r="O234" s="106">
        <v>0.0</v>
      </c>
      <c r="P234" s="180">
        <v>1.0</v>
      </c>
      <c r="Q234" s="180">
        <v>1.0</v>
      </c>
      <c r="R234" s="62"/>
      <c r="S234" s="182">
        <v>0.0</v>
      </c>
      <c r="T234" s="183">
        <v>0.02</v>
      </c>
      <c r="U234" s="183">
        <v>0.03</v>
      </c>
      <c r="V234" s="183">
        <v>0.0</v>
      </c>
      <c r="W234" s="183">
        <v>0.01</v>
      </c>
      <c r="X234" s="62"/>
      <c r="Y234" s="176">
        <v>0.0</v>
      </c>
      <c r="Z234" s="176">
        <v>0.0</v>
      </c>
      <c r="AA234" s="176">
        <v>0.0</v>
      </c>
      <c r="AB234" s="176">
        <v>0.0</v>
      </c>
      <c r="AC234" s="176">
        <v>0.0</v>
      </c>
      <c r="AD234" s="176">
        <v>0.0</v>
      </c>
      <c r="AE234" s="176">
        <v>0.0</v>
      </c>
      <c r="AF234" s="62"/>
      <c r="AG234" s="54"/>
      <c r="AH234" s="54"/>
      <c r="AI234" s="54"/>
      <c r="AJ234" s="54"/>
      <c r="AK234" s="54"/>
      <c r="AL234" s="54"/>
      <c r="AM234" s="54"/>
      <c r="AN234" s="62"/>
      <c r="AO234" s="184">
        <f t="shared" ref="AO234:AS234" si="459">ROUND(E234*(5/12)+K234*(5/12)+S234+Y234-AG234,2)</f>
        <v>0.53</v>
      </c>
      <c r="AP234" s="184">
        <f t="shared" si="459"/>
        <v>0.02</v>
      </c>
      <c r="AQ234" s="184">
        <f t="shared" si="459"/>
        <v>0.2</v>
      </c>
      <c r="AR234" s="184">
        <f t="shared" si="459"/>
        <v>0</v>
      </c>
      <c r="AS234" s="184">
        <f t="shared" si="459"/>
        <v>0.01</v>
      </c>
      <c r="AT234" s="184">
        <f t="shared" ref="AT234:AU234" si="460">P234+AD234-AL234</f>
        <v>1</v>
      </c>
      <c r="AU234" s="184">
        <f t="shared" si="460"/>
        <v>1</v>
      </c>
      <c r="AV234" s="62"/>
      <c r="AW234" s="176">
        <v>0.5</v>
      </c>
      <c r="AX234" s="176">
        <v>0.02</v>
      </c>
      <c r="AY234" s="176">
        <v>0.2</v>
      </c>
      <c r="AZ234" s="176" t="s">
        <v>913</v>
      </c>
      <c r="BA234" s="176">
        <v>0.01</v>
      </c>
      <c r="BB234" s="176">
        <v>1.0</v>
      </c>
      <c r="BC234" s="176">
        <v>1.0</v>
      </c>
      <c r="BD234" s="180" t="s">
        <v>1575</v>
      </c>
      <c r="BE234" s="62"/>
      <c r="BF234" s="62"/>
      <c r="BG234" s="62"/>
      <c r="BH234" s="54"/>
      <c r="BI234" s="54"/>
      <c r="BJ234" s="54"/>
      <c r="BK234" s="54"/>
      <c r="BL234" s="54"/>
      <c r="BM234" s="54"/>
      <c r="BN234" s="54"/>
      <c r="BO234" s="57"/>
      <c r="BP234" s="58" t="s">
        <v>1561</v>
      </c>
      <c r="BQ234" s="57"/>
      <c r="BR234" s="57"/>
    </row>
    <row r="235">
      <c r="A235" s="176">
        <v>231.0</v>
      </c>
      <c r="B235" s="274" t="s">
        <v>1576</v>
      </c>
      <c r="C235" s="282" t="s">
        <v>1530</v>
      </c>
      <c r="D235" s="245">
        <v>3.33</v>
      </c>
      <c r="E235" s="245">
        <v>0.47</v>
      </c>
      <c r="F235" s="245">
        <v>0.0</v>
      </c>
      <c r="G235" s="245">
        <v>0.2</v>
      </c>
      <c r="H235" s="245">
        <v>0.0</v>
      </c>
      <c r="I235" s="245">
        <v>0.0</v>
      </c>
      <c r="J235" s="106">
        <v>3.0</v>
      </c>
      <c r="K235" s="106">
        <v>0.8</v>
      </c>
      <c r="L235" s="106">
        <v>0.0</v>
      </c>
      <c r="M235" s="106">
        <v>0.2</v>
      </c>
      <c r="N235" s="106">
        <v>0.0</v>
      </c>
      <c r="O235" s="106">
        <v>0.0</v>
      </c>
      <c r="P235" s="180">
        <v>1.0</v>
      </c>
      <c r="Q235" s="180">
        <v>1.0</v>
      </c>
      <c r="R235" s="62"/>
      <c r="S235" s="182">
        <v>0.0</v>
      </c>
      <c r="T235" s="183">
        <v>0.01</v>
      </c>
      <c r="U235" s="183">
        <v>0.03</v>
      </c>
      <c r="V235" s="183">
        <v>0.0</v>
      </c>
      <c r="W235" s="183">
        <v>0.01</v>
      </c>
      <c r="X235" s="62"/>
      <c r="Y235" s="176">
        <v>0.0</v>
      </c>
      <c r="Z235" s="176">
        <v>0.0</v>
      </c>
      <c r="AA235" s="176">
        <v>0.0</v>
      </c>
      <c r="AB235" s="176">
        <v>0.0</v>
      </c>
      <c r="AC235" s="176">
        <v>0.0</v>
      </c>
      <c r="AD235" s="176">
        <v>0.0</v>
      </c>
      <c r="AE235" s="176">
        <v>0.0</v>
      </c>
      <c r="AF235" s="62"/>
      <c r="AG235" s="54"/>
      <c r="AH235" s="54"/>
      <c r="AI235" s="54"/>
      <c r="AJ235" s="54"/>
      <c r="AK235" s="54"/>
      <c r="AL235" s="54"/>
      <c r="AM235" s="54"/>
      <c r="AN235" s="62"/>
      <c r="AO235" s="184">
        <f t="shared" ref="AO235:AS235" si="461">ROUND(E235*(5/12)+K235*(5/12)+S235+Y235-AG235,2)</f>
        <v>0.53</v>
      </c>
      <c r="AP235" s="184">
        <f t="shared" si="461"/>
        <v>0.01</v>
      </c>
      <c r="AQ235" s="184">
        <f t="shared" si="461"/>
        <v>0.2</v>
      </c>
      <c r="AR235" s="184">
        <f t="shared" si="461"/>
        <v>0</v>
      </c>
      <c r="AS235" s="184">
        <f t="shared" si="461"/>
        <v>0.01</v>
      </c>
      <c r="AT235" s="184">
        <f t="shared" ref="AT235:AU235" si="462">P235+AD235-AL235</f>
        <v>1</v>
      </c>
      <c r="AU235" s="184">
        <f t="shared" si="462"/>
        <v>1</v>
      </c>
      <c r="AV235" s="62"/>
      <c r="AW235" s="176">
        <v>0.0</v>
      </c>
      <c r="AX235" s="176">
        <v>0.01</v>
      </c>
      <c r="AY235" s="176">
        <v>0.1</v>
      </c>
      <c r="AZ235" s="176" t="s">
        <v>913</v>
      </c>
      <c r="BA235" s="176">
        <v>0.017</v>
      </c>
      <c r="BB235" s="176">
        <v>0.0</v>
      </c>
      <c r="BC235" s="176">
        <v>1.0</v>
      </c>
      <c r="BD235" s="194" t="s">
        <v>1577</v>
      </c>
      <c r="BE235" s="62"/>
      <c r="BF235" s="62"/>
      <c r="BG235" s="62"/>
      <c r="BH235" s="54"/>
      <c r="BI235" s="54"/>
      <c r="BJ235" s="54"/>
      <c r="BK235" s="54"/>
      <c r="BL235" s="54"/>
      <c r="BM235" s="54"/>
      <c r="BN235" s="54"/>
      <c r="BO235" s="57"/>
      <c r="BP235" s="58" t="s">
        <v>1561</v>
      </c>
      <c r="BQ235" s="57"/>
      <c r="BR235" s="57"/>
    </row>
    <row r="236">
      <c r="A236" s="176">
        <v>232.0</v>
      </c>
      <c r="B236" s="283" t="s">
        <v>1578</v>
      </c>
      <c r="C236" s="282" t="s">
        <v>1530</v>
      </c>
      <c r="D236" s="245">
        <v>3.67</v>
      </c>
      <c r="E236" s="245">
        <v>0.0</v>
      </c>
      <c r="F236" s="245">
        <v>0.0</v>
      </c>
      <c r="G236" s="245">
        <v>0.0</v>
      </c>
      <c r="H236" s="245">
        <v>0.33</v>
      </c>
      <c r="I236" s="245">
        <v>0.0</v>
      </c>
      <c r="J236" s="106">
        <v>3.67</v>
      </c>
      <c r="K236" s="246"/>
      <c r="L236" s="106">
        <v>0.0</v>
      </c>
      <c r="M236" s="106">
        <v>0.0</v>
      </c>
      <c r="N236" s="106">
        <v>0.33</v>
      </c>
      <c r="O236" s="106">
        <v>0.0</v>
      </c>
      <c r="P236" s="180">
        <v>1.0</v>
      </c>
      <c r="Q236" s="180">
        <v>1.0</v>
      </c>
      <c r="R236" s="62"/>
      <c r="S236" s="182">
        <v>0.02</v>
      </c>
      <c r="T236" s="183">
        <v>0.02</v>
      </c>
      <c r="U236" s="183">
        <v>0.0</v>
      </c>
      <c r="V236" s="183">
        <v>0.0</v>
      </c>
      <c r="W236" s="183">
        <v>0.01</v>
      </c>
      <c r="X236" s="62"/>
      <c r="Y236" s="176">
        <v>0.0</v>
      </c>
      <c r="Z236" s="176">
        <v>0.0</v>
      </c>
      <c r="AA236" s="176">
        <v>0.0</v>
      </c>
      <c r="AB236" s="176">
        <v>0.0</v>
      </c>
      <c r="AC236" s="176">
        <v>0.0</v>
      </c>
      <c r="AD236" s="176">
        <v>0.0</v>
      </c>
      <c r="AE236" s="176">
        <v>0.0</v>
      </c>
      <c r="AF236" s="62"/>
      <c r="AG236" s="54"/>
      <c r="AH236" s="54"/>
      <c r="AI236" s="54"/>
      <c r="AJ236" s="54"/>
      <c r="AK236" s="54"/>
      <c r="AL236" s="54"/>
      <c r="AM236" s="54"/>
      <c r="AN236" s="62"/>
      <c r="AO236" s="184">
        <f t="shared" ref="AO236:AS236" si="463">ROUND(E236*(5/12)+K236*(5/12)+S236+Y236-AG236,2)</f>
        <v>0.02</v>
      </c>
      <c r="AP236" s="184">
        <f t="shared" si="463"/>
        <v>0.02</v>
      </c>
      <c r="AQ236" s="184">
        <f t="shared" si="463"/>
        <v>0</v>
      </c>
      <c r="AR236" s="184">
        <f t="shared" si="463"/>
        <v>0.28</v>
      </c>
      <c r="AS236" s="184">
        <f t="shared" si="463"/>
        <v>0.01</v>
      </c>
      <c r="AT236" s="184">
        <f t="shared" ref="AT236:AU236" si="464">P236+AD236-AL236</f>
        <v>1</v>
      </c>
      <c r="AU236" s="184">
        <f t="shared" si="464"/>
        <v>1</v>
      </c>
      <c r="AV236" s="62"/>
      <c r="AW236" s="176">
        <v>0.0</v>
      </c>
      <c r="AX236" s="176">
        <v>0.0</v>
      </c>
      <c r="AY236" s="176" t="s">
        <v>913</v>
      </c>
      <c r="AZ236" s="176">
        <v>0.33</v>
      </c>
      <c r="BA236" s="176">
        <v>0.0</v>
      </c>
      <c r="BB236" s="176">
        <v>1.0</v>
      </c>
      <c r="BC236" s="176">
        <v>1.0</v>
      </c>
      <c r="BD236" s="180" t="s">
        <v>1579</v>
      </c>
      <c r="BE236" s="62"/>
      <c r="BF236" s="62"/>
      <c r="BG236" s="62"/>
      <c r="BH236" s="54"/>
      <c r="BI236" s="54"/>
      <c r="BJ236" s="54"/>
      <c r="BK236" s="54"/>
      <c r="BL236" s="54"/>
      <c r="BM236" s="54"/>
      <c r="BN236" s="54"/>
      <c r="BO236" s="57"/>
      <c r="BP236" s="58" t="s">
        <v>1561</v>
      </c>
      <c r="BQ236" s="57"/>
      <c r="BR236" s="57"/>
    </row>
    <row r="237">
      <c r="A237" s="176">
        <v>233.0</v>
      </c>
      <c r="B237" s="274" t="s">
        <v>1580</v>
      </c>
      <c r="C237" s="282" t="s">
        <v>1530</v>
      </c>
      <c r="D237" s="245">
        <v>4.0</v>
      </c>
      <c r="E237" s="245">
        <v>0.0</v>
      </c>
      <c r="F237" s="245">
        <v>0.0</v>
      </c>
      <c r="G237" s="245">
        <v>0.0</v>
      </c>
      <c r="H237" s="245">
        <v>0.0</v>
      </c>
      <c r="I237" s="245">
        <v>0.0</v>
      </c>
      <c r="J237" s="106">
        <v>3.33</v>
      </c>
      <c r="K237" s="106">
        <v>0.67</v>
      </c>
      <c r="L237" s="106">
        <v>0.0</v>
      </c>
      <c r="M237" s="106">
        <v>0.0</v>
      </c>
      <c r="N237" s="106">
        <v>0.0</v>
      </c>
      <c r="O237" s="106">
        <v>0.0</v>
      </c>
      <c r="P237" s="180">
        <v>1.0</v>
      </c>
      <c r="Q237" s="180">
        <v>1.0</v>
      </c>
      <c r="R237" s="62"/>
      <c r="S237" s="182">
        <v>0.15</v>
      </c>
      <c r="T237" s="183">
        <v>0.01</v>
      </c>
      <c r="U237" s="183">
        <v>0.0</v>
      </c>
      <c r="V237" s="183">
        <v>0.0</v>
      </c>
      <c r="W237" s="183">
        <v>0.01</v>
      </c>
      <c r="X237" s="62"/>
      <c r="Y237" s="176">
        <v>0.0</v>
      </c>
      <c r="Z237" s="176">
        <v>0.0</v>
      </c>
      <c r="AA237" s="176">
        <v>0.0</v>
      </c>
      <c r="AB237" s="176">
        <v>0.0</v>
      </c>
      <c r="AC237" s="176">
        <v>0.0</v>
      </c>
      <c r="AD237" s="176">
        <v>0.0</v>
      </c>
      <c r="AE237" s="176">
        <v>0.0</v>
      </c>
      <c r="AF237" s="62"/>
      <c r="AG237" s="47">
        <v>0.12</v>
      </c>
      <c r="AH237" s="54"/>
      <c r="AI237" s="54"/>
      <c r="AJ237" s="54"/>
      <c r="AK237" s="54"/>
      <c r="AL237" s="54"/>
      <c r="AM237" s="54"/>
      <c r="AN237" s="62"/>
      <c r="AO237" s="184">
        <f t="shared" ref="AO237:AS237" si="465">ROUND(E237*(5/12)+K237*(5/12)+S237+Y237-AG237,2)</f>
        <v>0.31</v>
      </c>
      <c r="AP237" s="184">
        <f t="shared" si="465"/>
        <v>0.01</v>
      </c>
      <c r="AQ237" s="184">
        <f t="shared" si="465"/>
        <v>0</v>
      </c>
      <c r="AR237" s="184">
        <f t="shared" si="465"/>
        <v>0</v>
      </c>
      <c r="AS237" s="184">
        <f t="shared" si="465"/>
        <v>0.01</v>
      </c>
      <c r="AT237" s="184">
        <f t="shared" ref="AT237:AU237" si="466">P237+AD237-AL237</f>
        <v>1</v>
      </c>
      <c r="AU237" s="184">
        <f t="shared" si="466"/>
        <v>1</v>
      </c>
      <c r="AV237" s="62"/>
      <c r="AW237" s="176">
        <v>0.5</v>
      </c>
      <c r="AX237" s="176">
        <v>0.0</v>
      </c>
      <c r="AY237" s="176" t="s">
        <v>913</v>
      </c>
      <c r="AZ237" s="176" t="s">
        <v>913</v>
      </c>
      <c r="BA237" s="176">
        <v>0.0</v>
      </c>
      <c r="BB237" s="176">
        <v>1.0</v>
      </c>
      <c r="BC237" s="176">
        <v>1.0</v>
      </c>
      <c r="BD237" s="180" t="s">
        <v>1581</v>
      </c>
      <c r="BE237" s="62"/>
      <c r="BF237" s="62"/>
      <c r="BG237" s="62"/>
      <c r="BH237" s="54"/>
      <c r="BI237" s="54"/>
      <c r="BJ237" s="54"/>
      <c r="BK237" s="54"/>
      <c r="BL237" s="54"/>
      <c r="BM237" s="54"/>
      <c r="BN237" s="54"/>
      <c r="BO237" s="57"/>
      <c r="BP237" s="58" t="s">
        <v>1561</v>
      </c>
      <c r="BQ237" s="57"/>
      <c r="BR237" s="57"/>
    </row>
    <row r="238">
      <c r="A238" s="176">
        <v>234.0</v>
      </c>
      <c r="B238" s="274" t="s">
        <v>1582</v>
      </c>
      <c r="C238" s="282" t="s">
        <v>1530</v>
      </c>
      <c r="D238" s="245">
        <v>3.33</v>
      </c>
      <c r="E238" s="245">
        <v>0.5</v>
      </c>
      <c r="F238" s="245">
        <v>0.0</v>
      </c>
      <c r="G238" s="245">
        <v>0.2</v>
      </c>
      <c r="H238" s="245">
        <v>0.0</v>
      </c>
      <c r="I238" s="245">
        <v>0.0</v>
      </c>
      <c r="J238" s="106">
        <v>3.33</v>
      </c>
      <c r="K238" s="106">
        <v>0.47</v>
      </c>
      <c r="L238" s="106">
        <v>0.0</v>
      </c>
      <c r="M238" s="106">
        <v>0.2</v>
      </c>
      <c r="N238" s="106">
        <v>0.0</v>
      </c>
      <c r="O238" s="106">
        <v>0.0</v>
      </c>
      <c r="P238" s="180">
        <v>1.0</v>
      </c>
      <c r="Q238" s="180">
        <v>1.0</v>
      </c>
      <c r="R238" s="62"/>
      <c r="S238" s="182">
        <v>0.13</v>
      </c>
      <c r="T238" s="183">
        <v>0.01</v>
      </c>
      <c r="U238" s="183">
        <v>0.02</v>
      </c>
      <c r="V238" s="183">
        <v>0.0</v>
      </c>
      <c r="W238" s="183">
        <v>0.01</v>
      </c>
      <c r="X238" s="62"/>
      <c r="Y238" s="176">
        <v>0.0</v>
      </c>
      <c r="Z238" s="176">
        <v>0.0</v>
      </c>
      <c r="AA238" s="176">
        <v>0.0</v>
      </c>
      <c r="AB238" s="176">
        <v>0.0</v>
      </c>
      <c r="AC238" s="176">
        <v>0.0</v>
      </c>
      <c r="AD238" s="176">
        <v>0.0</v>
      </c>
      <c r="AE238" s="176">
        <v>0.0</v>
      </c>
      <c r="AF238" s="62"/>
      <c r="AG238" s="47">
        <v>0.02</v>
      </c>
      <c r="AH238" s="54"/>
      <c r="AI238" s="54"/>
      <c r="AJ238" s="54"/>
      <c r="AK238" s="54"/>
      <c r="AL238" s="47">
        <v>0.5</v>
      </c>
      <c r="AM238" s="54"/>
      <c r="AN238" s="62"/>
      <c r="AO238" s="184">
        <f t="shared" ref="AO238:AS238" si="467">ROUND(E238*(5/12)+K238*(5/12)+S238+Y238-AG238,2)</f>
        <v>0.51</v>
      </c>
      <c r="AP238" s="184">
        <f t="shared" si="467"/>
        <v>0.01</v>
      </c>
      <c r="AQ238" s="184">
        <f t="shared" si="467"/>
        <v>0.19</v>
      </c>
      <c r="AR238" s="184">
        <f t="shared" si="467"/>
        <v>0</v>
      </c>
      <c r="AS238" s="184">
        <f t="shared" si="467"/>
        <v>0.01</v>
      </c>
      <c r="AT238" s="184">
        <f t="shared" ref="AT238:AU238" si="468">P238+AD238-AL238</f>
        <v>0.5</v>
      </c>
      <c r="AU238" s="184">
        <f t="shared" si="468"/>
        <v>1</v>
      </c>
      <c r="AV238" s="62"/>
      <c r="AW238" s="176">
        <v>1.0</v>
      </c>
      <c r="AX238" s="176">
        <v>0.01</v>
      </c>
      <c r="AY238" s="176">
        <v>0.1</v>
      </c>
      <c r="AZ238" s="176" t="s">
        <v>913</v>
      </c>
      <c r="BA238" s="176">
        <v>0.01</v>
      </c>
      <c r="BB238" s="176">
        <v>1.0</v>
      </c>
      <c r="BC238" s="176">
        <v>1.0</v>
      </c>
      <c r="BD238" s="180" t="s">
        <v>1583</v>
      </c>
      <c r="BE238" s="62"/>
      <c r="BF238" s="62"/>
      <c r="BG238" s="62"/>
      <c r="BH238" s="54"/>
      <c r="BI238" s="54"/>
      <c r="BJ238" s="54"/>
      <c r="BK238" s="54"/>
      <c r="BL238" s="54"/>
      <c r="BM238" s="54"/>
      <c r="BN238" s="54"/>
      <c r="BO238" s="57"/>
      <c r="BP238" s="58" t="s">
        <v>1561</v>
      </c>
      <c r="BQ238" s="57"/>
      <c r="BR238" s="58" t="s">
        <v>1584</v>
      </c>
    </row>
    <row r="239">
      <c r="A239" s="176">
        <v>235.0</v>
      </c>
      <c r="B239" s="274" t="s">
        <v>1585</v>
      </c>
      <c r="C239" s="282" t="s">
        <v>1530</v>
      </c>
      <c r="D239" s="245">
        <v>3.33</v>
      </c>
      <c r="E239" s="245">
        <v>0.5</v>
      </c>
      <c r="F239" s="245">
        <v>0.0</v>
      </c>
      <c r="G239" s="245">
        <v>0.2</v>
      </c>
      <c r="H239" s="245">
        <v>0.0</v>
      </c>
      <c r="I239" s="245">
        <v>0.0</v>
      </c>
      <c r="J239" s="106">
        <v>3.33</v>
      </c>
      <c r="K239" s="106">
        <v>0.5</v>
      </c>
      <c r="L239" s="106">
        <v>0.0</v>
      </c>
      <c r="M239" s="106">
        <v>0.2</v>
      </c>
      <c r="N239" s="106">
        <v>0.0</v>
      </c>
      <c r="O239" s="106">
        <v>0.0</v>
      </c>
      <c r="P239" s="180">
        <v>1.0</v>
      </c>
      <c r="Q239" s="180">
        <v>1.0</v>
      </c>
      <c r="R239" s="62"/>
      <c r="S239" s="182">
        <v>0.0</v>
      </c>
      <c r="T239" s="183">
        <v>0.0</v>
      </c>
      <c r="U239" s="183">
        <v>0.0</v>
      </c>
      <c r="V239" s="183">
        <v>0.0</v>
      </c>
      <c r="W239" s="183">
        <v>0.0</v>
      </c>
      <c r="X239" s="62"/>
      <c r="Y239" s="176">
        <v>0.0</v>
      </c>
      <c r="Z239" s="176">
        <v>0.0</v>
      </c>
      <c r="AA239" s="176">
        <v>0.0</v>
      </c>
      <c r="AB239" s="176">
        <v>0.0</v>
      </c>
      <c r="AC239" s="176">
        <v>0.0</v>
      </c>
      <c r="AD239" s="176">
        <v>0.0</v>
      </c>
      <c r="AE239" s="176">
        <v>0.0</v>
      </c>
      <c r="AF239" s="62"/>
      <c r="AG239" s="54"/>
      <c r="AH239" s="54"/>
      <c r="AI239" s="54"/>
      <c r="AJ239" s="54"/>
      <c r="AK239" s="54"/>
      <c r="AL239" s="54"/>
      <c r="AM239" s="54"/>
      <c r="AN239" s="62"/>
      <c r="AO239" s="184">
        <f t="shared" ref="AO239:AS239" si="469">ROUND(E239*(5/12)+K239*(5/12)+S239+Y239-AG239,2)</f>
        <v>0.42</v>
      </c>
      <c r="AP239" s="184">
        <f t="shared" si="469"/>
        <v>0</v>
      </c>
      <c r="AQ239" s="184">
        <f t="shared" si="469"/>
        <v>0.17</v>
      </c>
      <c r="AR239" s="184">
        <f t="shared" si="469"/>
        <v>0</v>
      </c>
      <c r="AS239" s="184">
        <f t="shared" si="469"/>
        <v>0</v>
      </c>
      <c r="AT239" s="184">
        <f t="shared" ref="AT239:AU239" si="470">P239+AD239-AL239</f>
        <v>1</v>
      </c>
      <c r="AU239" s="184">
        <f t="shared" si="470"/>
        <v>1</v>
      </c>
      <c r="AV239" s="62"/>
      <c r="AW239" s="176">
        <v>0.0</v>
      </c>
      <c r="AX239" s="176" t="s">
        <v>913</v>
      </c>
      <c r="AY239" s="176">
        <v>0.2</v>
      </c>
      <c r="AZ239" s="176" t="s">
        <v>913</v>
      </c>
      <c r="BA239" s="176" t="s">
        <v>913</v>
      </c>
      <c r="BB239" s="176">
        <v>0.0</v>
      </c>
      <c r="BC239" s="176">
        <v>1.0</v>
      </c>
      <c r="BD239" s="180" t="s">
        <v>1586</v>
      </c>
      <c r="BE239" s="62"/>
      <c r="BF239" s="62"/>
      <c r="BG239" s="62"/>
      <c r="BH239" s="54"/>
      <c r="BI239" s="54"/>
      <c r="BJ239" s="54"/>
      <c r="BK239" s="54"/>
      <c r="BL239" s="54"/>
      <c r="BM239" s="54"/>
      <c r="BN239" s="54"/>
      <c r="BO239" s="57"/>
      <c r="BP239" s="58" t="s">
        <v>1561</v>
      </c>
      <c r="BQ239" s="57"/>
      <c r="BR239" s="57"/>
    </row>
    <row r="240">
      <c r="A240" s="176">
        <v>236.0</v>
      </c>
      <c r="B240" s="274" t="s">
        <v>1587</v>
      </c>
      <c r="C240" s="282" t="s">
        <v>1530</v>
      </c>
      <c r="D240" s="245">
        <v>3.67</v>
      </c>
      <c r="E240" s="245">
        <v>0.2</v>
      </c>
      <c r="F240" s="245">
        <v>0.0</v>
      </c>
      <c r="G240" s="245">
        <v>0.0</v>
      </c>
      <c r="H240" s="245">
        <v>0.2</v>
      </c>
      <c r="I240" s="245">
        <v>0.0</v>
      </c>
      <c r="J240" s="106">
        <v>3.67</v>
      </c>
      <c r="K240" s="106">
        <v>0.2</v>
      </c>
      <c r="L240" s="106">
        <v>0.0</v>
      </c>
      <c r="M240" s="106">
        <v>0.0</v>
      </c>
      <c r="N240" s="106">
        <v>0.2</v>
      </c>
      <c r="O240" s="106">
        <v>0.0</v>
      </c>
      <c r="P240" s="180">
        <v>1.0</v>
      </c>
      <c r="Q240" s="180">
        <v>1.0</v>
      </c>
      <c r="R240" s="62"/>
      <c r="S240" s="182">
        <v>0.17</v>
      </c>
      <c r="T240" s="183">
        <v>0.0</v>
      </c>
      <c r="U240" s="183">
        <v>0.0</v>
      </c>
      <c r="V240" s="183">
        <v>0.0</v>
      </c>
      <c r="W240" s="183">
        <v>0.0</v>
      </c>
      <c r="X240" s="62"/>
      <c r="Y240" s="176">
        <v>0.0</v>
      </c>
      <c r="Z240" s="176">
        <v>0.0</v>
      </c>
      <c r="AA240" s="176">
        <v>0.0</v>
      </c>
      <c r="AB240" s="176">
        <v>0.0</v>
      </c>
      <c r="AC240" s="176">
        <v>0.0</v>
      </c>
      <c r="AD240" s="176">
        <v>0.0</v>
      </c>
      <c r="AE240" s="176">
        <v>0.0</v>
      </c>
      <c r="AF240" s="62"/>
      <c r="AG240" s="54"/>
      <c r="AH240" s="54"/>
      <c r="AI240" s="54"/>
      <c r="AJ240" s="54"/>
      <c r="AK240" s="54"/>
      <c r="AL240" s="54"/>
      <c r="AM240" s="47">
        <v>0.17</v>
      </c>
      <c r="AN240" s="62"/>
      <c r="AO240" s="184">
        <f t="shared" ref="AO240:AS240" si="471">ROUND(E240*(5/12)+K240*(5/12)+S240+Y240-AG240,2)</f>
        <v>0.34</v>
      </c>
      <c r="AP240" s="184">
        <f t="shared" si="471"/>
        <v>0</v>
      </c>
      <c r="AQ240" s="184">
        <f t="shared" si="471"/>
        <v>0</v>
      </c>
      <c r="AR240" s="184">
        <f t="shared" si="471"/>
        <v>0.17</v>
      </c>
      <c r="AS240" s="184">
        <f t="shared" si="471"/>
        <v>0</v>
      </c>
      <c r="AT240" s="184">
        <f t="shared" ref="AT240:AU240" si="472">P240+AD240-AL240</f>
        <v>1</v>
      </c>
      <c r="AU240" s="184">
        <f t="shared" si="472"/>
        <v>0.83</v>
      </c>
      <c r="AV240" s="62"/>
      <c r="AW240" s="176">
        <v>0.0</v>
      </c>
      <c r="AX240" s="176" t="s">
        <v>913</v>
      </c>
      <c r="AY240" s="176" t="s">
        <v>913</v>
      </c>
      <c r="AZ240" s="176">
        <v>0.0</v>
      </c>
      <c r="BA240" s="176" t="s">
        <v>913</v>
      </c>
      <c r="BB240" s="176">
        <v>0.0</v>
      </c>
      <c r="BC240" s="176">
        <v>1.0</v>
      </c>
      <c r="BD240" s="180" t="s">
        <v>1588</v>
      </c>
      <c r="BE240" s="62"/>
      <c r="BF240" s="62"/>
      <c r="BG240" s="62"/>
      <c r="BH240" s="54"/>
      <c r="BI240" s="54"/>
      <c r="BJ240" s="54"/>
      <c r="BK240" s="54"/>
      <c r="BL240" s="54"/>
      <c r="BM240" s="54"/>
      <c r="BN240" s="54"/>
      <c r="BO240" s="57"/>
      <c r="BP240" s="58" t="s">
        <v>1561</v>
      </c>
      <c r="BQ240" s="57"/>
      <c r="BR240" s="57"/>
    </row>
    <row r="241">
      <c r="A241" s="176">
        <v>237.0</v>
      </c>
      <c r="B241" s="274" t="s">
        <v>1589</v>
      </c>
      <c r="C241" s="282" t="s">
        <v>1530</v>
      </c>
      <c r="D241" s="245">
        <v>3.33</v>
      </c>
      <c r="E241" s="245">
        <v>0.5</v>
      </c>
      <c r="F241" s="245">
        <v>0.0</v>
      </c>
      <c r="G241" s="245">
        <v>0.2</v>
      </c>
      <c r="H241" s="245">
        <v>0.0</v>
      </c>
      <c r="I241" s="245">
        <v>0.0</v>
      </c>
      <c r="J241" s="106">
        <v>3.33</v>
      </c>
      <c r="K241" s="106">
        <v>0.5</v>
      </c>
      <c r="L241" s="106">
        <v>0.0</v>
      </c>
      <c r="M241" s="106">
        <v>0.2</v>
      </c>
      <c r="N241" s="106">
        <v>0.0</v>
      </c>
      <c r="O241" s="106">
        <v>0.0</v>
      </c>
      <c r="P241" s="180">
        <v>1.0</v>
      </c>
      <c r="Q241" s="180">
        <v>1.0</v>
      </c>
      <c r="R241" s="142"/>
      <c r="S241" s="187">
        <v>0.0</v>
      </c>
      <c r="T241" s="188">
        <v>0.0</v>
      </c>
      <c r="U241" s="188">
        <v>0.0</v>
      </c>
      <c r="V241" s="188">
        <v>0.0</v>
      </c>
      <c r="W241" s="188">
        <v>0.0</v>
      </c>
      <c r="X241" s="142"/>
      <c r="Y241" s="176">
        <v>0.0</v>
      </c>
      <c r="Z241" s="176">
        <v>0.0</v>
      </c>
      <c r="AA241" s="176">
        <v>0.0</v>
      </c>
      <c r="AB241" s="176">
        <v>0.0</v>
      </c>
      <c r="AC241" s="176">
        <v>0.0</v>
      </c>
      <c r="AD241" s="176">
        <v>0.0</v>
      </c>
      <c r="AE241" s="176">
        <v>0.0</v>
      </c>
      <c r="AF241" s="142"/>
      <c r="AG241" s="54"/>
      <c r="AH241" s="54"/>
      <c r="AI241" s="54"/>
      <c r="AJ241" s="54"/>
      <c r="AK241" s="54"/>
      <c r="AL241" s="47">
        <v>0.67</v>
      </c>
      <c r="AM241" s="54"/>
      <c r="AN241" s="142"/>
      <c r="AO241" s="184">
        <f t="shared" ref="AO241:AS241" si="473">ROUND(E241*(5/12)+K241*(5/12)+S241+Y241-AG241,2)</f>
        <v>0.42</v>
      </c>
      <c r="AP241" s="184">
        <f t="shared" si="473"/>
        <v>0</v>
      </c>
      <c r="AQ241" s="184">
        <f t="shared" si="473"/>
        <v>0.17</v>
      </c>
      <c r="AR241" s="184">
        <f t="shared" si="473"/>
        <v>0</v>
      </c>
      <c r="AS241" s="184">
        <f t="shared" si="473"/>
        <v>0</v>
      </c>
      <c r="AT241" s="184">
        <f t="shared" ref="AT241:AU241" si="474">P241+AD241-AL241</f>
        <v>0.33</v>
      </c>
      <c r="AU241" s="184">
        <f t="shared" si="474"/>
        <v>1</v>
      </c>
      <c r="AV241" s="142"/>
      <c r="AW241" s="176">
        <v>0.33</v>
      </c>
      <c r="AX241" s="176" t="s">
        <v>913</v>
      </c>
      <c r="AY241" s="176">
        <v>0.2</v>
      </c>
      <c r="AZ241" s="176" t="s">
        <v>913</v>
      </c>
      <c r="BA241" s="176" t="s">
        <v>913</v>
      </c>
      <c r="BB241" s="176">
        <v>0.33</v>
      </c>
      <c r="BC241" s="176">
        <v>1.0</v>
      </c>
      <c r="BD241" s="180" t="s">
        <v>1590</v>
      </c>
      <c r="BE241" s="142"/>
      <c r="BF241" s="142"/>
      <c r="BG241" s="142"/>
      <c r="BH241" s="54"/>
      <c r="BI241" s="54"/>
      <c r="BJ241" s="54"/>
      <c r="BK241" s="54"/>
      <c r="BL241" s="54"/>
      <c r="BM241" s="54"/>
      <c r="BN241" s="54"/>
      <c r="BO241" s="57"/>
      <c r="BP241" s="58" t="s">
        <v>1561</v>
      </c>
      <c r="BQ241" s="57"/>
      <c r="BR241" s="57"/>
    </row>
    <row r="242">
      <c r="A242" s="5"/>
      <c r="B242" s="150"/>
      <c r="C242" s="151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96"/>
      <c r="AH242" s="96"/>
      <c r="AI242" s="96"/>
      <c r="AJ242" s="96"/>
      <c r="AK242" s="96"/>
      <c r="AL242" s="96"/>
      <c r="AM242" s="9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6"/>
      <c r="BE242" s="5"/>
      <c r="BF242" s="7"/>
      <c r="BH242" s="96"/>
      <c r="BI242" s="96"/>
      <c r="BJ242" s="96"/>
      <c r="BK242" s="96"/>
      <c r="BL242" s="96"/>
      <c r="BM242" s="96"/>
      <c r="BN242" s="96"/>
      <c r="BO242" s="59"/>
      <c r="BP242" s="59"/>
      <c r="BQ242" s="59"/>
      <c r="BR242" s="59"/>
    </row>
    <row r="243">
      <c r="A243" s="5"/>
      <c r="B243" s="150"/>
      <c r="C243" s="151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96"/>
      <c r="AH243" s="96"/>
      <c r="AI243" s="96"/>
      <c r="AJ243" s="96"/>
      <c r="AK243" s="96"/>
      <c r="AL243" s="96"/>
      <c r="AM243" s="96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6"/>
      <c r="BE243" s="5"/>
      <c r="BF243" s="7"/>
      <c r="BH243" s="96"/>
      <c r="BI243" s="96"/>
      <c r="BJ243" s="96"/>
      <c r="BK243" s="96"/>
      <c r="BL243" s="96"/>
      <c r="BM243" s="96"/>
      <c r="BN243" s="96"/>
      <c r="BO243" s="59"/>
      <c r="BP243" s="59"/>
      <c r="BQ243" s="59"/>
      <c r="BR243" s="59"/>
    </row>
    <row r="244">
      <c r="A244" s="5"/>
      <c r="B244" s="150"/>
      <c r="C244" s="151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96"/>
      <c r="AH244" s="96"/>
      <c r="AI244" s="96"/>
      <c r="AJ244" s="96"/>
      <c r="AK244" s="96"/>
      <c r="AL244" s="96"/>
      <c r="AM244" s="96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6"/>
      <c r="BE244" s="5"/>
      <c r="BF244" s="7"/>
      <c r="BH244" s="96"/>
      <c r="BI244" s="96"/>
      <c r="BJ244" s="96"/>
      <c r="BK244" s="96"/>
      <c r="BL244" s="96"/>
      <c r="BM244" s="96"/>
      <c r="BN244" s="96"/>
      <c r="BO244" s="59"/>
      <c r="BP244" s="59"/>
      <c r="BQ244" s="59"/>
      <c r="BR244" s="59"/>
    </row>
    <row r="245">
      <c r="A245" s="5"/>
      <c r="B245" s="150"/>
      <c r="C245" s="151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96"/>
      <c r="AH245" s="96"/>
      <c r="AI245" s="96"/>
      <c r="AJ245" s="96"/>
      <c r="AK245" s="96"/>
      <c r="AL245" s="96"/>
      <c r="AM245" s="96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6"/>
      <c r="BE245" s="5"/>
      <c r="BF245" s="7"/>
      <c r="BH245" s="96"/>
      <c r="BI245" s="96"/>
      <c r="BJ245" s="96"/>
      <c r="BK245" s="96"/>
      <c r="BL245" s="96"/>
      <c r="BM245" s="96"/>
      <c r="BN245" s="96"/>
      <c r="BO245" s="59"/>
      <c r="BP245" s="59"/>
      <c r="BQ245" s="59"/>
      <c r="BR245" s="59"/>
    </row>
    <row r="246">
      <c r="A246" s="5"/>
      <c r="B246" s="150"/>
      <c r="C246" s="151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96"/>
      <c r="AH246" s="96"/>
      <c r="AI246" s="96"/>
      <c r="AJ246" s="96"/>
      <c r="AK246" s="96"/>
      <c r="AL246" s="96"/>
      <c r="AM246" s="96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6"/>
      <c r="BE246" s="5"/>
      <c r="BF246" s="7"/>
      <c r="BH246" s="96"/>
      <c r="BI246" s="96"/>
      <c r="BJ246" s="96"/>
      <c r="BK246" s="96"/>
      <c r="BL246" s="96"/>
      <c r="BM246" s="96"/>
      <c r="BN246" s="96"/>
      <c r="BO246" s="59"/>
      <c r="BP246" s="59"/>
      <c r="BQ246" s="59"/>
      <c r="BR246" s="59"/>
    </row>
    <row r="247">
      <c r="A247" s="5"/>
      <c r="B247" s="150"/>
      <c r="C247" s="151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96"/>
      <c r="AH247" s="96"/>
      <c r="AI247" s="96"/>
      <c r="AJ247" s="96"/>
      <c r="AK247" s="96"/>
      <c r="AL247" s="96"/>
      <c r="AM247" s="96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6"/>
      <c r="BE247" s="5"/>
      <c r="BF247" s="7"/>
      <c r="BH247" s="96"/>
      <c r="BI247" s="96"/>
      <c r="BJ247" s="96"/>
      <c r="BK247" s="96"/>
      <c r="BL247" s="96"/>
      <c r="BM247" s="96"/>
      <c r="BN247" s="96"/>
      <c r="BO247" s="59"/>
      <c r="BP247" s="59"/>
      <c r="BQ247" s="59"/>
      <c r="BR247" s="59"/>
    </row>
    <row r="248">
      <c r="A248" s="5"/>
      <c r="B248" s="150"/>
      <c r="C248" s="151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96"/>
      <c r="AH248" s="96"/>
      <c r="AI248" s="96"/>
      <c r="AJ248" s="96"/>
      <c r="AK248" s="96"/>
      <c r="AL248" s="96"/>
      <c r="AM248" s="96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6"/>
      <c r="BE248" s="5"/>
      <c r="BF248" s="7"/>
      <c r="BH248" s="96"/>
      <c r="BI248" s="96"/>
      <c r="BJ248" s="96"/>
      <c r="BK248" s="96"/>
      <c r="BL248" s="96"/>
      <c r="BM248" s="96"/>
      <c r="BN248" s="96"/>
      <c r="BO248" s="59"/>
      <c r="BP248" s="59"/>
      <c r="BQ248" s="59"/>
      <c r="BR248" s="59"/>
    </row>
    <row r="249">
      <c r="A249" s="5"/>
      <c r="B249" s="150"/>
      <c r="C249" s="151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96"/>
      <c r="AH249" s="96"/>
      <c r="AI249" s="96"/>
      <c r="AJ249" s="96"/>
      <c r="AK249" s="96"/>
      <c r="AL249" s="96"/>
      <c r="AM249" s="96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6"/>
      <c r="BE249" s="5"/>
      <c r="BF249" s="7"/>
      <c r="BH249" s="96"/>
      <c r="BI249" s="96"/>
      <c r="BJ249" s="96"/>
      <c r="BK249" s="96"/>
      <c r="BL249" s="96"/>
      <c r="BM249" s="96"/>
      <c r="BN249" s="96"/>
      <c r="BO249" s="59"/>
      <c r="BP249" s="59"/>
      <c r="BQ249" s="59"/>
      <c r="BR249" s="59"/>
    </row>
    <row r="250">
      <c r="A250" s="5"/>
      <c r="B250" s="150"/>
      <c r="C250" s="151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96"/>
      <c r="AH250" s="96"/>
      <c r="AI250" s="96"/>
      <c r="AJ250" s="96"/>
      <c r="AK250" s="96"/>
      <c r="AL250" s="96"/>
      <c r="AM250" s="96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6"/>
      <c r="BE250" s="5"/>
      <c r="BF250" s="7"/>
      <c r="BH250" s="96"/>
      <c r="BI250" s="96"/>
      <c r="BJ250" s="96"/>
      <c r="BK250" s="96"/>
      <c r="BL250" s="96"/>
      <c r="BM250" s="96"/>
      <c r="BN250" s="96"/>
      <c r="BO250" s="59"/>
      <c r="BP250" s="59"/>
      <c r="BQ250" s="59"/>
      <c r="BR250" s="59"/>
    </row>
    <row r="251">
      <c r="A251" s="5"/>
      <c r="B251" s="150"/>
      <c r="C251" s="151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6"/>
      <c r="BE251" s="5"/>
      <c r="BF251" s="7"/>
      <c r="BH251" s="96"/>
      <c r="BI251" s="96"/>
      <c r="BJ251" s="96"/>
      <c r="BK251" s="96"/>
      <c r="BL251" s="96"/>
      <c r="BM251" s="96"/>
      <c r="BN251" s="96"/>
      <c r="BO251" s="59"/>
      <c r="BP251" s="59"/>
      <c r="BQ251" s="59"/>
      <c r="BR251" s="59"/>
    </row>
    <row r="252">
      <c r="A252" s="5"/>
      <c r="B252" s="150"/>
      <c r="C252" s="151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6"/>
      <c r="BE252" s="5"/>
      <c r="BF252" s="7"/>
      <c r="BH252" s="96"/>
      <c r="BI252" s="96"/>
      <c r="BJ252" s="96"/>
      <c r="BK252" s="96"/>
      <c r="BL252" s="96"/>
      <c r="BM252" s="96"/>
      <c r="BN252" s="96"/>
      <c r="BO252" s="59"/>
      <c r="BP252" s="59"/>
      <c r="BQ252" s="59"/>
      <c r="BR252" s="59"/>
    </row>
    <row r="253">
      <c r="A253" s="5"/>
      <c r="B253" s="150"/>
      <c r="C253" s="151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6"/>
      <c r="BE253" s="5"/>
      <c r="BF253" s="7"/>
      <c r="BH253" s="96"/>
      <c r="BI253" s="96"/>
      <c r="BJ253" s="96"/>
      <c r="BK253" s="96"/>
      <c r="BL253" s="96"/>
      <c r="BM253" s="96"/>
      <c r="BN253" s="96"/>
      <c r="BO253" s="59"/>
      <c r="BP253" s="59"/>
      <c r="BQ253" s="59"/>
      <c r="BR253" s="59"/>
    </row>
    <row r="254">
      <c r="A254" s="5"/>
      <c r="B254" s="150"/>
      <c r="C254" s="151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6"/>
      <c r="BE254" s="5"/>
      <c r="BF254" s="7"/>
      <c r="BH254" s="96"/>
      <c r="BI254" s="96"/>
      <c r="BJ254" s="96"/>
      <c r="BK254" s="96"/>
      <c r="BL254" s="96"/>
      <c r="BM254" s="96"/>
      <c r="BN254" s="96"/>
      <c r="BO254" s="59"/>
      <c r="BP254" s="59"/>
      <c r="BQ254" s="59"/>
      <c r="BR254" s="59"/>
    </row>
    <row r="255">
      <c r="A255" s="5"/>
      <c r="B255" s="150"/>
      <c r="C255" s="151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6"/>
      <c r="BE255" s="5"/>
      <c r="BF255" s="7"/>
      <c r="BH255" s="96"/>
      <c r="BI255" s="96"/>
      <c r="BJ255" s="96"/>
      <c r="BK255" s="96"/>
      <c r="BL255" s="96"/>
      <c r="BM255" s="96"/>
      <c r="BN255" s="96"/>
      <c r="BO255" s="59"/>
      <c r="BP255" s="59"/>
      <c r="BQ255" s="59"/>
      <c r="BR255" s="59"/>
    </row>
    <row r="256">
      <c r="A256" s="5"/>
      <c r="B256" s="150"/>
      <c r="C256" s="151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6"/>
      <c r="BE256" s="5"/>
      <c r="BF256" s="7"/>
      <c r="BH256" s="96"/>
      <c r="BI256" s="96"/>
      <c r="BJ256" s="96"/>
      <c r="BK256" s="96"/>
      <c r="BL256" s="96"/>
      <c r="BM256" s="96"/>
      <c r="BN256" s="96"/>
      <c r="BO256" s="59"/>
      <c r="BP256" s="59"/>
      <c r="BQ256" s="59"/>
      <c r="BR256" s="59"/>
    </row>
    <row r="257">
      <c r="A257" s="5"/>
      <c r="B257" s="150"/>
      <c r="C257" s="151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6"/>
      <c r="BE257" s="5"/>
      <c r="BF257" s="7"/>
      <c r="BH257" s="96"/>
      <c r="BI257" s="96"/>
      <c r="BJ257" s="96"/>
      <c r="BK257" s="96"/>
      <c r="BL257" s="96"/>
      <c r="BM257" s="96"/>
      <c r="BN257" s="96"/>
      <c r="BO257" s="59"/>
      <c r="BP257" s="59"/>
      <c r="BQ257" s="59"/>
      <c r="BR257" s="59"/>
    </row>
    <row r="258">
      <c r="A258" s="5"/>
      <c r="B258" s="150"/>
      <c r="C258" s="151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6"/>
      <c r="BE258" s="5"/>
      <c r="BF258" s="7"/>
      <c r="BH258" s="96"/>
      <c r="BI258" s="96"/>
      <c r="BJ258" s="96"/>
      <c r="BK258" s="96"/>
      <c r="BL258" s="96"/>
      <c r="BM258" s="96"/>
      <c r="BN258" s="96"/>
      <c r="BO258" s="59"/>
      <c r="BP258" s="59"/>
      <c r="BQ258" s="59"/>
      <c r="BR258" s="59"/>
    </row>
    <row r="259">
      <c r="A259" s="5"/>
      <c r="B259" s="150"/>
      <c r="C259" s="151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6"/>
      <c r="BE259" s="5"/>
      <c r="BF259" s="7"/>
      <c r="BH259" s="96"/>
      <c r="BI259" s="96"/>
      <c r="BJ259" s="96"/>
      <c r="BK259" s="96"/>
      <c r="BL259" s="96"/>
      <c r="BM259" s="96"/>
      <c r="BN259" s="96"/>
      <c r="BO259" s="59"/>
      <c r="BP259" s="59"/>
      <c r="BQ259" s="59"/>
      <c r="BR259" s="59"/>
    </row>
    <row r="260">
      <c r="A260" s="5"/>
      <c r="B260" s="150"/>
      <c r="C260" s="151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6"/>
      <c r="BE260" s="5"/>
      <c r="BF260" s="7"/>
      <c r="BH260" s="96"/>
      <c r="BI260" s="96"/>
      <c r="BJ260" s="96"/>
      <c r="BK260" s="96"/>
      <c r="BL260" s="96"/>
      <c r="BM260" s="96"/>
      <c r="BN260" s="96"/>
      <c r="BO260" s="59"/>
      <c r="BP260" s="59"/>
      <c r="BQ260" s="59"/>
      <c r="BR260" s="59"/>
    </row>
    <row r="261">
      <c r="A261" s="5"/>
      <c r="B261" s="150"/>
      <c r="C261" s="151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6"/>
      <c r="BE261" s="5"/>
      <c r="BF261" s="7"/>
      <c r="BH261" s="96"/>
      <c r="BI261" s="96"/>
      <c r="BJ261" s="96"/>
      <c r="BK261" s="96"/>
      <c r="BL261" s="96"/>
      <c r="BM261" s="96"/>
      <c r="BN261" s="96"/>
      <c r="BO261" s="59"/>
      <c r="BP261" s="59"/>
      <c r="BQ261" s="59"/>
      <c r="BR261" s="59"/>
    </row>
    <row r="262">
      <c r="A262" s="5"/>
      <c r="B262" s="150"/>
      <c r="C262" s="151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6"/>
      <c r="BE262" s="5"/>
      <c r="BF262" s="7"/>
      <c r="BH262" s="96"/>
      <c r="BI262" s="96"/>
      <c r="BJ262" s="96"/>
      <c r="BK262" s="96"/>
      <c r="BL262" s="96"/>
      <c r="BM262" s="96"/>
      <c r="BN262" s="96"/>
      <c r="BO262" s="59"/>
      <c r="BP262" s="59"/>
      <c r="BQ262" s="59"/>
      <c r="BR262" s="59"/>
    </row>
    <row r="263">
      <c r="A263" s="5"/>
      <c r="B263" s="150"/>
      <c r="C263" s="151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6"/>
      <c r="BE263" s="5"/>
      <c r="BF263" s="7"/>
      <c r="BH263" s="96"/>
      <c r="BI263" s="96"/>
      <c r="BJ263" s="96"/>
      <c r="BK263" s="96"/>
      <c r="BL263" s="96"/>
      <c r="BM263" s="96"/>
      <c r="BN263" s="96"/>
      <c r="BO263" s="59"/>
      <c r="BP263" s="59"/>
      <c r="BQ263" s="59"/>
      <c r="BR263" s="59"/>
    </row>
    <row r="264">
      <c r="A264" s="5"/>
      <c r="B264" s="150"/>
      <c r="C264" s="151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6"/>
      <c r="BE264" s="5"/>
      <c r="BF264" s="7"/>
      <c r="BH264" s="96"/>
      <c r="BI264" s="96"/>
      <c r="BJ264" s="96"/>
      <c r="BK264" s="96"/>
      <c r="BL264" s="96"/>
      <c r="BM264" s="96"/>
      <c r="BN264" s="96"/>
      <c r="BO264" s="59"/>
      <c r="BP264" s="59"/>
      <c r="BQ264" s="59"/>
      <c r="BR264" s="59"/>
    </row>
    <row r="265">
      <c r="A265" s="5"/>
      <c r="B265" s="150"/>
      <c r="C265" s="151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6"/>
      <c r="BE265" s="5"/>
      <c r="BF265" s="7"/>
      <c r="BH265" s="96"/>
      <c r="BI265" s="96"/>
      <c r="BJ265" s="96"/>
      <c r="BK265" s="96"/>
      <c r="BL265" s="96"/>
      <c r="BM265" s="96"/>
      <c r="BN265" s="96"/>
      <c r="BO265" s="59"/>
      <c r="BP265" s="59"/>
      <c r="BQ265" s="59"/>
      <c r="BR265" s="59"/>
    </row>
    <row r="266">
      <c r="A266" s="5"/>
      <c r="B266" s="150"/>
      <c r="C266" s="151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6"/>
      <c r="BE266" s="5"/>
      <c r="BF266" s="7"/>
      <c r="BH266" s="96"/>
      <c r="BI266" s="96"/>
      <c r="BJ266" s="96"/>
      <c r="BK266" s="96"/>
      <c r="BL266" s="96"/>
      <c r="BM266" s="96"/>
      <c r="BN266" s="96"/>
      <c r="BO266" s="59"/>
      <c r="BP266" s="59"/>
      <c r="BQ266" s="59"/>
      <c r="BR266" s="59"/>
    </row>
    <row r="267">
      <c r="A267" s="5"/>
      <c r="B267" s="150"/>
      <c r="C267" s="151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6"/>
      <c r="BE267" s="5"/>
      <c r="BF267" s="7"/>
      <c r="BH267" s="96"/>
      <c r="BI267" s="96"/>
      <c r="BJ267" s="96"/>
      <c r="BK267" s="96"/>
      <c r="BL267" s="96"/>
      <c r="BM267" s="96"/>
      <c r="BN267" s="96"/>
      <c r="BO267" s="59"/>
      <c r="BP267" s="59"/>
      <c r="BQ267" s="59"/>
      <c r="BR267" s="59"/>
    </row>
    <row r="268">
      <c r="A268" s="5"/>
      <c r="B268" s="150"/>
      <c r="C268" s="151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6"/>
      <c r="BE268" s="5"/>
      <c r="BF268" s="7"/>
      <c r="BH268" s="96"/>
      <c r="BI268" s="96"/>
      <c r="BJ268" s="96"/>
      <c r="BK268" s="96"/>
      <c r="BL268" s="96"/>
      <c r="BM268" s="96"/>
      <c r="BN268" s="96"/>
      <c r="BO268" s="59"/>
      <c r="BP268" s="59"/>
      <c r="BQ268" s="59"/>
      <c r="BR268" s="59"/>
    </row>
    <row r="269">
      <c r="A269" s="5"/>
      <c r="B269" s="150"/>
      <c r="C269" s="151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6"/>
      <c r="BE269" s="5"/>
      <c r="BF269" s="7"/>
      <c r="BH269" s="96"/>
      <c r="BI269" s="96"/>
      <c r="BJ269" s="96"/>
      <c r="BK269" s="96"/>
      <c r="BL269" s="96"/>
      <c r="BM269" s="96"/>
      <c r="BN269" s="96"/>
      <c r="BO269" s="59"/>
      <c r="BP269" s="59"/>
      <c r="BQ269" s="59"/>
      <c r="BR269" s="59"/>
    </row>
    <row r="270">
      <c r="A270" s="5"/>
      <c r="B270" s="150"/>
      <c r="C270" s="151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6"/>
      <c r="BE270" s="5"/>
      <c r="BF270" s="7"/>
      <c r="BH270" s="96"/>
      <c r="BI270" s="96"/>
      <c r="BJ270" s="96"/>
      <c r="BK270" s="96"/>
      <c r="BL270" s="96"/>
      <c r="BM270" s="96"/>
      <c r="BN270" s="96"/>
      <c r="BO270" s="59"/>
      <c r="BP270" s="59"/>
      <c r="BQ270" s="59"/>
      <c r="BR270" s="59"/>
    </row>
    <row r="271">
      <c r="A271" s="5"/>
      <c r="B271" s="150"/>
      <c r="C271" s="151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6"/>
      <c r="BE271" s="5"/>
      <c r="BF271" s="7"/>
      <c r="BH271" s="96"/>
      <c r="BI271" s="96"/>
      <c r="BJ271" s="96"/>
      <c r="BK271" s="96"/>
      <c r="BL271" s="96"/>
      <c r="BM271" s="96"/>
      <c r="BN271" s="96"/>
      <c r="BO271" s="59"/>
      <c r="BP271" s="59"/>
      <c r="BQ271" s="59"/>
      <c r="BR271" s="59"/>
    </row>
    <row r="272">
      <c r="A272" s="5"/>
      <c r="B272" s="150"/>
      <c r="C272" s="151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6"/>
      <c r="BE272" s="5"/>
      <c r="BF272" s="7"/>
      <c r="BH272" s="96"/>
      <c r="BI272" s="96"/>
      <c r="BJ272" s="96"/>
      <c r="BK272" s="96"/>
      <c r="BL272" s="96"/>
      <c r="BM272" s="96"/>
      <c r="BN272" s="96"/>
      <c r="BO272" s="59"/>
      <c r="BP272" s="59"/>
      <c r="BQ272" s="59"/>
      <c r="BR272" s="59"/>
    </row>
    <row r="273">
      <c r="A273" s="5"/>
      <c r="B273" s="150"/>
      <c r="C273" s="151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6"/>
      <c r="BE273" s="5"/>
      <c r="BF273" s="7"/>
      <c r="BH273" s="96"/>
      <c r="BI273" s="96"/>
      <c r="BJ273" s="96"/>
      <c r="BK273" s="96"/>
      <c r="BL273" s="96"/>
      <c r="BM273" s="96"/>
      <c r="BN273" s="96"/>
      <c r="BO273" s="59"/>
      <c r="BP273" s="59"/>
      <c r="BQ273" s="59"/>
      <c r="BR273" s="59"/>
    </row>
    <row r="274">
      <c r="A274" s="5"/>
      <c r="B274" s="150"/>
      <c r="C274" s="151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6"/>
      <c r="BE274" s="5"/>
      <c r="BF274" s="7"/>
      <c r="BH274" s="96"/>
      <c r="BI274" s="96"/>
      <c r="BJ274" s="96"/>
      <c r="BK274" s="96"/>
      <c r="BL274" s="96"/>
      <c r="BM274" s="96"/>
      <c r="BN274" s="96"/>
      <c r="BO274" s="59"/>
      <c r="BP274" s="59"/>
      <c r="BQ274" s="59"/>
      <c r="BR274" s="59"/>
    </row>
    <row r="275">
      <c r="A275" s="5"/>
      <c r="B275" s="150"/>
      <c r="C275" s="151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6"/>
      <c r="BE275" s="5"/>
      <c r="BF275" s="7"/>
      <c r="BH275" s="96"/>
      <c r="BI275" s="96"/>
      <c r="BJ275" s="96"/>
      <c r="BK275" s="96"/>
      <c r="BL275" s="96"/>
      <c r="BM275" s="96"/>
      <c r="BN275" s="96"/>
      <c r="BO275" s="59"/>
      <c r="BP275" s="59"/>
      <c r="BQ275" s="59"/>
      <c r="BR275" s="59"/>
    </row>
    <row r="276">
      <c r="A276" s="5"/>
      <c r="B276" s="150"/>
      <c r="C276" s="151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6"/>
      <c r="BE276" s="5"/>
      <c r="BF276" s="7"/>
      <c r="BH276" s="96"/>
      <c r="BI276" s="96"/>
      <c r="BJ276" s="96"/>
      <c r="BK276" s="96"/>
      <c r="BL276" s="96"/>
      <c r="BM276" s="96"/>
      <c r="BN276" s="96"/>
      <c r="BO276" s="59"/>
      <c r="BP276" s="59"/>
      <c r="BQ276" s="59"/>
      <c r="BR276" s="59"/>
    </row>
    <row r="277">
      <c r="A277" s="5"/>
      <c r="B277" s="150"/>
      <c r="C277" s="151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6"/>
      <c r="BE277" s="5"/>
      <c r="BF277" s="7"/>
      <c r="BH277" s="96"/>
      <c r="BI277" s="96"/>
      <c r="BJ277" s="96"/>
      <c r="BK277" s="96"/>
      <c r="BL277" s="96"/>
      <c r="BM277" s="96"/>
      <c r="BN277" s="96"/>
      <c r="BO277" s="59"/>
      <c r="BP277" s="59"/>
      <c r="BQ277" s="59"/>
      <c r="BR277" s="59"/>
    </row>
    <row r="278">
      <c r="A278" s="5"/>
      <c r="B278" s="150"/>
      <c r="C278" s="151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6"/>
      <c r="BE278" s="5"/>
      <c r="BF278" s="7"/>
      <c r="BH278" s="96"/>
      <c r="BI278" s="96"/>
      <c r="BJ278" s="96"/>
      <c r="BK278" s="96"/>
      <c r="BL278" s="96"/>
      <c r="BM278" s="96"/>
      <c r="BN278" s="96"/>
      <c r="BO278" s="59"/>
      <c r="BP278" s="59"/>
      <c r="BQ278" s="59"/>
      <c r="BR278" s="59"/>
    </row>
    <row r="279">
      <c r="A279" s="5"/>
      <c r="B279" s="150"/>
      <c r="C279" s="151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6"/>
      <c r="BE279" s="5"/>
      <c r="BF279" s="7"/>
      <c r="BH279" s="96"/>
      <c r="BI279" s="96"/>
      <c r="BJ279" s="96"/>
      <c r="BK279" s="96"/>
      <c r="BL279" s="96"/>
      <c r="BM279" s="96"/>
      <c r="BN279" s="96"/>
      <c r="BO279" s="59"/>
      <c r="BP279" s="59"/>
      <c r="BQ279" s="59"/>
      <c r="BR279" s="59"/>
    </row>
    <row r="280">
      <c r="A280" s="5"/>
      <c r="B280" s="150"/>
      <c r="C280" s="151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6"/>
      <c r="BE280" s="5"/>
      <c r="BF280" s="7"/>
      <c r="BH280" s="96"/>
      <c r="BI280" s="96"/>
      <c r="BJ280" s="96"/>
      <c r="BK280" s="96"/>
      <c r="BL280" s="96"/>
      <c r="BM280" s="96"/>
      <c r="BN280" s="96"/>
      <c r="BO280" s="59"/>
      <c r="BP280" s="59"/>
      <c r="BQ280" s="59"/>
      <c r="BR280" s="59"/>
    </row>
    <row r="281">
      <c r="A281" s="5"/>
      <c r="B281" s="150"/>
      <c r="C281" s="151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6"/>
      <c r="BE281" s="5"/>
      <c r="BF281" s="7"/>
      <c r="BH281" s="96"/>
      <c r="BI281" s="96"/>
      <c r="BJ281" s="96"/>
      <c r="BK281" s="96"/>
      <c r="BL281" s="96"/>
      <c r="BM281" s="96"/>
      <c r="BN281" s="96"/>
      <c r="BO281" s="59"/>
      <c r="BP281" s="59"/>
      <c r="BQ281" s="59"/>
      <c r="BR281" s="59"/>
    </row>
    <row r="282">
      <c r="A282" s="5"/>
      <c r="B282" s="150"/>
      <c r="C282" s="151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6"/>
      <c r="BE282" s="5"/>
      <c r="BF282" s="7"/>
      <c r="BH282" s="96"/>
      <c r="BI282" s="96"/>
      <c r="BJ282" s="96"/>
      <c r="BK282" s="96"/>
      <c r="BL282" s="96"/>
      <c r="BM282" s="96"/>
      <c r="BN282" s="96"/>
      <c r="BO282" s="59"/>
      <c r="BP282" s="59"/>
      <c r="BQ282" s="59"/>
      <c r="BR282" s="59"/>
    </row>
    <row r="283">
      <c r="A283" s="5"/>
      <c r="B283" s="150"/>
      <c r="C283" s="151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6"/>
      <c r="BE283" s="5"/>
      <c r="BF283" s="7"/>
      <c r="BH283" s="96"/>
      <c r="BI283" s="96"/>
      <c r="BJ283" s="96"/>
      <c r="BK283" s="96"/>
      <c r="BL283" s="96"/>
      <c r="BM283" s="96"/>
      <c r="BN283" s="96"/>
      <c r="BO283" s="59"/>
      <c r="BP283" s="59"/>
      <c r="BQ283" s="59"/>
      <c r="BR283" s="59"/>
    </row>
    <row r="284">
      <c r="A284" s="5"/>
      <c r="B284" s="150"/>
      <c r="C284" s="151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6"/>
      <c r="BE284" s="5"/>
      <c r="BF284" s="7"/>
      <c r="BH284" s="96"/>
      <c r="BI284" s="96"/>
      <c r="BJ284" s="96"/>
      <c r="BK284" s="96"/>
      <c r="BL284" s="96"/>
      <c r="BM284" s="96"/>
      <c r="BN284" s="96"/>
      <c r="BO284" s="59"/>
      <c r="BP284" s="59"/>
      <c r="BQ284" s="59"/>
      <c r="BR284" s="59"/>
    </row>
    <row r="285">
      <c r="A285" s="5"/>
      <c r="B285" s="150"/>
      <c r="C285" s="151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6"/>
      <c r="BE285" s="5"/>
      <c r="BF285" s="7"/>
      <c r="BH285" s="96"/>
      <c r="BI285" s="96"/>
      <c r="BJ285" s="96"/>
      <c r="BK285" s="96"/>
      <c r="BL285" s="96"/>
      <c r="BM285" s="96"/>
      <c r="BN285" s="96"/>
      <c r="BO285" s="59"/>
      <c r="BP285" s="59"/>
      <c r="BQ285" s="59"/>
      <c r="BR285" s="59"/>
    </row>
    <row r="286">
      <c r="A286" s="5"/>
      <c r="B286" s="150"/>
      <c r="C286" s="151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6"/>
      <c r="BE286" s="5"/>
      <c r="BF286" s="7"/>
      <c r="BH286" s="96"/>
      <c r="BI286" s="96"/>
      <c r="BJ286" s="96"/>
      <c r="BK286" s="96"/>
      <c r="BL286" s="96"/>
      <c r="BM286" s="96"/>
      <c r="BN286" s="96"/>
      <c r="BO286" s="59"/>
      <c r="BP286" s="59"/>
      <c r="BQ286" s="59"/>
      <c r="BR286" s="59"/>
    </row>
    <row r="287">
      <c r="A287" s="5"/>
      <c r="B287" s="150"/>
      <c r="C287" s="151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6"/>
      <c r="BE287" s="5"/>
      <c r="BF287" s="7"/>
      <c r="BH287" s="96"/>
      <c r="BI287" s="96"/>
      <c r="BJ287" s="96"/>
      <c r="BK287" s="96"/>
      <c r="BL287" s="96"/>
      <c r="BM287" s="96"/>
      <c r="BN287" s="96"/>
      <c r="BO287" s="59"/>
      <c r="BP287" s="59"/>
      <c r="BQ287" s="59"/>
      <c r="BR287" s="59"/>
    </row>
    <row r="288">
      <c r="A288" s="5"/>
      <c r="B288" s="150"/>
      <c r="C288" s="151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6"/>
      <c r="BE288" s="5"/>
      <c r="BF288" s="7"/>
      <c r="BH288" s="96"/>
      <c r="BI288" s="96"/>
      <c r="BJ288" s="96"/>
      <c r="BK288" s="96"/>
      <c r="BL288" s="96"/>
      <c r="BM288" s="96"/>
      <c r="BN288" s="96"/>
      <c r="BO288" s="59"/>
      <c r="BP288" s="59"/>
      <c r="BQ288" s="59"/>
      <c r="BR288" s="59"/>
    </row>
    <row r="289">
      <c r="A289" s="5"/>
      <c r="B289" s="150"/>
      <c r="C289" s="151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6"/>
      <c r="BE289" s="5"/>
      <c r="BF289" s="7"/>
      <c r="BH289" s="96"/>
      <c r="BI289" s="96"/>
      <c r="BJ289" s="96"/>
      <c r="BK289" s="96"/>
      <c r="BL289" s="96"/>
      <c r="BM289" s="96"/>
      <c r="BN289" s="96"/>
      <c r="BO289" s="59"/>
      <c r="BP289" s="59"/>
      <c r="BQ289" s="59"/>
      <c r="BR289" s="59"/>
    </row>
    <row r="290">
      <c r="A290" s="5"/>
      <c r="B290" s="150"/>
      <c r="C290" s="151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6"/>
      <c r="BE290" s="5"/>
      <c r="BF290" s="7"/>
      <c r="BH290" s="96"/>
      <c r="BI290" s="96"/>
      <c r="BJ290" s="96"/>
      <c r="BK290" s="96"/>
      <c r="BL290" s="96"/>
      <c r="BM290" s="96"/>
      <c r="BN290" s="96"/>
      <c r="BO290" s="59"/>
      <c r="BP290" s="59"/>
      <c r="BQ290" s="59"/>
      <c r="BR290" s="59"/>
    </row>
    <row r="291">
      <c r="A291" s="5"/>
      <c r="B291" s="150"/>
      <c r="C291" s="151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6"/>
      <c r="BE291" s="5"/>
      <c r="BF291" s="7"/>
      <c r="BH291" s="96"/>
      <c r="BI291" s="96"/>
      <c r="BJ291" s="96"/>
      <c r="BK291" s="96"/>
      <c r="BL291" s="96"/>
      <c r="BM291" s="96"/>
      <c r="BN291" s="96"/>
      <c r="BO291" s="59"/>
      <c r="BP291" s="59"/>
      <c r="BQ291" s="59"/>
      <c r="BR291" s="59"/>
    </row>
    <row r="292">
      <c r="A292" s="5"/>
      <c r="B292" s="150"/>
      <c r="C292" s="151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6"/>
      <c r="BE292" s="5"/>
      <c r="BF292" s="7"/>
      <c r="BH292" s="96"/>
      <c r="BI292" s="96"/>
      <c r="BJ292" s="96"/>
      <c r="BK292" s="96"/>
      <c r="BL292" s="96"/>
      <c r="BM292" s="96"/>
      <c r="BN292" s="96"/>
      <c r="BO292" s="59"/>
      <c r="BP292" s="59"/>
      <c r="BQ292" s="59"/>
      <c r="BR292" s="59"/>
    </row>
    <row r="293">
      <c r="A293" s="5"/>
      <c r="B293" s="150"/>
      <c r="C293" s="151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6"/>
      <c r="BE293" s="5"/>
      <c r="BF293" s="7"/>
      <c r="BH293" s="96"/>
      <c r="BI293" s="96"/>
      <c r="BJ293" s="96"/>
      <c r="BK293" s="96"/>
      <c r="BL293" s="96"/>
      <c r="BM293" s="96"/>
      <c r="BN293" s="96"/>
      <c r="BO293" s="59"/>
      <c r="BP293" s="59"/>
      <c r="BQ293" s="59"/>
      <c r="BR293" s="59"/>
    </row>
    <row r="294">
      <c r="A294" s="5"/>
      <c r="B294" s="150"/>
      <c r="C294" s="151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6"/>
      <c r="BE294" s="5"/>
      <c r="BF294" s="7"/>
      <c r="BH294" s="96"/>
      <c r="BI294" s="96"/>
      <c r="BJ294" s="96"/>
      <c r="BK294" s="96"/>
      <c r="BL294" s="96"/>
      <c r="BM294" s="96"/>
      <c r="BN294" s="96"/>
      <c r="BO294" s="59"/>
      <c r="BP294" s="59"/>
      <c r="BQ294" s="59"/>
      <c r="BR294" s="59"/>
    </row>
    <row r="295">
      <c r="A295" s="5"/>
      <c r="B295" s="150"/>
      <c r="C295" s="151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6"/>
      <c r="BE295" s="5"/>
      <c r="BF295" s="7"/>
      <c r="BH295" s="96"/>
      <c r="BI295" s="96"/>
      <c r="BJ295" s="96"/>
      <c r="BK295" s="96"/>
      <c r="BL295" s="96"/>
      <c r="BM295" s="96"/>
      <c r="BN295" s="96"/>
      <c r="BO295" s="59"/>
      <c r="BP295" s="59"/>
      <c r="BQ295" s="59"/>
      <c r="BR295" s="59"/>
    </row>
    <row r="296">
      <c r="A296" s="5"/>
      <c r="B296" s="150"/>
      <c r="C296" s="151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6"/>
      <c r="BE296" s="5"/>
      <c r="BF296" s="7"/>
      <c r="BH296" s="96"/>
      <c r="BI296" s="96"/>
      <c r="BJ296" s="96"/>
      <c r="BK296" s="96"/>
      <c r="BL296" s="96"/>
      <c r="BM296" s="96"/>
      <c r="BN296" s="96"/>
      <c r="BO296" s="59"/>
      <c r="BP296" s="59"/>
      <c r="BQ296" s="59"/>
      <c r="BR296" s="59"/>
    </row>
    <row r="297">
      <c r="A297" s="5"/>
      <c r="B297" s="150"/>
      <c r="C297" s="151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6"/>
      <c r="BE297" s="5"/>
      <c r="BF297" s="7"/>
      <c r="BH297" s="96"/>
      <c r="BI297" s="96"/>
      <c r="BJ297" s="96"/>
      <c r="BK297" s="96"/>
      <c r="BL297" s="96"/>
      <c r="BM297" s="96"/>
      <c r="BN297" s="96"/>
      <c r="BO297" s="59"/>
      <c r="BP297" s="59"/>
      <c r="BQ297" s="59"/>
      <c r="BR297" s="59"/>
    </row>
    <row r="298">
      <c r="A298" s="5"/>
      <c r="B298" s="150"/>
      <c r="C298" s="151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6"/>
      <c r="BE298" s="5"/>
      <c r="BF298" s="7"/>
      <c r="BH298" s="96"/>
      <c r="BI298" s="96"/>
      <c r="BJ298" s="96"/>
      <c r="BK298" s="96"/>
      <c r="BL298" s="96"/>
      <c r="BM298" s="96"/>
      <c r="BN298" s="96"/>
      <c r="BO298" s="59"/>
      <c r="BP298" s="59"/>
      <c r="BQ298" s="59"/>
      <c r="BR298" s="59"/>
    </row>
    <row r="299">
      <c r="A299" s="5"/>
      <c r="B299" s="150"/>
      <c r="C299" s="151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6"/>
      <c r="BE299" s="5"/>
      <c r="BF299" s="7"/>
      <c r="BH299" s="96"/>
      <c r="BI299" s="96"/>
      <c r="BJ299" s="96"/>
      <c r="BK299" s="96"/>
      <c r="BL299" s="96"/>
      <c r="BM299" s="96"/>
      <c r="BN299" s="96"/>
      <c r="BO299" s="59"/>
      <c r="BP299" s="59"/>
      <c r="BQ299" s="59"/>
      <c r="BR299" s="59"/>
    </row>
    <row r="300">
      <c r="A300" s="5"/>
      <c r="B300" s="150"/>
      <c r="C300" s="151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6"/>
      <c r="BE300" s="5"/>
      <c r="BF300" s="7"/>
      <c r="BH300" s="96"/>
      <c r="BI300" s="96"/>
      <c r="BJ300" s="96"/>
      <c r="BK300" s="96"/>
      <c r="BL300" s="96"/>
      <c r="BM300" s="96"/>
      <c r="BN300" s="96"/>
      <c r="BO300" s="59"/>
      <c r="BP300" s="59"/>
      <c r="BQ300" s="59"/>
      <c r="BR300" s="59"/>
    </row>
    <row r="301">
      <c r="A301" s="5"/>
      <c r="B301" s="150"/>
      <c r="C301" s="151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6"/>
      <c r="BE301" s="5"/>
      <c r="BF301" s="7"/>
      <c r="BH301" s="96"/>
      <c r="BI301" s="96"/>
      <c r="BJ301" s="96"/>
      <c r="BK301" s="96"/>
      <c r="BL301" s="96"/>
      <c r="BM301" s="96"/>
      <c r="BN301" s="96"/>
      <c r="BO301" s="59"/>
      <c r="BP301" s="59"/>
      <c r="BQ301" s="59"/>
      <c r="BR301" s="59"/>
    </row>
    <row r="302">
      <c r="A302" s="5"/>
      <c r="B302" s="150"/>
      <c r="C302" s="151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6"/>
      <c r="BE302" s="5"/>
      <c r="BF302" s="7"/>
      <c r="BH302" s="96"/>
      <c r="BI302" s="96"/>
      <c r="BJ302" s="96"/>
      <c r="BK302" s="96"/>
      <c r="BL302" s="96"/>
      <c r="BM302" s="96"/>
      <c r="BN302" s="96"/>
      <c r="BO302" s="59"/>
      <c r="BP302" s="59"/>
      <c r="BQ302" s="59"/>
      <c r="BR302" s="59"/>
    </row>
    <row r="303">
      <c r="A303" s="5"/>
      <c r="B303" s="150"/>
      <c r="C303" s="151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6"/>
      <c r="BE303" s="5"/>
      <c r="BF303" s="7"/>
      <c r="BH303" s="96"/>
      <c r="BI303" s="96"/>
      <c r="BJ303" s="96"/>
      <c r="BK303" s="96"/>
      <c r="BL303" s="96"/>
      <c r="BM303" s="96"/>
      <c r="BN303" s="96"/>
      <c r="BO303" s="59"/>
      <c r="BP303" s="59"/>
      <c r="BQ303" s="59"/>
      <c r="BR303" s="59"/>
    </row>
    <row r="304">
      <c r="A304" s="5"/>
      <c r="B304" s="150"/>
      <c r="C304" s="151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6"/>
      <c r="BE304" s="5"/>
      <c r="BF304" s="7"/>
      <c r="BH304" s="96"/>
      <c r="BI304" s="96"/>
      <c r="BJ304" s="96"/>
      <c r="BK304" s="96"/>
      <c r="BL304" s="96"/>
      <c r="BM304" s="96"/>
      <c r="BN304" s="96"/>
      <c r="BO304" s="59"/>
      <c r="BP304" s="59"/>
      <c r="BQ304" s="59"/>
      <c r="BR304" s="59"/>
    </row>
    <row r="305">
      <c r="A305" s="5"/>
      <c r="B305" s="150"/>
      <c r="C305" s="151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6"/>
      <c r="BE305" s="5"/>
      <c r="BF305" s="7"/>
      <c r="BH305" s="96"/>
      <c r="BI305" s="96"/>
      <c r="BJ305" s="96"/>
      <c r="BK305" s="96"/>
      <c r="BL305" s="96"/>
      <c r="BM305" s="96"/>
      <c r="BN305" s="96"/>
      <c r="BO305" s="59"/>
      <c r="BP305" s="59"/>
      <c r="BQ305" s="59"/>
      <c r="BR305" s="59"/>
    </row>
    <row r="306">
      <c r="A306" s="5"/>
      <c r="B306" s="150"/>
      <c r="C306" s="151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6"/>
      <c r="BE306" s="5"/>
      <c r="BF306" s="7"/>
      <c r="BH306" s="96"/>
      <c r="BI306" s="96"/>
      <c r="BJ306" s="96"/>
      <c r="BK306" s="96"/>
      <c r="BL306" s="96"/>
      <c r="BM306" s="96"/>
      <c r="BN306" s="96"/>
      <c r="BO306" s="59"/>
      <c r="BP306" s="59"/>
      <c r="BQ306" s="59"/>
      <c r="BR306" s="59"/>
    </row>
    <row r="307">
      <c r="A307" s="5"/>
      <c r="B307" s="150"/>
      <c r="C307" s="151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6"/>
      <c r="BE307" s="5"/>
      <c r="BF307" s="7"/>
      <c r="BH307" s="96"/>
      <c r="BI307" s="96"/>
      <c r="BJ307" s="96"/>
      <c r="BK307" s="96"/>
      <c r="BL307" s="96"/>
      <c r="BM307" s="96"/>
      <c r="BN307" s="96"/>
      <c r="BO307" s="59"/>
      <c r="BP307" s="59"/>
      <c r="BQ307" s="59"/>
      <c r="BR307" s="59"/>
    </row>
    <row r="308">
      <c r="A308" s="5"/>
      <c r="B308" s="150"/>
      <c r="C308" s="151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6"/>
      <c r="BE308" s="5"/>
      <c r="BF308" s="7"/>
      <c r="BH308" s="96"/>
      <c r="BI308" s="96"/>
      <c r="BJ308" s="96"/>
      <c r="BK308" s="96"/>
      <c r="BL308" s="96"/>
      <c r="BM308" s="96"/>
      <c r="BN308" s="96"/>
      <c r="BO308" s="59"/>
      <c r="BP308" s="59"/>
      <c r="BQ308" s="59"/>
      <c r="BR308" s="59"/>
    </row>
    <row r="309">
      <c r="A309" s="5"/>
      <c r="B309" s="150"/>
      <c r="C309" s="151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6"/>
      <c r="BE309" s="5"/>
      <c r="BF309" s="7"/>
      <c r="BH309" s="96"/>
      <c r="BI309" s="96"/>
      <c r="BJ309" s="96"/>
      <c r="BK309" s="96"/>
      <c r="BL309" s="96"/>
      <c r="BM309" s="96"/>
      <c r="BN309" s="96"/>
      <c r="BO309" s="59"/>
      <c r="BP309" s="59"/>
      <c r="BQ309" s="59"/>
      <c r="BR309" s="59"/>
    </row>
    <row r="310">
      <c r="A310" s="5"/>
      <c r="B310" s="150"/>
      <c r="C310" s="151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6"/>
      <c r="BE310" s="5"/>
      <c r="BF310" s="7"/>
      <c r="BH310" s="96"/>
      <c r="BI310" s="96"/>
      <c r="BJ310" s="96"/>
      <c r="BK310" s="96"/>
      <c r="BL310" s="96"/>
      <c r="BM310" s="96"/>
      <c r="BN310" s="96"/>
      <c r="BO310" s="59"/>
      <c r="BP310" s="59"/>
      <c r="BQ310" s="59"/>
      <c r="BR310" s="59"/>
    </row>
    <row r="311">
      <c r="A311" s="5"/>
      <c r="B311" s="150"/>
      <c r="C311" s="151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6"/>
      <c r="BE311" s="5"/>
      <c r="BF311" s="7"/>
      <c r="BH311" s="96"/>
      <c r="BI311" s="96"/>
      <c r="BJ311" s="96"/>
      <c r="BK311" s="96"/>
      <c r="BL311" s="96"/>
      <c r="BM311" s="96"/>
      <c r="BN311" s="96"/>
      <c r="BO311" s="59"/>
      <c r="BP311" s="59"/>
      <c r="BQ311" s="59"/>
      <c r="BR311" s="59"/>
    </row>
    <row r="312">
      <c r="A312" s="5"/>
      <c r="B312" s="150"/>
      <c r="C312" s="151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6"/>
      <c r="BE312" s="5"/>
      <c r="BF312" s="7"/>
      <c r="BH312" s="96"/>
      <c r="BI312" s="96"/>
      <c r="BJ312" s="96"/>
      <c r="BK312" s="96"/>
      <c r="BL312" s="96"/>
      <c r="BM312" s="96"/>
      <c r="BN312" s="96"/>
      <c r="BO312" s="59"/>
      <c r="BP312" s="59"/>
      <c r="BQ312" s="59"/>
      <c r="BR312" s="59"/>
    </row>
    <row r="313">
      <c r="A313" s="5"/>
      <c r="B313" s="150"/>
      <c r="C313" s="151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6"/>
      <c r="BE313" s="5"/>
      <c r="BF313" s="7"/>
      <c r="BH313" s="96"/>
      <c r="BI313" s="96"/>
      <c r="BJ313" s="96"/>
      <c r="BK313" s="96"/>
      <c r="BL313" s="96"/>
      <c r="BM313" s="96"/>
      <c r="BN313" s="96"/>
      <c r="BO313" s="59"/>
      <c r="BP313" s="59"/>
      <c r="BQ313" s="59"/>
      <c r="BR313" s="59"/>
    </row>
    <row r="314">
      <c r="A314" s="5"/>
      <c r="B314" s="150"/>
      <c r="C314" s="151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6"/>
      <c r="BE314" s="5"/>
      <c r="BF314" s="7"/>
      <c r="BH314" s="96"/>
      <c r="BI314" s="96"/>
      <c r="BJ314" s="96"/>
      <c r="BK314" s="96"/>
      <c r="BL314" s="96"/>
      <c r="BM314" s="96"/>
      <c r="BN314" s="96"/>
      <c r="BO314" s="59"/>
      <c r="BP314" s="59"/>
      <c r="BQ314" s="59"/>
      <c r="BR314" s="59"/>
    </row>
    <row r="315">
      <c r="A315" s="5"/>
      <c r="B315" s="150"/>
      <c r="C315" s="151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6"/>
      <c r="BE315" s="5"/>
      <c r="BF315" s="7"/>
      <c r="BH315" s="96"/>
      <c r="BI315" s="96"/>
      <c r="BJ315" s="96"/>
      <c r="BK315" s="96"/>
      <c r="BL315" s="96"/>
      <c r="BM315" s="96"/>
      <c r="BN315" s="96"/>
      <c r="BO315" s="59"/>
      <c r="BP315" s="59"/>
      <c r="BQ315" s="59"/>
      <c r="BR315" s="59"/>
    </row>
    <row r="316">
      <c r="A316" s="5"/>
      <c r="B316" s="150"/>
      <c r="C316" s="151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6"/>
      <c r="BE316" s="5"/>
      <c r="BF316" s="7"/>
      <c r="BH316" s="96"/>
      <c r="BI316" s="96"/>
      <c r="BJ316" s="96"/>
      <c r="BK316" s="96"/>
      <c r="BL316" s="96"/>
      <c r="BM316" s="96"/>
      <c r="BN316" s="96"/>
      <c r="BO316" s="59"/>
      <c r="BP316" s="59"/>
      <c r="BQ316" s="59"/>
      <c r="BR316" s="59"/>
    </row>
    <row r="317">
      <c r="A317" s="5"/>
      <c r="B317" s="150"/>
      <c r="C317" s="151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6"/>
      <c r="BE317" s="5"/>
      <c r="BF317" s="7"/>
      <c r="BH317" s="96"/>
      <c r="BI317" s="96"/>
      <c r="BJ317" s="96"/>
      <c r="BK317" s="96"/>
      <c r="BL317" s="96"/>
      <c r="BM317" s="96"/>
      <c r="BN317" s="96"/>
      <c r="BO317" s="59"/>
      <c r="BP317" s="59"/>
      <c r="BQ317" s="59"/>
      <c r="BR317" s="59"/>
    </row>
    <row r="318">
      <c r="A318" s="5"/>
      <c r="B318" s="150"/>
      <c r="C318" s="151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6"/>
      <c r="BE318" s="5"/>
      <c r="BF318" s="7"/>
      <c r="BH318" s="96"/>
      <c r="BI318" s="96"/>
      <c r="BJ318" s="96"/>
      <c r="BK318" s="96"/>
      <c r="BL318" s="96"/>
      <c r="BM318" s="96"/>
      <c r="BN318" s="96"/>
      <c r="BO318" s="59"/>
      <c r="BP318" s="59"/>
      <c r="BQ318" s="59"/>
      <c r="BR318" s="59"/>
    </row>
    <row r="319">
      <c r="A319" s="5"/>
      <c r="B319" s="150"/>
      <c r="C319" s="151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6"/>
      <c r="BE319" s="5"/>
      <c r="BF319" s="7"/>
      <c r="BH319" s="96"/>
      <c r="BI319" s="96"/>
      <c r="BJ319" s="96"/>
      <c r="BK319" s="96"/>
      <c r="BL319" s="96"/>
      <c r="BM319" s="96"/>
      <c r="BN319" s="96"/>
      <c r="BO319" s="59"/>
      <c r="BP319" s="59"/>
      <c r="BQ319" s="59"/>
      <c r="BR319" s="59"/>
    </row>
    <row r="320">
      <c r="A320" s="5"/>
      <c r="B320" s="150"/>
      <c r="C320" s="151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6"/>
      <c r="BE320" s="5"/>
      <c r="BF320" s="7"/>
      <c r="BH320" s="96"/>
      <c r="BI320" s="96"/>
      <c r="BJ320" s="96"/>
      <c r="BK320" s="96"/>
      <c r="BL320" s="96"/>
      <c r="BM320" s="96"/>
      <c r="BN320" s="96"/>
      <c r="BO320" s="59"/>
      <c r="BP320" s="59"/>
      <c r="BQ320" s="59"/>
      <c r="BR320" s="59"/>
    </row>
    <row r="321">
      <c r="A321" s="5"/>
      <c r="B321" s="150"/>
      <c r="C321" s="151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6"/>
      <c r="BE321" s="5"/>
      <c r="BF321" s="7"/>
      <c r="BH321" s="96"/>
      <c r="BI321" s="96"/>
      <c r="BJ321" s="96"/>
      <c r="BK321" s="96"/>
      <c r="BL321" s="96"/>
      <c r="BM321" s="96"/>
      <c r="BN321" s="96"/>
      <c r="BO321" s="59"/>
      <c r="BP321" s="59"/>
      <c r="BQ321" s="59"/>
      <c r="BR321" s="59"/>
    </row>
    <row r="322">
      <c r="A322" s="5"/>
      <c r="B322" s="150"/>
      <c r="C322" s="151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6"/>
      <c r="BE322" s="5"/>
      <c r="BF322" s="7"/>
      <c r="BH322" s="96"/>
      <c r="BI322" s="96"/>
      <c r="BJ322" s="96"/>
      <c r="BK322" s="96"/>
      <c r="BL322" s="96"/>
      <c r="BM322" s="96"/>
      <c r="BN322" s="96"/>
      <c r="BO322" s="59"/>
      <c r="BP322" s="59"/>
      <c r="BQ322" s="59"/>
      <c r="BR322" s="59"/>
    </row>
    <row r="323">
      <c r="A323" s="5"/>
      <c r="B323" s="150"/>
      <c r="C323" s="151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6"/>
      <c r="BE323" s="5"/>
      <c r="BF323" s="7"/>
      <c r="BH323" s="96"/>
      <c r="BI323" s="96"/>
      <c r="BJ323" s="96"/>
      <c r="BK323" s="96"/>
      <c r="BL323" s="96"/>
      <c r="BM323" s="96"/>
      <c r="BN323" s="96"/>
      <c r="BO323" s="59"/>
      <c r="BP323" s="59"/>
      <c r="BQ323" s="59"/>
      <c r="BR323" s="59"/>
    </row>
    <row r="324">
      <c r="A324" s="5"/>
      <c r="B324" s="150"/>
      <c r="C324" s="151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6"/>
      <c r="BE324" s="5"/>
      <c r="BF324" s="7"/>
      <c r="BH324" s="96"/>
      <c r="BI324" s="96"/>
      <c r="BJ324" s="96"/>
      <c r="BK324" s="96"/>
      <c r="BL324" s="96"/>
      <c r="BM324" s="96"/>
      <c r="BN324" s="96"/>
      <c r="BO324" s="59"/>
      <c r="BP324" s="59"/>
      <c r="BQ324" s="59"/>
      <c r="BR324" s="59"/>
    </row>
    <row r="325">
      <c r="A325" s="5"/>
      <c r="B325" s="150"/>
      <c r="C325" s="151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6"/>
      <c r="BE325" s="5"/>
      <c r="BF325" s="7"/>
      <c r="BH325" s="96"/>
      <c r="BI325" s="96"/>
      <c r="BJ325" s="96"/>
      <c r="BK325" s="96"/>
      <c r="BL325" s="96"/>
      <c r="BM325" s="96"/>
      <c r="BN325" s="96"/>
      <c r="BO325" s="59"/>
      <c r="BP325" s="59"/>
      <c r="BQ325" s="59"/>
      <c r="BR325" s="59"/>
    </row>
    <row r="326">
      <c r="A326" s="5"/>
      <c r="B326" s="150"/>
      <c r="C326" s="151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6"/>
      <c r="BE326" s="5"/>
      <c r="BF326" s="7"/>
      <c r="BH326" s="96"/>
      <c r="BI326" s="96"/>
      <c r="BJ326" s="96"/>
      <c r="BK326" s="96"/>
      <c r="BL326" s="96"/>
      <c r="BM326" s="96"/>
      <c r="BN326" s="96"/>
      <c r="BO326" s="59"/>
      <c r="BP326" s="59"/>
      <c r="BQ326" s="59"/>
      <c r="BR326" s="59"/>
    </row>
    <row r="327">
      <c r="A327" s="5"/>
      <c r="B327" s="150"/>
      <c r="C327" s="151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6"/>
      <c r="BE327" s="5"/>
      <c r="BF327" s="7"/>
      <c r="BH327" s="96"/>
      <c r="BI327" s="96"/>
      <c r="BJ327" s="96"/>
      <c r="BK327" s="96"/>
      <c r="BL327" s="96"/>
      <c r="BM327" s="96"/>
      <c r="BN327" s="96"/>
      <c r="BO327" s="59"/>
      <c r="BP327" s="59"/>
      <c r="BQ327" s="59"/>
      <c r="BR327" s="59"/>
    </row>
    <row r="328">
      <c r="A328" s="5"/>
      <c r="B328" s="150"/>
      <c r="C328" s="151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6"/>
      <c r="BE328" s="5"/>
      <c r="BF328" s="7"/>
      <c r="BH328" s="96"/>
      <c r="BI328" s="96"/>
      <c r="BJ328" s="96"/>
      <c r="BK328" s="96"/>
      <c r="BL328" s="96"/>
      <c r="BM328" s="96"/>
      <c r="BN328" s="96"/>
      <c r="BO328" s="59"/>
      <c r="BP328" s="59"/>
      <c r="BQ328" s="59"/>
      <c r="BR328" s="59"/>
    </row>
    <row r="329">
      <c r="A329" s="5"/>
      <c r="B329" s="150"/>
      <c r="C329" s="151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6"/>
      <c r="BE329" s="5"/>
      <c r="BF329" s="7"/>
      <c r="BH329" s="96"/>
      <c r="BI329" s="96"/>
      <c r="BJ329" s="96"/>
      <c r="BK329" s="96"/>
      <c r="BL329" s="96"/>
      <c r="BM329" s="96"/>
      <c r="BN329" s="96"/>
      <c r="BO329" s="59"/>
      <c r="BP329" s="59"/>
      <c r="BQ329" s="59"/>
      <c r="BR329" s="59"/>
    </row>
    <row r="330">
      <c r="A330" s="5"/>
      <c r="B330" s="150"/>
      <c r="C330" s="151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6"/>
      <c r="BE330" s="5"/>
      <c r="BF330" s="7"/>
      <c r="BH330" s="96"/>
      <c r="BI330" s="96"/>
      <c r="BJ330" s="96"/>
      <c r="BK330" s="96"/>
      <c r="BL330" s="96"/>
      <c r="BM330" s="96"/>
      <c r="BN330" s="96"/>
      <c r="BO330" s="59"/>
      <c r="BP330" s="59"/>
      <c r="BQ330" s="59"/>
      <c r="BR330" s="59"/>
    </row>
    <row r="331">
      <c r="A331" s="5"/>
      <c r="B331" s="150"/>
      <c r="C331" s="151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6"/>
      <c r="BE331" s="5"/>
      <c r="BF331" s="7"/>
      <c r="BH331" s="96"/>
      <c r="BI331" s="96"/>
      <c r="BJ331" s="96"/>
      <c r="BK331" s="96"/>
      <c r="BL331" s="96"/>
      <c r="BM331" s="96"/>
      <c r="BN331" s="96"/>
      <c r="BO331" s="59"/>
      <c r="BP331" s="59"/>
      <c r="BQ331" s="59"/>
      <c r="BR331" s="59"/>
    </row>
    <row r="332">
      <c r="A332" s="5"/>
      <c r="B332" s="150"/>
      <c r="C332" s="151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6"/>
      <c r="BE332" s="5"/>
      <c r="BF332" s="7"/>
      <c r="BH332" s="96"/>
      <c r="BI332" s="96"/>
      <c r="BJ332" s="96"/>
      <c r="BK332" s="96"/>
      <c r="BL332" s="96"/>
      <c r="BM332" s="96"/>
      <c r="BN332" s="96"/>
      <c r="BO332" s="59"/>
      <c r="BP332" s="59"/>
      <c r="BQ332" s="59"/>
      <c r="BR332" s="59"/>
    </row>
    <row r="333">
      <c r="A333" s="5"/>
      <c r="B333" s="150"/>
      <c r="C333" s="151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6"/>
      <c r="BE333" s="5"/>
      <c r="BF333" s="7"/>
      <c r="BH333" s="96"/>
      <c r="BI333" s="96"/>
      <c r="BJ333" s="96"/>
      <c r="BK333" s="96"/>
      <c r="BL333" s="96"/>
      <c r="BM333" s="96"/>
      <c r="BN333" s="96"/>
      <c r="BO333" s="59"/>
      <c r="BP333" s="59"/>
      <c r="BQ333" s="59"/>
      <c r="BR333" s="59"/>
    </row>
    <row r="334">
      <c r="A334" s="5"/>
      <c r="B334" s="150"/>
      <c r="C334" s="151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6"/>
      <c r="BE334" s="5"/>
      <c r="BF334" s="7"/>
      <c r="BH334" s="96"/>
      <c r="BI334" s="96"/>
      <c r="BJ334" s="96"/>
      <c r="BK334" s="96"/>
      <c r="BL334" s="96"/>
      <c r="BM334" s="96"/>
      <c r="BN334" s="96"/>
      <c r="BO334" s="59"/>
      <c r="BP334" s="59"/>
      <c r="BQ334" s="59"/>
      <c r="BR334" s="59"/>
    </row>
    <row r="335">
      <c r="A335" s="5"/>
      <c r="B335" s="150"/>
      <c r="C335" s="151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6"/>
      <c r="BE335" s="5"/>
      <c r="BF335" s="7"/>
      <c r="BH335" s="96"/>
      <c r="BI335" s="96"/>
      <c r="BJ335" s="96"/>
      <c r="BK335" s="96"/>
      <c r="BL335" s="96"/>
      <c r="BM335" s="96"/>
      <c r="BN335" s="96"/>
      <c r="BO335" s="59"/>
      <c r="BP335" s="59"/>
      <c r="BQ335" s="59"/>
      <c r="BR335" s="59"/>
    </row>
    <row r="336">
      <c r="A336" s="5"/>
      <c r="B336" s="150"/>
      <c r="C336" s="151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6"/>
      <c r="BE336" s="5"/>
      <c r="BF336" s="7"/>
      <c r="BH336" s="96"/>
      <c r="BI336" s="96"/>
      <c r="BJ336" s="96"/>
      <c r="BK336" s="96"/>
      <c r="BL336" s="96"/>
      <c r="BM336" s="96"/>
      <c r="BN336" s="96"/>
      <c r="BO336" s="59"/>
      <c r="BP336" s="59"/>
      <c r="BQ336" s="59"/>
      <c r="BR336" s="59"/>
    </row>
    <row r="337">
      <c r="A337" s="5"/>
      <c r="B337" s="150"/>
      <c r="C337" s="151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6"/>
      <c r="BE337" s="5"/>
      <c r="BF337" s="7"/>
      <c r="BH337" s="96"/>
      <c r="BI337" s="96"/>
      <c r="BJ337" s="96"/>
      <c r="BK337" s="96"/>
      <c r="BL337" s="96"/>
      <c r="BM337" s="96"/>
      <c r="BN337" s="96"/>
      <c r="BO337" s="59"/>
      <c r="BP337" s="59"/>
      <c r="BQ337" s="59"/>
      <c r="BR337" s="59"/>
    </row>
    <row r="338">
      <c r="A338" s="5"/>
      <c r="B338" s="150"/>
      <c r="C338" s="151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6"/>
      <c r="BE338" s="5"/>
      <c r="BF338" s="7"/>
      <c r="BH338" s="5"/>
      <c r="BI338" s="5"/>
      <c r="BJ338" s="5"/>
      <c r="BK338" s="5"/>
      <c r="BL338" s="5"/>
      <c r="BM338" s="5"/>
      <c r="BN338" s="5"/>
    </row>
    <row r="339">
      <c r="A339" s="5"/>
      <c r="B339" s="150"/>
      <c r="C339" s="151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6"/>
      <c r="BE339" s="5"/>
      <c r="BF339" s="7"/>
      <c r="BH339" s="5"/>
      <c r="BI339" s="5"/>
      <c r="BJ339" s="5"/>
      <c r="BK339" s="5"/>
      <c r="BL339" s="5"/>
      <c r="BM339" s="5"/>
      <c r="BN339" s="5"/>
    </row>
    <row r="340">
      <c r="A340" s="5"/>
      <c r="B340" s="150"/>
      <c r="C340" s="151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6"/>
      <c r="BE340" s="5"/>
      <c r="BF340" s="7"/>
      <c r="BH340" s="5"/>
      <c r="BI340" s="5"/>
      <c r="BJ340" s="5"/>
      <c r="BK340" s="5"/>
      <c r="BL340" s="5"/>
      <c r="BM340" s="5"/>
      <c r="BN340" s="5"/>
    </row>
    <row r="341">
      <c r="A341" s="5"/>
      <c r="B341" s="150"/>
      <c r="C341" s="151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6"/>
      <c r="BE341" s="5"/>
      <c r="BF341" s="7"/>
      <c r="BH341" s="5"/>
      <c r="BI341" s="5"/>
      <c r="BJ341" s="5"/>
      <c r="BK341" s="5"/>
      <c r="BL341" s="5"/>
      <c r="BM341" s="5"/>
      <c r="BN341" s="5"/>
    </row>
    <row r="342">
      <c r="A342" s="5"/>
      <c r="B342" s="150"/>
      <c r="C342" s="151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6"/>
      <c r="BE342" s="5"/>
      <c r="BF342" s="7"/>
      <c r="BH342" s="5"/>
      <c r="BI342" s="5"/>
      <c r="BJ342" s="5"/>
      <c r="BK342" s="5"/>
      <c r="BL342" s="5"/>
      <c r="BM342" s="5"/>
      <c r="BN342" s="5"/>
    </row>
    <row r="343">
      <c r="A343" s="5"/>
      <c r="B343" s="150"/>
      <c r="C343" s="151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6"/>
      <c r="BE343" s="5"/>
      <c r="BF343" s="7"/>
      <c r="BH343" s="5"/>
      <c r="BI343" s="5"/>
      <c r="BJ343" s="5"/>
      <c r="BK343" s="5"/>
      <c r="BL343" s="5"/>
      <c r="BM343" s="5"/>
      <c r="BN343" s="5"/>
    </row>
    <row r="344">
      <c r="A344" s="5"/>
      <c r="B344" s="150"/>
      <c r="C344" s="151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6"/>
      <c r="BE344" s="5"/>
      <c r="BF344" s="7"/>
      <c r="BH344" s="5"/>
      <c r="BI344" s="5"/>
      <c r="BJ344" s="5"/>
      <c r="BK344" s="5"/>
      <c r="BL344" s="5"/>
      <c r="BM344" s="5"/>
      <c r="BN344" s="5"/>
    </row>
    <row r="345">
      <c r="A345" s="5"/>
      <c r="B345" s="150"/>
      <c r="C345" s="151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6"/>
      <c r="BE345" s="5"/>
      <c r="BF345" s="7"/>
      <c r="BH345" s="5"/>
      <c r="BI345" s="5"/>
      <c r="BJ345" s="5"/>
      <c r="BK345" s="5"/>
      <c r="BL345" s="5"/>
      <c r="BM345" s="5"/>
      <c r="BN345" s="5"/>
    </row>
    <row r="346">
      <c r="A346" s="5"/>
      <c r="B346" s="150"/>
      <c r="C346" s="151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6"/>
      <c r="BE346" s="5"/>
      <c r="BF346" s="7"/>
      <c r="BH346" s="5"/>
      <c r="BI346" s="5"/>
      <c r="BJ346" s="5"/>
      <c r="BK346" s="5"/>
      <c r="BL346" s="5"/>
      <c r="BM346" s="5"/>
      <c r="BN346" s="5"/>
    </row>
    <row r="347">
      <c r="A347" s="5"/>
      <c r="B347" s="150"/>
      <c r="C347" s="151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6"/>
      <c r="BE347" s="5"/>
      <c r="BF347" s="7"/>
      <c r="BH347" s="5"/>
      <c r="BI347" s="5"/>
      <c r="BJ347" s="5"/>
      <c r="BK347" s="5"/>
      <c r="BL347" s="5"/>
      <c r="BM347" s="5"/>
      <c r="BN347" s="5"/>
    </row>
    <row r="348">
      <c r="A348" s="5"/>
      <c r="B348" s="150"/>
      <c r="C348" s="151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6"/>
      <c r="BE348" s="5"/>
      <c r="BF348" s="7"/>
      <c r="BH348" s="5"/>
      <c r="BI348" s="5"/>
      <c r="BJ348" s="5"/>
      <c r="BK348" s="5"/>
      <c r="BL348" s="5"/>
      <c r="BM348" s="5"/>
      <c r="BN348" s="5"/>
    </row>
    <row r="349">
      <c r="A349" s="5"/>
      <c r="B349" s="150"/>
      <c r="C349" s="151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6"/>
      <c r="BE349" s="5"/>
      <c r="BF349" s="7"/>
      <c r="BH349" s="5"/>
      <c r="BI349" s="5"/>
      <c r="BJ349" s="5"/>
      <c r="BK349" s="5"/>
      <c r="BL349" s="5"/>
      <c r="BM349" s="5"/>
      <c r="BN349" s="5"/>
    </row>
    <row r="350">
      <c r="A350" s="5"/>
      <c r="B350" s="150"/>
      <c r="C350" s="151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6"/>
      <c r="BE350" s="5"/>
      <c r="BF350" s="7"/>
      <c r="BH350" s="5"/>
      <c r="BI350" s="5"/>
      <c r="BJ350" s="5"/>
      <c r="BK350" s="5"/>
      <c r="BL350" s="5"/>
      <c r="BM350" s="5"/>
      <c r="BN350" s="5"/>
    </row>
    <row r="351">
      <c r="A351" s="5"/>
      <c r="B351" s="150"/>
      <c r="C351" s="151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6"/>
      <c r="BE351" s="5"/>
      <c r="BF351" s="7"/>
      <c r="BH351" s="5"/>
      <c r="BI351" s="5"/>
      <c r="BJ351" s="5"/>
      <c r="BK351" s="5"/>
      <c r="BL351" s="5"/>
      <c r="BM351" s="5"/>
      <c r="BN351" s="5"/>
    </row>
    <row r="352">
      <c r="A352" s="5"/>
      <c r="B352" s="150"/>
      <c r="C352" s="151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6"/>
      <c r="BE352" s="5"/>
      <c r="BF352" s="7"/>
      <c r="BH352" s="5"/>
      <c r="BI352" s="5"/>
      <c r="BJ352" s="5"/>
      <c r="BK352" s="5"/>
      <c r="BL352" s="5"/>
      <c r="BM352" s="5"/>
      <c r="BN352" s="5"/>
    </row>
    <row r="353">
      <c r="A353" s="5"/>
      <c r="B353" s="150"/>
      <c r="C353" s="151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6"/>
      <c r="BE353" s="5"/>
      <c r="BF353" s="7"/>
      <c r="BH353" s="5"/>
      <c r="BI353" s="5"/>
      <c r="BJ353" s="5"/>
      <c r="BK353" s="5"/>
      <c r="BL353" s="5"/>
      <c r="BM353" s="5"/>
      <c r="BN353" s="5"/>
    </row>
    <row r="354">
      <c r="A354" s="5"/>
      <c r="B354" s="150"/>
      <c r="C354" s="151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6"/>
      <c r="BE354" s="5"/>
      <c r="BF354" s="7"/>
      <c r="BH354" s="5"/>
      <c r="BI354" s="5"/>
      <c r="BJ354" s="5"/>
      <c r="BK354" s="5"/>
      <c r="BL354" s="5"/>
      <c r="BM354" s="5"/>
      <c r="BN354" s="5"/>
    </row>
    <row r="355">
      <c r="A355" s="5"/>
      <c r="B355" s="150"/>
      <c r="C355" s="151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6"/>
      <c r="BE355" s="5"/>
      <c r="BF355" s="7"/>
      <c r="BH355" s="5"/>
      <c r="BI355" s="5"/>
      <c r="BJ355" s="5"/>
      <c r="BK355" s="5"/>
      <c r="BL355" s="5"/>
      <c r="BM355" s="5"/>
      <c r="BN355" s="5"/>
    </row>
    <row r="356">
      <c r="A356" s="5"/>
      <c r="B356" s="150"/>
      <c r="C356" s="151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6"/>
      <c r="BE356" s="5"/>
      <c r="BF356" s="7"/>
      <c r="BH356" s="5"/>
      <c r="BI356" s="5"/>
      <c r="BJ356" s="5"/>
      <c r="BK356" s="5"/>
      <c r="BL356" s="5"/>
      <c r="BM356" s="5"/>
      <c r="BN356" s="5"/>
    </row>
    <row r="357">
      <c r="A357" s="5"/>
      <c r="B357" s="150"/>
      <c r="C357" s="151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6"/>
      <c r="BE357" s="5"/>
      <c r="BF357" s="7"/>
      <c r="BH357" s="5"/>
      <c r="BI357" s="5"/>
      <c r="BJ357" s="5"/>
      <c r="BK357" s="5"/>
      <c r="BL357" s="5"/>
      <c r="BM357" s="5"/>
      <c r="BN357" s="5"/>
    </row>
    <row r="358">
      <c r="A358" s="5"/>
      <c r="B358" s="150"/>
      <c r="C358" s="151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6"/>
      <c r="BE358" s="5"/>
      <c r="BF358" s="7"/>
      <c r="BH358" s="5"/>
      <c r="BI358" s="5"/>
      <c r="BJ358" s="5"/>
      <c r="BK358" s="5"/>
      <c r="BL358" s="5"/>
      <c r="BM358" s="5"/>
      <c r="BN358" s="5"/>
    </row>
    <row r="359">
      <c r="A359" s="5"/>
      <c r="B359" s="150"/>
      <c r="C359" s="151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6"/>
      <c r="BE359" s="5"/>
      <c r="BF359" s="7"/>
      <c r="BH359" s="5"/>
      <c r="BI359" s="5"/>
      <c r="BJ359" s="5"/>
      <c r="BK359" s="5"/>
      <c r="BL359" s="5"/>
      <c r="BM359" s="5"/>
      <c r="BN359" s="5"/>
    </row>
    <row r="360">
      <c r="A360" s="5"/>
      <c r="B360" s="150"/>
      <c r="C360" s="151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6"/>
      <c r="BE360" s="5"/>
      <c r="BF360" s="7"/>
      <c r="BH360" s="5"/>
      <c r="BI360" s="5"/>
      <c r="BJ360" s="5"/>
      <c r="BK360" s="5"/>
      <c r="BL360" s="5"/>
      <c r="BM360" s="5"/>
      <c r="BN360" s="5"/>
    </row>
    <row r="361">
      <c r="A361" s="5"/>
      <c r="B361" s="150"/>
      <c r="C361" s="151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6"/>
      <c r="BE361" s="5"/>
      <c r="BF361" s="7"/>
      <c r="BH361" s="5"/>
      <c r="BI361" s="5"/>
      <c r="BJ361" s="5"/>
      <c r="BK361" s="5"/>
      <c r="BL361" s="5"/>
      <c r="BM361" s="5"/>
      <c r="BN361" s="5"/>
    </row>
    <row r="362">
      <c r="A362" s="5"/>
      <c r="B362" s="150"/>
      <c r="C362" s="151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6"/>
      <c r="BE362" s="5"/>
      <c r="BF362" s="7"/>
      <c r="BH362" s="5"/>
      <c r="BI362" s="5"/>
      <c r="BJ362" s="5"/>
      <c r="BK362" s="5"/>
      <c r="BL362" s="5"/>
      <c r="BM362" s="5"/>
      <c r="BN362" s="5"/>
    </row>
    <row r="363">
      <c r="A363" s="5"/>
      <c r="B363" s="150"/>
      <c r="C363" s="151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6"/>
      <c r="BE363" s="5"/>
      <c r="BF363" s="7"/>
      <c r="BH363" s="5"/>
      <c r="BI363" s="5"/>
      <c r="BJ363" s="5"/>
      <c r="BK363" s="5"/>
      <c r="BL363" s="5"/>
      <c r="BM363" s="5"/>
      <c r="BN363" s="5"/>
    </row>
    <row r="364">
      <c r="A364" s="5"/>
      <c r="B364" s="150"/>
      <c r="C364" s="151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6"/>
      <c r="BE364" s="5"/>
      <c r="BF364" s="7"/>
      <c r="BH364" s="5"/>
      <c r="BI364" s="5"/>
      <c r="BJ364" s="5"/>
      <c r="BK364" s="5"/>
      <c r="BL364" s="5"/>
      <c r="BM364" s="5"/>
      <c r="BN364" s="5"/>
    </row>
    <row r="365">
      <c r="A365" s="5"/>
      <c r="B365" s="150"/>
      <c r="C365" s="151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6"/>
      <c r="BE365" s="5"/>
      <c r="BF365" s="7"/>
      <c r="BH365" s="5"/>
      <c r="BI365" s="5"/>
      <c r="BJ365" s="5"/>
      <c r="BK365" s="5"/>
      <c r="BL365" s="5"/>
      <c r="BM365" s="5"/>
      <c r="BN365" s="5"/>
    </row>
    <row r="366">
      <c r="A366" s="5"/>
      <c r="B366" s="150"/>
      <c r="C366" s="151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6"/>
      <c r="BE366" s="5"/>
      <c r="BF366" s="7"/>
      <c r="BH366" s="5"/>
      <c r="BI366" s="5"/>
      <c r="BJ366" s="5"/>
      <c r="BK366" s="5"/>
      <c r="BL366" s="5"/>
      <c r="BM366" s="5"/>
      <c r="BN366" s="5"/>
    </row>
    <row r="367">
      <c r="A367" s="5"/>
      <c r="B367" s="150"/>
      <c r="C367" s="151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6"/>
      <c r="BE367" s="5"/>
      <c r="BF367" s="7"/>
      <c r="BH367" s="5"/>
      <c r="BI367" s="5"/>
      <c r="BJ367" s="5"/>
      <c r="BK367" s="5"/>
      <c r="BL367" s="5"/>
      <c r="BM367" s="5"/>
      <c r="BN367" s="5"/>
    </row>
    <row r="368">
      <c r="A368" s="5"/>
      <c r="B368" s="150"/>
      <c r="C368" s="151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6"/>
      <c r="BE368" s="5"/>
      <c r="BF368" s="7"/>
      <c r="BH368" s="5"/>
      <c r="BI368" s="5"/>
      <c r="BJ368" s="5"/>
      <c r="BK368" s="5"/>
      <c r="BL368" s="5"/>
      <c r="BM368" s="5"/>
      <c r="BN368" s="5"/>
    </row>
    <row r="369">
      <c r="A369" s="5"/>
      <c r="B369" s="150"/>
      <c r="C369" s="151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6"/>
      <c r="BE369" s="5"/>
      <c r="BF369" s="7"/>
      <c r="BH369" s="5"/>
      <c r="BI369" s="5"/>
      <c r="BJ369" s="5"/>
      <c r="BK369" s="5"/>
      <c r="BL369" s="5"/>
      <c r="BM369" s="5"/>
      <c r="BN369" s="5"/>
    </row>
    <row r="370">
      <c r="A370" s="5"/>
      <c r="B370" s="150"/>
      <c r="C370" s="151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6"/>
      <c r="BE370" s="5"/>
      <c r="BF370" s="7"/>
      <c r="BH370" s="5"/>
      <c r="BI370" s="5"/>
      <c r="BJ370" s="5"/>
      <c r="BK370" s="5"/>
      <c r="BL370" s="5"/>
      <c r="BM370" s="5"/>
      <c r="BN370" s="5"/>
    </row>
    <row r="371">
      <c r="A371" s="5"/>
      <c r="B371" s="150"/>
      <c r="C371" s="151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6"/>
      <c r="BE371" s="5"/>
      <c r="BF371" s="7"/>
      <c r="BH371" s="5"/>
      <c r="BI371" s="5"/>
      <c r="BJ371" s="5"/>
      <c r="BK371" s="5"/>
      <c r="BL371" s="5"/>
      <c r="BM371" s="5"/>
      <c r="BN371" s="5"/>
    </row>
    <row r="372">
      <c r="A372" s="5"/>
      <c r="B372" s="150"/>
      <c r="C372" s="151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6"/>
      <c r="BE372" s="5"/>
      <c r="BF372" s="7"/>
      <c r="BH372" s="5"/>
      <c r="BI372" s="5"/>
      <c r="BJ372" s="5"/>
      <c r="BK372" s="5"/>
      <c r="BL372" s="5"/>
      <c r="BM372" s="5"/>
      <c r="BN372" s="5"/>
    </row>
    <row r="373">
      <c r="A373" s="5"/>
      <c r="B373" s="150"/>
      <c r="C373" s="151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6"/>
      <c r="BE373" s="5"/>
      <c r="BF373" s="7"/>
      <c r="BH373" s="5"/>
      <c r="BI373" s="5"/>
      <c r="BJ373" s="5"/>
      <c r="BK373" s="5"/>
      <c r="BL373" s="5"/>
      <c r="BM373" s="5"/>
      <c r="BN373" s="5"/>
    </row>
    <row r="374">
      <c r="A374" s="5"/>
      <c r="B374" s="150"/>
      <c r="C374" s="151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6"/>
      <c r="BE374" s="5"/>
      <c r="BF374" s="7"/>
      <c r="BH374" s="5"/>
      <c r="BI374" s="5"/>
      <c r="BJ374" s="5"/>
      <c r="BK374" s="5"/>
      <c r="BL374" s="5"/>
      <c r="BM374" s="5"/>
      <c r="BN374" s="5"/>
    </row>
    <row r="375">
      <c r="A375" s="5"/>
      <c r="B375" s="150"/>
      <c r="C375" s="151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6"/>
      <c r="BE375" s="5"/>
      <c r="BF375" s="7"/>
      <c r="BH375" s="5"/>
      <c r="BI375" s="5"/>
      <c r="BJ375" s="5"/>
      <c r="BK375" s="5"/>
      <c r="BL375" s="5"/>
      <c r="BM375" s="5"/>
      <c r="BN375" s="5"/>
    </row>
    <row r="376">
      <c r="A376" s="5"/>
      <c r="B376" s="150"/>
      <c r="C376" s="151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6"/>
      <c r="BE376" s="5"/>
      <c r="BF376" s="7"/>
      <c r="BH376" s="5"/>
      <c r="BI376" s="5"/>
      <c r="BJ376" s="5"/>
      <c r="BK376" s="5"/>
      <c r="BL376" s="5"/>
      <c r="BM376" s="5"/>
      <c r="BN376" s="5"/>
    </row>
    <row r="377">
      <c r="A377" s="5"/>
      <c r="B377" s="150"/>
      <c r="C377" s="151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6"/>
      <c r="BE377" s="5"/>
      <c r="BF377" s="7"/>
      <c r="BH377" s="5"/>
      <c r="BI377" s="5"/>
      <c r="BJ377" s="5"/>
      <c r="BK377" s="5"/>
      <c r="BL377" s="5"/>
      <c r="BM377" s="5"/>
      <c r="BN377" s="5"/>
    </row>
    <row r="378">
      <c r="A378" s="5"/>
      <c r="B378" s="150"/>
      <c r="C378" s="151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6"/>
      <c r="BE378" s="5"/>
      <c r="BF378" s="7"/>
      <c r="BH378" s="5"/>
      <c r="BI378" s="5"/>
      <c r="BJ378" s="5"/>
      <c r="BK378" s="5"/>
      <c r="BL378" s="5"/>
      <c r="BM378" s="5"/>
      <c r="BN378" s="5"/>
    </row>
    <row r="379">
      <c r="A379" s="5"/>
      <c r="B379" s="150"/>
      <c r="C379" s="151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6"/>
      <c r="BE379" s="5"/>
      <c r="BF379" s="7"/>
      <c r="BH379" s="5"/>
      <c r="BI379" s="5"/>
      <c r="BJ379" s="5"/>
      <c r="BK379" s="5"/>
      <c r="BL379" s="5"/>
      <c r="BM379" s="5"/>
      <c r="BN379" s="5"/>
    </row>
    <row r="380">
      <c r="A380" s="5"/>
      <c r="B380" s="150"/>
      <c r="C380" s="151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6"/>
      <c r="BE380" s="5"/>
      <c r="BF380" s="7"/>
      <c r="BH380" s="5"/>
      <c r="BI380" s="5"/>
      <c r="BJ380" s="5"/>
      <c r="BK380" s="5"/>
      <c r="BL380" s="5"/>
      <c r="BM380" s="5"/>
      <c r="BN380" s="5"/>
    </row>
    <row r="381">
      <c r="A381" s="5"/>
      <c r="B381" s="150"/>
      <c r="C381" s="151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6"/>
      <c r="BE381" s="5"/>
      <c r="BF381" s="7"/>
      <c r="BH381" s="5"/>
      <c r="BI381" s="5"/>
      <c r="BJ381" s="5"/>
      <c r="BK381" s="5"/>
      <c r="BL381" s="5"/>
      <c r="BM381" s="5"/>
      <c r="BN381" s="5"/>
    </row>
    <row r="382">
      <c r="A382" s="5"/>
      <c r="B382" s="150"/>
      <c r="C382" s="151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6"/>
      <c r="BE382" s="5"/>
      <c r="BF382" s="7"/>
      <c r="BH382" s="5"/>
      <c r="BI382" s="5"/>
      <c r="BJ382" s="5"/>
      <c r="BK382" s="5"/>
      <c r="BL382" s="5"/>
      <c r="BM382" s="5"/>
      <c r="BN382" s="5"/>
    </row>
    <row r="383">
      <c r="A383" s="5"/>
      <c r="B383" s="150"/>
      <c r="C383" s="151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6"/>
      <c r="BE383" s="5"/>
      <c r="BF383" s="7"/>
      <c r="BH383" s="5"/>
      <c r="BI383" s="5"/>
      <c r="BJ383" s="5"/>
      <c r="BK383" s="5"/>
      <c r="BL383" s="5"/>
      <c r="BM383" s="5"/>
      <c r="BN383" s="5"/>
    </row>
    <row r="384">
      <c r="A384" s="5"/>
      <c r="B384" s="150"/>
      <c r="C384" s="151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6"/>
      <c r="BE384" s="5"/>
      <c r="BF384" s="7"/>
      <c r="BH384" s="5"/>
      <c r="BI384" s="5"/>
      <c r="BJ384" s="5"/>
      <c r="BK384" s="5"/>
      <c r="BL384" s="5"/>
      <c r="BM384" s="5"/>
      <c r="BN384" s="5"/>
    </row>
    <row r="385">
      <c r="A385" s="5"/>
      <c r="B385" s="150"/>
      <c r="C385" s="151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6"/>
      <c r="BE385" s="5"/>
      <c r="BF385" s="7"/>
      <c r="BH385" s="5"/>
      <c r="BI385" s="5"/>
      <c r="BJ385" s="5"/>
      <c r="BK385" s="5"/>
      <c r="BL385" s="5"/>
      <c r="BM385" s="5"/>
      <c r="BN385" s="5"/>
    </row>
    <row r="386">
      <c r="A386" s="5"/>
      <c r="B386" s="150"/>
      <c r="C386" s="151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6"/>
      <c r="BE386" s="5"/>
      <c r="BF386" s="7"/>
      <c r="BH386" s="5"/>
      <c r="BI386" s="5"/>
      <c r="BJ386" s="5"/>
      <c r="BK386" s="5"/>
      <c r="BL386" s="5"/>
      <c r="BM386" s="5"/>
      <c r="BN386" s="5"/>
    </row>
    <row r="387">
      <c r="A387" s="5"/>
      <c r="B387" s="150"/>
      <c r="C387" s="151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6"/>
      <c r="BE387" s="5"/>
      <c r="BF387" s="7"/>
      <c r="BH387" s="5"/>
      <c r="BI387" s="5"/>
      <c r="BJ387" s="5"/>
      <c r="BK387" s="5"/>
      <c r="BL387" s="5"/>
      <c r="BM387" s="5"/>
      <c r="BN387" s="5"/>
    </row>
    <row r="388">
      <c r="A388" s="5"/>
      <c r="B388" s="150"/>
      <c r="C388" s="151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6"/>
      <c r="BE388" s="5"/>
      <c r="BF388" s="7"/>
      <c r="BH388" s="5"/>
      <c r="BI388" s="5"/>
      <c r="BJ388" s="5"/>
      <c r="BK388" s="5"/>
      <c r="BL388" s="5"/>
      <c r="BM388" s="5"/>
      <c r="BN388" s="5"/>
    </row>
    <row r="389">
      <c r="A389" s="5"/>
      <c r="B389" s="150"/>
      <c r="C389" s="151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6"/>
      <c r="BE389" s="5"/>
      <c r="BF389" s="7"/>
      <c r="BH389" s="5"/>
      <c r="BI389" s="5"/>
      <c r="BJ389" s="5"/>
      <c r="BK389" s="5"/>
      <c r="BL389" s="5"/>
      <c r="BM389" s="5"/>
      <c r="BN389" s="5"/>
    </row>
    <row r="390">
      <c r="A390" s="5"/>
      <c r="B390" s="150"/>
      <c r="C390" s="151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6"/>
      <c r="BE390" s="5"/>
      <c r="BF390" s="7"/>
      <c r="BH390" s="5"/>
      <c r="BI390" s="5"/>
      <c r="BJ390" s="5"/>
      <c r="BK390" s="5"/>
      <c r="BL390" s="5"/>
      <c r="BM390" s="5"/>
      <c r="BN390" s="5"/>
    </row>
    <row r="391">
      <c r="A391" s="5"/>
      <c r="B391" s="150"/>
      <c r="C391" s="151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6"/>
      <c r="BE391" s="5"/>
      <c r="BF391" s="7"/>
      <c r="BH391" s="5"/>
      <c r="BI391" s="5"/>
      <c r="BJ391" s="5"/>
      <c r="BK391" s="5"/>
      <c r="BL391" s="5"/>
      <c r="BM391" s="5"/>
      <c r="BN391" s="5"/>
    </row>
    <row r="392">
      <c r="A392" s="5"/>
      <c r="B392" s="150"/>
      <c r="C392" s="151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6"/>
      <c r="BE392" s="5"/>
      <c r="BF392" s="7"/>
      <c r="BH392" s="5"/>
      <c r="BI392" s="5"/>
      <c r="BJ392" s="5"/>
      <c r="BK392" s="5"/>
      <c r="BL392" s="5"/>
      <c r="BM392" s="5"/>
      <c r="BN392" s="5"/>
    </row>
    <row r="393">
      <c r="A393" s="5"/>
      <c r="B393" s="150"/>
      <c r="C393" s="151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6"/>
      <c r="BE393" s="5"/>
      <c r="BF393" s="7"/>
      <c r="BH393" s="5"/>
      <c r="BI393" s="5"/>
      <c r="BJ393" s="5"/>
      <c r="BK393" s="5"/>
      <c r="BL393" s="5"/>
      <c r="BM393" s="5"/>
      <c r="BN393" s="5"/>
    </row>
    <row r="394">
      <c r="A394" s="5"/>
      <c r="B394" s="150"/>
      <c r="C394" s="151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6"/>
      <c r="BE394" s="5"/>
      <c r="BF394" s="7"/>
      <c r="BH394" s="5"/>
      <c r="BI394" s="5"/>
      <c r="BJ394" s="5"/>
      <c r="BK394" s="5"/>
      <c r="BL394" s="5"/>
      <c r="BM394" s="5"/>
      <c r="BN394" s="5"/>
    </row>
    <row r="395">
      <c r="A395" s="5"/>
      <c r="B395" s="150"/>
      <c r="C395" s="151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6"/>
      <c r="BE395" s="5"/>
      <c r="BF395" s="7"/>
      <c r="BH395" s="5"/>
      <c r="BI395" s="5"/>
      <c r="BJ395" s="5"/>
      <c r="BK395" s="5"/>
      <c r="BL395" s="5"/>
      <c r="BM395" s="5"/>
      <c r="BN395" s="5"/>
    </row>
    <row r="396">
      <c r="A396" s="5"/>
      <c r="B396" s="150"/>
      <c r="C396" s="151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6"/>
      <c r="BE396" s="5"/>
      <c r="BF396" s="7"/>
      <c r="BH396" s="5"/>
      <c r="BI396" s="5"/>
      <c r="BJ396" s="5"/>
      <c r="BK396" s="5"/>
      <c r="BL396" s="5"/>
      <c r="BM396" s="5"/>
      <c r="BN396" s="5"/>
    </row>
    <row r="397">
      <c r="A397" s="5"/>
      <c r="B397" s="150"/>
      <c r="C397" s="151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6"/>
      <c r="BE397" s="5"/>
      <c r="BF397" s="7"/>
      <c r="BH397" s="5"/>
      <c r="BI397" s="5"/>
      <c r="BJ397" s="5"/>
      <c r="BK397" s="5"/>
      <c r="BL397" s="5"/>
      <c r="BM397" s="5"/>
      <c r="BN397" s="5"/>
    </row>
    <row r="398">
      <c r="A398" s="5"/>
      <c r="B398" s="150"/>
      <c r="C398" s="151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6"/>
      <c r="BE398" s="5"/>
      <c r="BF398" s="7"/>
      <c r="BH398" s="5"/>
      <c r="BI398" s="5"/>
      <c r="BJ398" s="5"/>
      <c r="BK398" s="5"/>
      <c r="BL398" s="5"/>
      <c r="BM398" s="5"/>
      <c r="BN398" s="5"/>
    </row>
    <row r="399">
      <c r="A399" s="5"/>
      <c r="B399" s="150"/>
      <c r="C399" s="151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6"/>
      <c r="BE399" s="5"/>
      <c r="BF399" s="7"/>
      <c r="BH399" s="5"/>
      <c r="BI399" s="5"/>
      <c r="BJ399" s="5"/>
      <c r="BK399" s="5"/>
      <c r="BL399" s="5"/>
      <c r="BM399" s="5"/>
      <c r="BN399" s="5"/>
    </row>
    <row r="400">
      <c r="A400" s="5"/>
      <c r="B400" s="150"/>
      <c r="C400" s="151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6"/>
      <c r="BE400" s="5"/>
      <c r="BF400" s="7"/>
      <c r="BH400" s="5"/>
      <c r="BI400" s="5"/>
      <c r="BJ400" s="5"/>
      <c r="BK400" s="5"/>
      <c r="BL400" s="5"/>
      <c r="BM400" s="5"/>
      <c r="BN400" s="5"/>
    </row>
    <row r="401">
      <c r="A401" s="5"/>
      <c r="B401" s="150"/>
      <c r="C401" s="151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6"/>
      <c r="BE401" s="5"/>
      <c r="BF401" s="7"/>
      <c r="BH401" s="5"/>
      <c r="BI401" s="5"/>
      <c r="BJ401" s="5"/>
      <c r="BK401" s="5"/>
      <c r="BL401" s="5"/>
      <c r="BM401" s="5"/>
      <c r="BN401" s="5"/>
    </row>
    <row r="402">
      <c r="A402" s="5"/>
      <c r="B402" s="150"/>
      <c r="C402" s="151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6"/>
      <c r="BE402" s="5"/>
      <c r="BF402" s="7"/>
      <c r="BH402" s="5"/>
      <c r="BI402" s="5"/>
      <c r="BJ402" s="5"/>
      <c r="BK402" s="5"/>
      <c r="BL402" s="5"/>
      <c r="BM402" s="5"/>
      <c r="BN402" s="5"/>
    </row>
    <row r="403">
      <c r="A403" s="5"/>
      <c r="B403" s="150"/>
      <c r="C403" s="151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6"/>
      <c r="BE403" s="5"/>
      <c r="BF403" s="7"/>
      <c r="BH403" s="5"/>
      <c r="BI403" s="5"/>
      <c r="BJ403" s="5"/>
      <c r="BK403" s="5"/>
      <c r="BL403" s="5"/>
      <c r="BM403" s="5"/>
      <c r="BN403" s="5"/>
    </row>
    <row r="404">
      <c r="A404" s="5"/>
      <c r="B404" s="150"/>
      <c r="C404" s="151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6"/>
      <c r="BE404" s="5"/>
      <c r="BF404" s="7"/>
      <c r="BH404" s="5"/>
      <c r="BI404" s="5"/>
      <c r="BJ404" s="5"/>
      <c r="BK404" s="5"/>
      <c r="BL404" s="5"/>
      <c r="BM404" s="5"/>
      <c r="BN404" s="5"/>
    </row>
    <row r="405">
      <c r="A405" s="5"/>
      <c r="B405" s="150"/>
      <c r="C405" s="151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6"/>
      <c r="BE405" s="5"/>
      <c r="BF405" s="7"/>
      <c r="BH405" s="5"/>
      <c r="BI405" s="5"/>
      <c r="BJ405" s="5"/>
      <c r="BK405" s="5"/>
      <c r="BL405" s="5"/>
      <c r="BM405" s="5"/>
      <c r="BN405" s="5"/>
    </row>
    <row r="406">
      <c r="A406" s="5"/>
      <c r="B406" s="150"/>
      <c r="C406" s="151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6"/>
      <c r="BE406" s="5"/>
      <c r="BF406" s="7"/>
      <c r="BH406" s="5"/>
      <c r="BI406" s="5"/>
      <c r="BJ406" s="5"/>
      <c r="BK406" s="5"/>
      <c r="BL406" s="5"/>
      <c r="BM406" s="5"/>
      <c r="BN406" s="5"/>
    </row>
    <row r="407">
      <c r="A407" s="5"/>
      <c r="B407" s="150"/>
      <c r="C407" s="151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6"/>
      <c r="BE407" s="5"/>
      <c r="BF407" s="7"/>
      <c r="BH407" s="5"/>
      <c r="BI407" s="5"/>
      <c r="BJ407" s="5"/>
      <c r="BK407" s="5"/>
      <c r="BL407" s="5"/>
      <c r="BM407" s="5"/>
      <c r="BN407" s="5"/>
    </row>
    <row r="408">
      <c r="A408" s="5"/>
      <c r="B408" s="150"/>
      <c r="C408" s="151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6"/>
      <c r="BE408" s="5"/>
      <c r="BF408" s="7"/>
      <c r="BH408" s="5"/>
      <c r="BI408" s="5"/>
      <c r="BJ408" s="5"/>
      <c r="BK408" s="5"/>
      <c r="BL408" s="5"/>
      <c r="BM408" s="5"/>
      <c r="BN408" s="5"/>
    </row>
    <row r="409">
      <c r="A409" s="5"/>
      <c r="B409" s="150"/>
      <c r="C409" s="151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6"/>
      <c r="BE409" s="5"/>
      <c r="BF409" s="7"/>
      <c r="BH409" s="5"/>
      <c r="BI409" s="5"/>
      <c r="BJ409" s="5"/>
      <c r="BK409" s="5"/>
      <c r="BL409" s="5"/>
      <c r="BM409" s="5"/>
      <c r="BN409" s="5"/>
    </row>
    <row r="410">
      <c r="A410" s="5"/>
      <c r="B410" s="150"/>
      <c r="C410" s="151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6"/>
      <c r="BE410" s="5"/>
      <c r="BF410" s="7"/>
      <c r="BH410" s="5"/>
      <c r="BI410" s="5"/>
      <c r="BJ410" s="5"/>
      <c r="BK410" s="5"/>
      <c r="BL410" s="5"/>
      <c r="BM410" s="5"/>
      <c r="BN410" s="5"/>
    </row>
    <row r="411">
      <c r="A411" s="5"/>
      <c r="B411" s="150"/>
      <c r="C411" s="151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6"/>
      <c r="BE411" s="5"/>
      <c r="BF411" s="7"/>
      <c r="BH411" s="5"/>
      <c r="BI411" s="5"/>
      <c r="BJ411" s="5"/>
      <c r="BK411" s="5"/>
      <c r="BL411" s="5"/>
      <c r="BM411" s="5"/>
      <c r="BN411" s="5"/>
    </row>
    <row r="412">
      <c r="A412" s="5"/>
      <c r="B412" s="150"/>
      <c r="C412" s="151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6"/>
      <c r="BE412" s="5"/>
      <c r="BF412" s="7"/>
      <c r="BH412" s="5"/>
      <c r="BI412" s="5"/>
      <c r="BJ412" s="5"/>
      <c r="BK412" s="5"/>
      <c r="BL412" s="5"/>
      <c r="BM412" s="5"/>
      <c r="BN412" s="5"/>
    </row>
    <row r="413">
      <c r="A413" s="5"/>
      <c r="B413" s="150"/>
      <c r="C413" s="151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6"/>
      <c r="BE413" s="5"/>
      <c r="BF413" s="7"/>
      <c r="BH413" s="5"/>
      <c r="BI413" s="5"/>
      <c r="BJ413" s="5"/>
      <c r="BK413" s="5"/>
      <c r="BL413" s="5"/>
      <c r="BM413" s="5"/>
      <c r="BN413" s="5"/>
    </row>
    <row r="414">
      <c r="A414" s="5"/>
      <c r="B414" s="150"/>
      <c r="C414" s="151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6"/>
      <c r="BE414" s="5"/>
      <c r="BF414" s="7"/>
      <c r="BH414" s="5"/>
      <c r="BI414" s="5"/>
      <c r="BJ414" s="5"/>
      <c r="BK414" s="5"/>
      <c r="BL414" s="5"/>
      <c r="BM414" s="5"/>
      <c r="BN414" s="5"/>
    </row>
    <row r="415">
      <c r="A415" s="5"/>
      <c r="B415" s="150"/>
      <c r="C415" s="151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6"/>
      <c r="BE415" s="5"/>
      <c r="BF415" s="7"/>
      <c r="BH415" s="5"/>
      <c r="BI415" s="5"/>
      <c r="BJ415" s="5"/>
      <c r="BK415" s="5"/>
      <c r="BL415" s="5"/>
      <c r="BM415" s="5"/>
      <c r="BN415" s="5"/>
    </row>
    <row r="416">
      <c r="A416" s="5"/>
      <c r="B416" s="150"/>
      <c r="C416" s="151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6"/>
      <c r="BE416" s="5"/>
      <c r="BF416" s="7"/>
      <c r="BH416" s="5"/>
      <c r="BI416" s="5"/>
      <c r="BJ416" s="5"/>
      <c r="BK416" s="5"/>
      <c r="BL416" s="5"/>
      <c r="BM416" s="5"/>
      <c r="BN416" s="5"/>
    </row>
    <row r="417">
      <c r="A417" s="5"/>
      <c r="B417" s="150"/>
      <c r="C417" s="151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6"/>
      <c r="BE417" s="5"/>
      <c r="BF417" s="7"/>
      <c r="BH417" s="5"/>
      <c r="BI417" s="5"/>
      <c r="BJ417" s="5"/>
      <c r="BK417" s="5"/>
      <c r="BL417" s="5"/>
      <c r="BM417" s="5"/>
      <c r="BN417" s="5"/>
    </row>
    <row r="418">
      <c r="A418" s="5"/>
      <c r="B418" s="150"/>
      <c r="C418" s="151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6"/>
      <c r="BE418" s="5"/>
      <c r="BF418" s="7"/>
      <c r="BH418" s="5"/>
      <c r="BI418" s="5"/>
      <c r="BJ418" s="5"/>
      <c r="BK418" s="5"/>
      <c r="BL418" s="5"/>
      <c r="BM418" s="5"/>
      <c r="BN418" s="5"/>
    </row>
    <row r="419">
      <c r="A419" s="5"/>
      <c r="B419" s="150"/>
      <c r="C419" s="151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6"/>
      <c r="BE419" s="5"/>
      <c r="BF419" s="7"/>
      <c r="BH419" s="5"/>
      <c r="BI419" s="5"/>
      <c r="BJ419" s="5"/>
      <c r="BK419" s="5"/>
      <c r="BL419" s="5"/>
      <c r="BM419" s="5"/>
      <c r="BN419" s="5"/>
    </row>
    <row r="420">
      <c r="A420" s="5"/>
      <c r="B420" s="150"/>
      <c r="C420" s="151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6"/>
      <c r="BE420" s="5"/>
      <c r="BF420" s="7"/>
      <c r="BH420" s="5"/>
      <c r="BI420" s="5"/>
      <c r="BJ420" s="5"/>
      <c r="BK420" s="5"/>
      <c r="BL420" s="5"/>
      <c r="BM420" s="5"/>
      <c r="BN420" s="5"/>
    </row>
    <row r="421">
      <c r="A421" s="5"/>
      <c r="B421" s="150"/>
      <c r="C421" s="151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6"/>
      <c r="BE421" s="5"/>
      <c r="BF421" s="7"/>
      <c r="BH421" s="5"/>
      <c r="BI421" s="5"/>
      <c r="BJ421" s="5"/>
      <c r="BK421" s="5"/>
      <c r="BL421" s="5"/>
      <c r="BM421" s="5"/>
      <c r="BN421" s="5"/>
    </row>
    <row r="422">
      <c r="A422" s="5"/>
      <c r="B422" s="150"/>
      <c r="C422" s="151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6"/>
      <c r="BE422" s="5"/>
      <c r="BF422" s="7"/>
      <c r="BH422" s="5"/>
      <c r="BI422" s="5"/>
      <c r="BJ422" s="5"/>
      <c r="BK422" s="5"/>
      <c r="BL422" s="5"/>
      <c r="BM422" s="5"/>
      <c r="BN422" s="5"/>
    </row>
    <row r="423">
      <c r="A423" s="5"/>
      <c r="B423" s="150"/>
      <c r="C423" s="151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6"/>
      <c r="BE423" s="5"/>
      <c r="BF423" s="7"/>
      <c r="BH423" s="5"/>
      <c r="BI423" s="5"/>
      <c r="BJ423" s="5"/>
      <c r="BK423" s="5"/>
      <c r="BL423" s="5"/>
      <c r="BM423" s="5"/>
      <c r="BN423" s="5"/>
    </row>
    <row r="424">
      <c r="A424" s="5"/>
      <c r="B424" s="150"/>
      <c r="C424" s="151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6"/>
      <c r="BE424" s="5"/>
      <c r="BF424" s="7"/>
      <c r="BH424" s="5"/>
      <c r="BI424" s="5"/>
      <c r="BJ424" s="5"/>
      <c r="BK424" s="5"/>
      <c r="BL424" s="5"/>
      <c r="BM424" s="5"/>
      <c r="BN424" s="5"/>
    </row>
    <row r="425">
      <c r="A425" s="5"/>
      <c r="B425" s="150"/>
      <c r="C425" s="151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6"/>
      <c r="BE425" s="5"/>
      <c r="BF425" s="7"/>
      <c r="BH425" s="5"/>
      <c r="BI425" s="5"/>
      <c r="BJ425" s="5"/>
      <c r="BK425" s="5"/>
      <c r="BL425" s="5"/>
      <c r="BM425" s="5"/>
      <c r="BN425" s="5"/>
    </row>
    <row r="426">
      <c r="A426" s="5"/>
      <c r="B426" s="150"/>
      <c r="C426" s="151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6"/>
      <c r="BE426" s="5"/>
      <c r="BF426" s="7"/>
      <c r="BH426" s="5"/>
      <c r="BI426" s="5"/>
      <c r="BJ426" s="5"/>
      <c r="BK426" s="5"/>
      <c r="BL426" s="5"/>
      <c r="BM426" s="5"/>
      <c r="BN426" s="5"/>
    </row>
    <row r="427">
      <c r="A427" s="5"/>
      <c r="B427" s="150"/>
      <c r="C427" s="151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6"/>
      <c r="BE427" s="5"/>
      <c r="BF427" s="7"/>
      <c r="BH427" s="5"/>
      <c r="BI427" s="5"/>
      <c r="BJ427" s="5"/>
      <c r="BK427" s="5"/>
      <c r="BL427" s="5"/>
      <c r="BM427" s="5"/>
      <c r="BN427" s="5"/>
    </row>
    <row r="428">
      <c r="A428" s="5"/>
      <c r="B428" s="150"/>
      <c r="C428" s="151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6"/>
      <c r="BE428" s="5"/>
      <c r="BF428" s="7"/>
      <c r="BH428" s="5"/>
      <c r="BI428" s="5"/>
      <c r="BJ428" s="5"/>
      <c r="BK428" s="5"/>
      <c r="BL428" s="5"/>
      <c r="BM428" s="5"/>
      <c r="BN428" s="5"/>
    </row>
    <row r="429">
      <c r="A429" s="5"/>
      <c r="B429" s="150"/>
      <c r="C429" s="151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6"/>
      <c r="BE429" s="5"/>
      <c r="BF429" s="7"/>
      <c r="BH429" s="5"/>
      <c r="BI429" s="5"/>
      <c r="BJ429" s="5"/>
      <c r="BK429" s="5"/>
      <c r="BL429" s="5"/>
      <c r="BM429" s="5"/>
      <c r="BN429" s="5"/>
    </row>
    <row r="430">
      <c r="A430" s="5"/>
      <c r="B430" s="150"/>
      <c r="C430" s="151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6"/>
      <c r="BE430" s="5"/>
      <c r="BF430" s="7"/>
      <c r="BH430" s="5"/>
      <c r="BI430" s="5"/>
      <c r="BJ430" s="5"/>
      <c r="BK430" s="5"/>
      <c r="BL430" s="5"/>
      <c r="BM430" s="5"/>
      <c r="BN430" s="5"/>
    </row>
    <row r="431">
      <c r="A431" s="5"/>
      <c r="B431" s="150"/>
      <c r="C431" s="151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6"/>
      <c r="BE431" s="5"/>
      <c r="BF431" s="7"/>
      <c r="BH431" s="5"/>
      <c r="BI431" s="5"/>
      <c r="BJ431" s="5"/>
      <c r="BK431" s="5"/>
      <c r="BL431" s="5"/>
      <c r="BM431" s="5"/>
      <c r="BN431" s="5"/>
    </row>
    <row r="432">
      <c r="A432" s="5"/>
      <c r="B432" s="150"/>
      <c r="C432" s="151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6"/>
      <c r="BE432" s="5"/>
      <c r="BF432" s="7"/>
      <c r="BH432" s="5"/>
      <c r="BI432" s="5"/>
      <c r="BJ432" s="5"/>
      <c r="BK432" s="5"/>
      <c r="BL432" s="5"/>
      <c r="BM432" s="5"/>
      <c r="BN432" s="5"/>
    </row>
    <row r="433">
      <c r="A433" s="5"/>
      <c r="B433" s="150"/>
      <c r="C433" s="151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6"/>
      <c r="BE433" s="5"/>
      <c r="BF433" s="7"/>
      <c r="BH433" s="5"/>
      <c r="BI433" s="5"/>
      <c r="BJ433" s="5"/>
      <c r="BK433" s="5"/>
      <c r="BL433" s="5"/>
      <c r="BM433" s="5"/>
      <c r="BN433" s="5"/>
    </row>
    <row r="434">
      <c r="A434" s="5"/>
      <c r="B434" s="150"/>
      <c r="C434" s="151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6"/>
      <c r="BE434" s="5"/>
      <c r="BF434" s="7"/>
      <c r="BH434" s="5"/>
      <c r="BI434" s="5"/>
      <c r="BJ434" s="5"/>
      <c r="BK434" s="5"/>
      <c r="BL434" s="5"/>
      <c r="BM434" s="5"/>
      <c r="BN434" s="5"/>
    </row>
    <row r="435">
      <c r="A435" s="5"/>
      <c r="B435" s="150"/>
      <c r="C435" s="151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6"/>
      <c r="BE435" s="5"/>
      <c r="BF435" s="7"/>
      <c r="BH435" s="5"/>
      <c r="BI435" s="5"/>
      <c r="BJ435" s="5"/>
      <c r="BK435" s="5"/>
      <c r="BL435" s="5"/>
      <c r="BM435" s="5"/>
      <c r="BN435" s="5"/>
    </row>
    <row r="436">
      <c r="A436" s="5"/>
      <c r="B436" s="150"/>
      <c r="C436" s="151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6"/>
      <c r="BE436" s="5"/>
      <c r="BF436" s="7"/>
      <c r="BH436" s="5"/>
      <c r="BI436" s="5"/>
      <c r="BJ436" s="5"/>
      <c r="BK436" s="5"/>
      <c r="BL436" s="5"/>
      <c r="BM436" s="5"/>
      <c r="BN436" s="5"/>
    </row>
    <row r="437">
      <c r="A437" s="5"/>
      <c r="B437" s="150"/>
      <c r="C437" s="151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6"/>
      <c r="BE437" s="5"/>
      <c r="BF437" s="7"/>
      <c r="BH437" s="5"/>
      <c r="BI437" s="5"/>
      <c r="BJ437" s="5"/>
      <c r="BK437" s="5"/>
      <c r="BL437" s="5"/>
      <c r="BM437" s="5"/>
      <c r="BN437" s="5"/>
    </row>
    <row r="438">
      <c r="A438" s="5"/>
      <c r="B438" s="150"/>
      <c r="C438" s="151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6"/>
      <c r="BE438" s="5"/>
      <c r="BF438" s="7"/>
      <c r="BH438" s="5"/>
      <c r="BI438" s="5"/>
      <c r="BJ438" s="5"/>
      <c r="BK438" s="5"/>
      <c r="BL438" s="5"/>
      <c r="BM438" s="5"/>
      <c r="BN438" s="5"/>
    </row>
    <row r="439">
      <c r="A439" s="5"/>
      <c r="B439" s="150"/>
      <c r="C439" s="151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6"/>
      <c r="BE439" s="5"/>
      <c r="BF439" s="7"/>
      <c r="BH439" s="5"/>
      <c r="BI439" s="5"/>
      <c r="BJ439" s="5"/>
      <c r="BK439" s="5"/>
      <c r="BL439" s="5"/>
      <c r="BM439" s="5"/>
      <c r="BN439" s="5"/>
    </row>
    <row r="440">
      <c r="A440" s="5"/>
      <c r="B440" s="150"/>
      <c r="C440" s="151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6"/>
      <c r="BE440" s="5"/>
      <c r="BF440" s="7"/>
      <c r="BH440" s="5"/>
      <c r="BI440" s="5"/>
      <c r="BJ440" s="5"/>
      <c r="BK440" s="5"/>
      <c r="BL440" s="5"/>
      <c r="BM440" s="5"/>
      <c r="BN440" s="5"/>
    </row>
    <row r="441">
      <c r="A441" s="5"/>
      <c r="B441" s="150"/>
      <c r="C441" s="151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6"/>
      <c r="BE441" s="5"/>
      <c r="BF441" s="7"/>
      <c r="BH441" s="5"/>
      <c r="BI441" s="5"/>
      <c r="BJ441" s="5"/>
      <c r="BK441" s="5"/>
      <c r="BL441" s="5"/>
      <c r="BM441" s="5"/>
      <c r="BN441" s="5"/>
    </row>
    <row r="442">
      <c r="A442" s="5"/>
      <c r="B442" s="150"/>
      <c r="C442" s="151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6"/>
      <c r="BE442" s="5"/>
      <c r="BF442" s="7"/>
      <c r="BH442" s="5"/>
      <c r="BI442" s="5"/>
      <c r="BJ442" s="5"/>
      <c r="BK442" s="5"/>
      <c r="BL442" s="5"/>
      <c r="BM442" s="5"/>
      <c r="BN442" s="5"/>
    </row>
    <row r="443">
      <c r="A443" s="5"/>
      <c r="B443" s="150"/>
      <c r="C443" s="151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6"/>
      <c r="BE443" s="5"/>
      <c r="BF443" s="7"/>
      <c r="BH443" s="5"/>
      <c r="BI443" s="5"/>
      <c r="BJ443" s="5"/>
      <c r="BK443" s="5"/>
      <c r="BL443" s="5"/>
      <c r="BM443" s="5"/>
      <c r="BN443" s="5"/>
    </row>
    <row r="444">
      <c r="A444" s="5"/>
      <c r="B444" s="150"/>
      <c r="C444" s="151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6"/>
      <c r="BE444" s="5"/>
      <c r="BF444" s="7"/>
      <c r="BH444" s="5"/>
      <c r="BI444" s="5"/>
      <c r="BJ444" s="5"/>
      <c r="BK444" s="5"/>
      <c r="BL444" s="5"/>
      <c r="BM444" s="5"/>
      <c r="BN444" s="5"/>
    </row>
    <row r="445">
      <c r="A445" s="5"/>
      <c r="B445" s="150"/>
      <c r="C445" s="151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6"/>
      <c r="BE445" s="5"/>
      <c r="BF445" s="7"/>
      <c r="BH445" s="5"/>
      <c r="BI445" s="5"/>
      <c r="BJ445" s="5"/>
      <c r="BK445" s="5"/>
      <c r="BL445" s="5"/>
      <c r="BM445" s="5"/>
      <c r="BN445" s="5"/>
    </row>
    <row r="446">
      <c r="A446" s="5"/>
      <c r="B446" s="150"/>
      <c r="C446" s="151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6"/>
      <c r="BE446" s="5"/>
      <c r="BF446" s="7"/>
      <c r="BH446" s="5"/>
      <c r="BI446" s="5"/>
      <c r="BJ446" s="5"/>
      <c r="BK446" s="5"/>
      <c r="BL446" s="5"/>
      <c r="BM446" s="5"/>
      <c r="BN446" s="5"/>
    </row>
    <row r="447">
      <c r="A447" s="5"/>
      <c r="B447" s="150"/>
      <c r="C447" s="151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6"/>
      <c r="BE447" s="5"/>
      <c r="BF447" s="7"/>
      <c r="BH447" s="5"/>
      <c r="BI447" s="5"/>
      <c r="BJ447" s="5"/>
      <c r="BK447" s="5"/>
      <c r="BL447" s="5"/>
      <c r="BM447" s="5"/>
      <c r="BN447" s="5"/>
    </row>
    <row r="448">
      <c r="A448" s="5"/>
      <c r="B448" s="150"/>
      <c r="C448" s="151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6"/>
      <c r="BE448" s="5"/>
      <c r="BF448" s="7"/>
      <c r="BH448" s="5"/>
      <c r="BI448" s="5"/>
      <c r="BJ448" s="5"/>
      <c r="BK448" s="5"/>
      <c r="BL448" s="5"/>
      <c r="BM448" s="5"/>
      <c r="BN448" s="5"/>
    </row>
    <row r="449">
      <c r="A449" s="5"/>
      <c r="B449" s="150"/>
      <c r="C449" s="151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6"/>
      <c r="BE449" s="5"/>
      <c r="BF449" s="7"/>
      <c r="BH449" s="5"/>
      <c r="BI449" s="5"/>
      <c r="BJ449" s="5"/>
      <c r="BK449" s="5"/>
      <c r="BL449" s="5"/>
      <c r="BM449" s="5"/>
      <c r="BN449" s="5"/>
    </row>
    <row r="450">
      <c r="A450" s="5"/>
      <c r="B450" s="150"/>
      <c r="C450" s="151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6"/>
      <c r="BE450" s="5"/>
      <c r="BF450" s="7"/>
      <c r="BH450" s="5"/>
      <c r="BI450" s="5"/>
      <c r="BJ450" s="5"/>
      <c r="BK450" s="5"/>
      <c r="BL450" s="5"/>
      <c r="BM450" s="5"/>
      <c r="BN450" s="5"/>
    </row>
    <row r="451">
      <c r="A451" s="5"/>
      <c r="B451" s="150"/>
      <c r="C451" s="151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6"/>
      <c r="BE451" s="5"/>
      <c r="BF451" s="7"/>
      <c r="BH451" s="5"/>
      <c r="BI451" s="5"/>
      <c r="BJ451" s="5"/>
      <c r="BK451" s="5"/>
      <c r="BL451" s="5"/>
      <c r="BM451" s="5"/>
      <c r="BN451" s="5"/>
    </row>
    <row r="452">
      <c r="A452" s="5"/>
      <c r="B452" s="150"/>
      <c r="C452" s="151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6"/>
      <c r="BE452" s="5"/>
      <c r="BF452" s="7"/>
      <c r="BH452" s="5"/>
      <c r="BI452" s="5"/>
      <c r="BJ452" s="5"/>
      <c r="BK452" s="5"/>
      <c r="BL452" s="5"/>
      <c r="BM452" s="5"/>
      <c r="BN452" s="5"/>
    </row>
    <row r="453">
      <c r="A453" s="5"/>
      <c r="B453" s="150"/>
      <c r="C453" s="151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6"/>
      <c r="BE453" s="5"/>
      <c r="BF453" s="7"/>
      <c r="BH453" s="5"/>
      <c r="BI453" s="5"/>
      <c r="BJ453" s="5"/>
      <c r="BK453" s="5"/>
      <c r="BL453" s="5"/>
      <c r="BM453" s="5"/>
      <c r="BN453" s="5"/>
    </row>
    <row r="454">
      <c r="A454" s="5"/>
      <c r="B454" s="150"/>
      <c r="C454" s="151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6"/>
      <c r="BE454" s="5"/>
      <c r="BF454" s="7"/>
      <c r="BH454" s="5"/>
      <c r="BI454" s="5"/>
      <c r="BJ454" s="5"/>
      <c r="BK454" s="5"/>
      <c r="BL454" s="5"/>
      <c r="BM454" s="5"/>
      <c r="BN454" s="5"/>
    </row>
    <row r="455">
      <c r="A455" s="5"/>
      <c r="B455" s="150"/>
      <c r="C455" s="151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6"/>
      <c r="BE455" s="5"/>
      <c r="BF455" s="7"/>
      <c r="BH455" s="5"/>
      <c r="BI455" s="5"/>
      <c r="BJ455" s="5"/>
      <c r="BK455" s="5"/>
      <c r="BL455" s="5"/>
      <c r="BM455" s="5"/>
      <c r="BN455" s="5"/>
    </row>
    <row r="456">
      <c r="A456" s="5"/>
      <c r="B456" s="150"/>
      <c r="C456" s="151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6"/>
      <c r="BE456" s="5"/>
      <c r="BF456" s="7"/>
      <c r="BH456" s="5"/>
      <c r="BI456" s="5"/>
      <c r="BJ456" s="5"/>
      <c r="BK456" s="5"/>
      <c r="BL456" s="5"/>
      <c r="BM456" s="5"/>
      <c r="BN456" s="5"/>
    </row>
    <row r="457">
      <c r="A457" s="5"/>
      <c r="B457" s="150"/>
      <c r="C457" s="151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6"/>
      <c r="BE457" s="5"/>
      <c r="BF457" s="7"/>
      <c r="BH457" s="5"/>
      <c r="BI457" s="5"/>
      <c r="BJ457" s="5"/>
      <c r="BK457" s="5"/>
      <c r="BL457" s="5"/>
      <c r="BM457" s="5"/>
      <c r="BN457" s="5"/>
    </row>
    <row r="458">
      <c r="A458" s="5"/>
      <c r="B458" s="150"/>
      <c r="C458" s="151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6"/>
      <c r="BE458" s="5"/>
      <c r="BF458" s="7"/>
      <c r="BH458" s="5"/>
      <c r="BI458" s="5"/>
      <c r="BJ458" s="5"/>
      <c r="BK458" s="5"/>
      <c r="BL458" s="5"/>
      <c r="BM458" s="5"/>
      <c r="BN458" s="5"/>
    </row>
    <row r="459">
      <c r="A459" s="5"/>
      <c r="B459" s="150"/>
      <c r="C459" s="151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6"/>
      <c r="BE459" s="5"/>
      <c r="BF459" s="7"/>
      <c r="BH459" s="5"/>
      <c r="BI459" s="5"/>
      <c r="BJ459" s="5"/>
      <c r="BK459" s="5"/>
      <c r="BL459" s="5"/>
      <c r="BM459" s="5"/>
      <c r="BN459" s="5"/>
    </row>
    <row r="460">
      <c r="A460" s="5"/>
      <c r="B460" s="150"/>
      <c r="C460" s="151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6"/>
      <c r="BE460" s="5"/>
      <c r="BF460" s="7"/>
      <c r="BH460" s="5"/>
      <c r="BI460" s="5"/>
      <c r="BJ460" s="5"/>
      <c r="BK460" s="5"/>
      <c r="BL460" s="5"/>
      <c r="BM460" s="5"/>
      <c r="BN460" s="5"/>
    </row>
    <row r="461">
      <c r="A461" s="5"/>
      <c r="B461" s="150"/>
      <c r="C461" s="151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6"/>
      <c r="BE461" s="5"/>
      <c r="BF461" s="7"/>
      <c r="BH461" s="5"/>
      <c r="BI461" s="5"/>
      <c r="BJ461" s="5"/>
      <c r="BK461" s="5"/>
      <c r="BL461" s="5"/>
      <c r="BM461" s="5"/>
      <c r="BN461" s="5"/>
    </row>
    <row r="462">
      <c r="A462" s="5"/>
      <c r="B462" s="150"/>
      <c r="C462" s="151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6"/>
      <c r="BE462" s="5"/>
      <c r="BF462" s="7"/>
      <c r="BH462" s="5"/>
      <c r="BI462" s="5"/>
      <c r="BJ462" s="5"/>
      <c r="BK462" s="5"/>
      <c r="BL462" s="5"/>
      <c r="BM462" s="5"/>
      <c r="BN462" s="5"/>
    </row>
    <row r="463">
      <c r="A463" s="5"/>
      <c r="B463" s="150"/>
      <c r="C463" s="151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6"/>
      <c r="BE463" s="5"/>
      <c r="BF463" s="7"/>
      <c r="BH463" s="5"/>
      <c r="BI463" s="5"/>
      <c r="BJ463" s="5"/>
      <c r="BK463" s="5"/>
      <c r="BL463" s="5"/>
      <c r="BM463" s="5"/>
      <c r="BN463" s="5"/>
    </row>
    <row r="464">
      <c r="A464" s="5"/>
      <c r="B464" s="150"/>
      <c r="C464" s="151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6"/>
      <c r="BE464" s="5"/>
      <c r="BF464" s="7"/>
      <c r="BH464" s="5"/>
      <c r="BI464" s="5"/>
      <c r="BJ464" s="5"/>
      <c r="BK464" s="5"/>
      <c r="BL464" s="5"/>
      <c r="BM464" s="5"/>
      <c r="BN464" s="5"/>
    </row>
    <row r="465">
      <c r="A465" s="5"/>
      <c r="B465" s="150"/>
      <c r="C465" s="151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6"/>
      <c r="BE465" s="5"/>
      <c r="BF465" s="7"/>
      <c r="BH465" s="5"/>
      <c r="BI465" s="5"/>
      <c r="BJ465" s="5"/>
      <c r="BK465" s="5"/>
      <c r="BL465" s="5"/>
      <c r="BM465" s="5"/>
      <c r="BN465" s="5"/>
    </row>
    <row r="466">
      <c r="A466" s="5"/>
      <c r="B466" s="150"/>
      <c r="C466" s="151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6"/>
      <c r="BE466" s="5"/>
      <c r="BF466" s="7"/>
      <c r="BH466" s="5"/>
      <c r="BI466" s="5"/>
      <c r="BJ466" s="5"/>
      <c r="BK466" s="5"/>
      <c r="BL466" s="5"/>
      <c r="BM466" s="5"/>
      <c r="BN466" s="5"/>
    </row>
    <row r="467">
      <c r="A467" s="5"/>
      <c r="B467" s="150"/>
      <c r="C467" s="151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6"/>
      <c r="BE467" s="5"/>
      <c r="BF467" s="7"/>
      <c r="BH467" s="5"/>
      <c r="BI467" s="5"/>
      <c r="BJ467" s="5"/>
      <c r="BK467" s="5"/>
      <c r="BL467" s="5"/>
      <c r="BM467" s="5"/>
      <c r="BN467" s="5"/>
    </row>
    <row r="468">
      <c r="A468" s="5"/>
      <c r="B468" s="150"/>
      <c r="C468" s="151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6"/>
      <c r="BE468" s="5"/>
      <c r="BF468" s="7"/>
      <c r="BH468" s="5"/>
      <c r="BI468" s="5"/>
      <c r="BJ468" s="5"/>
      <c r="BK468" s="5"/>
      <c r="BL468" s="5"/>
      <c r="BM468" s="5"/>
      <c r="BN468" s="5"/>
    </row>
    <row r="469">
      <c r="A469" s="5"/>
      <c r="B469" s="150"/>
      <c r="C469" s="151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6"/>
      <c r="BE469" s="5"/>
      <c r="BF469" s="7"/>
      <c r="BH469" s="5"/>
      <c r="BI469" s="5"/>
      <c r="BJ469" s="5"/>
      <c r="BK469" s="5"/>
      <c r="BL469" s="5"/>
      <c r="BM469" s="5"/>
      <c r="BN469" s="5"/>
    </row>
    <row r="470">
      <c r="A470" s="5"/>
      <c r="B470" s="150"/>
      <c r="C470" s="151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6"/>
      <c r="BE470" s="5"/>
      <c r="BF470" s="7"/>
      <c r="BH470" s="5"/>
      <c r="BI470" s="5"/>
      <c r="BJ470" s="5"/>
      <c r="BK470" s="5"/>
      <c r="BL470" s="5"/>
      <c r="BM470" s="5"/>
      <c r="BN470" s="5"/>
    </row>
    <row r="471">
      <c r="A471" s="5"/>
      <c r="B471" s="150"/>
      <c r="C471" s="151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6"/>
      <c r="BE471" s="5"/>
      <c r="BF471" s="7"/>
      <c r="BH471" s="5"/>
      <c r="BI471" s="5"/>
      <c r="BJ471" s="5"/>
      <c r="BK471" s="5"/>
      <c r="BL471" s="5"/>
      <c r="BM471" s="5"/>
      <c r="BN471" s="5"/>
    </row>
    <row r="472">
      <c r="A472" s="5"/>
      <c r="B472" s="150"/>
      <c r="C472" s="151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6"/>
      <c r="BE472" s="5"/>
      <c r="BF472" s="7"/>
      <c r="BH472" s="5"/>
      <c r="BI472" s="5"/>
      <c r="BJ472" s="5"/>
      <c r="BK472" s="5"/>
      <c r="BL472" s="5"/>
      <c r="BM472" s="5"/>
      <c r="BN472" s="5"/>
    </row>
    <row r="473">
      <c r="A473" s="5"/>
      <c r="B473" s="150"/>
      <c r="C473" s="151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6"/>
      <c r="BE473" s="5"/>
      <c r="BF473" s="7"/>
      <c r="BH473" s="5"/>
      <c r="BI473" s="5"/>
      <c r="BJ473" s="5"/>
      <c r="BK473" s="5"/>
      <c r="BL473" s="5"/>
      <c r="BM473" s="5"/>
      <c r="BN473" s="5"/>
    </row>
    <row r="474">
      <c r="A474" s="5"/>
      <c r="B474" s="150"/>
      <c r="C474" s="151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6"/>
      <c r="BE474" s="5"/>
      <c r="BF474" s="7"/>
      <c r="BH474" s="5"/>
      <c r="BI474" s="5"/>
      <c r="BJ474" s="5"/>
      <c r="BK474" s="5"/>
      <c r="BL474" s="5"/>
      <c r="BM474" s="5"/>
      <c r="BN474" s="5"/>
    </row>
    <row r="475">
      <c r="A475" s="5"/>
      <c r="B475" s="150"/>
      <c r="C475" s="151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6"/>
      <c r="BE475" s="5"/>
      <c r="BF475" s="7"/>
      <c r="BH475" s="5"/>
      <c r="BI475" s="5"/>
      <c r="BJ475" s="5"/>
      <c r="BK475" s="5"/>
      <c r="BL475" s="5"/>
      <c r="BM475" s="5"/>
      <c r="BN475" s="5"/>
    </row>
    <row r="476">
      <c r="A476" s="5"/>
      <c r="B476" s="150"/>
      <c r="C476" s="151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6"/>
      <c r="BE476" s="5"/>
      <c r="BF476" s="7"/>
      <c r="BH476" s="5"/>
      <c r="BI476" s="5"/>
      <c r="BJ476" s="5"/>
      <c r="BK476" s="5"/>
      <c r="BL476" s="5"/>
      <c r="BM476" s="5"/>
      <c r="BN476" s="5"/>
    </row>
    <row r="477">
      <c r="A477" s="5"/>
      <c r="B477" s="150"/>
      <c r="C477" s="151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6"/>
      <c r="BE477" s="5"/>
      <c r="BF477" s="7"/>
      <c r="BH477" s="5"/>
      <c r="BI477" s="5"/>
      <c r="BJ477" s="5"/>
      <c r="BK477" s="5"/>
      <c r="BL477" s="5"/>
      <c r="BM477" s="5"/>
      <c r="BN477" s="5"/>
    </row>
    <row r="478">
      <c r="A478" s="5"/>
      <c r="B478" s="150"/>
      <c r="C478" s="151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6"/>
      <c r="BE478" s="5"/>
      <c r="BF478" s="7"/>
      <c r="BH478" s="5"/>
      <c r="BI478" s="5"/>
      <c r="BJ478" s="5"/>
      <c r="BK478" s="5"/>
      <c r="BL478" s="5"/>
      <c r="BM478" s="5"/>
      <c r="BN478" s="5"/>
    </row>
    <row r="479">
      <c r="A479" s="5"/>
      <c r="B479" s="150"/>
      <c r="C479" s="151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6"/>
      <c r="BE479" s="5"/>
      <c r="BF479" s="7"/>
      <c r="BH479" s="5"/>
      <c r="BI479" s="5"/>
      <c r="BJ479" s="5"/>
      <c r="BK479" s="5"/>
      <c r="BL479" s="5"/>
      <c r="BM479" s="5"/>
      <c r="BN479" s="5"/>
    </row>
    <row r="480">
      <c r="A480" s="5"/>
      <c r="B480" s="150"/>
      <c r="C480" s="151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6"/>
      <c r="BE480" s="5"/>
      <c r="BF480" s="7"/>
      <c r="BH480" s="5"/>
      <c r="BI480" s="5"/>
      <c r="BJ480" s="5"/>
      <c r="BK480" s="5"/>
      <c r="BL480" s="5"/>
      <c r="BM480" s="5"/>
      <c r="BN480" s="5"/>
    </row>
    <row r="481">
      <c r="A481" s="5"/>
      <c r="B481" s="150"/>
      <c r="C481" s="151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6"/>
      <c r="BE481" s="5"/>
      <c r="BF481" s="7"/>
      <c r="BH481" s="5"/>
      <c r="BI481" s="5"/>
      <c r="BJ481" s="5"/>
      <c r="BK481" s="5"/>
      <c r="BL481" s="5"/>
      <c r="BM481" s="5"/>
      <c r="BN481" s="5"/>
    </row>
    <row r="482">
      <c r="A482" s="5"/>
      <c r="B482" s="150"/>
      <c r="C482" s="151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6"/>
      <c r="BE482" s="5"/>
      <c r="BF482" s="7"/>
      <c r="BH482" s="5"/>
      <c r="BI482" s="5"/>
      <c r="BJ482" s="5"/>
      <c r="BK482" s="5"/>
      <c r="BL482" s="5"/>
      <c r="BM482" s="5"/>
      <c r="BN482" s="5"/>
    </row>
    <row r="483">
      <c r="A483" s="5"/>
      <c r="B483" s="150"/>
      <c r="C483" s="151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6"/>
      <c r="BE483" s="5"/>
      <c r="BF483" s="7"/>
      <c r="BH483" s="5"/>
      <c r="BI483" s="5"/>
      <c r="BJ483" s="5"/>
      <c r="BK483" s="5"/>
      <c r="BL483" s="5"/>
      <c r="BM483" s="5"/>
      <c r="BN483" s="5"/>
    </row>
    <row r="484">
      <c r="A484" s="5"/>
      <c r="B484" s="150"/>
      <c r="C484" s="151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6"/>
      <c r="BE484" s="5"/>
      <c r="BF484" s="7"/>
      <c r="BH484" s="5"/>
      <c r="BI484" s="5"/>
      <c r="BJ484" s="5"/>
      <c r="BK484" s="5"/>
      <c r="BL484" s="5"/>
      <c r="BM484" s="5"/>
      <c r="BN484" s="5"/>
    </row>
    <row r="485">
      <c r="A485" s="5"/>
      <c r="B485" s="150"/>
      <c r="C485" s="151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6"/>
      <c r="BE485" s="5"/>
      <c r="BF485" s="7"/>
      <c r="BH485" s="5"/>
      <c r="BI485" s="5"/>
      <c r="BJ485" s="5"/>
      <c r="BK485" s="5"/>
      <c r="BL485" s="5"/>
      <c r="BM485" s="5"/>
      <c r="BN485" s="5"/>
    </row>
    <row r="486">
      <c r="A486" s="5"/>
      <c r="B486" s="150"/>
      <c r="C486" s="151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6"/>
      <c r="BE486" s="5"/>
      <c r="BF486" s="7"/>
      <c r="BH486" s="5"/>
      <c r="BI486" s="5"/>
      <c r="BJ486" s="5"/>
      <c r="BK486" s="5"/>
      <c r="BL486" s="5"/>
      <c r="BM486" s="5"/>
      <c r="BN486" s="5"/>
    </row>
    <row r="487">
      <c r="A487" s="5"/>
      <c r="B487" s="150"/>
      <c r="C487" s="151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6"/>
      <c r="BE487" s="5"/>
      <c r="BF487" s="7"/>
      <c r="BH487" s="5"/>
      <c r="BI487" s="5"/>
      <c r="BJ487" s="5"/>
      <c r="BK487" s="5"/>
      <c r="BL487" s="5"/>
      <c r="BM487" s="5"/>
      <c r="BN487" s="5"/>
    </row>
    <row r="488">
      <c r="A488" s="5"/>
      <c r="B488" s="150"/>
      <c r="C488" s="151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6"/>
      <c r="BE488" s="5"/>
      <c r="BF488" s="7"/>
      <c r="BH488" s="5"/>
      <c r="BI488" s="5"/>
      <c r="BJ488" s="5"/>
      <c r="BK488" s="5"/>
      <c r="BL488" s="5"/>
      <c r="BM488" s="5"/>
      <c r="BN488" s="5"/>
    </row>
    <row r="489">
      <c r="A489" s="5"/>
      <c r="B489" s="150"/>
      <c r="C489" s="151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6"/>
      <c r="BE489" s="5"/>
      <c r="BF489" s="7"/>
      <c r="BH489" s="5"/>
      <c r="BI489" s="5"/>
      <c r="BJ489" s="5"/>
      <c r="BK489" s="5"/>
      <c r="BL489" s="5"/>
      <c r="BM489" s="5"/>
      <c r="BN489" s="5"/>
    </row>
    <row r="490">
      <c r="A490" s="5"/>
      <c r="B490" s="150"/>
      <c r="C490" s="151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6"/>
      <c r="BE490" s="5"/>
      <c r="BF490" s="7"/>
      <c r="BH490" s="5"/>
      <c r="BI490" s="5"/>
      <c r="BJ490" s="5"/>
      <c r="BK490" s="5"/>
      <c r="BL490" s="5"/>
      <c r="BM490" s="5"/>
      <c r="BN490" s="5"/>
    </row>
    <row r="491">
      <c r="A491" s="5"/>
      <c r="B491" s="150"/>
      <c r="C491" s="151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6"/>
      <c r="BE491" s="5"/>
      <c r="BF491" s="7"/>
      <c r="BH491" s="5"/>
      <c r="BI491" s="5"/>
      <c r="BJ491" s="5"/>
      <c r="BK491" s="5"/>
      <c r="BL491" s="5"/>
      <c r="BM491" s="5"/>
      <c r="BN491" s="5"/>
    </row>
    <row r="492">
      <c r="A492" s="5"/>
      <c r="B492" s="150"/>
      <c r="C492" s="151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6"/>
      <c r="BE492" s="5"/>
      <c r="BF492" s="7"/>
      <c r="BH492" s="5"/>
      <c r="BI492" s="5"/>
      <c r="BJ492" s="5"/>
      <c r="BK492" s="5"/>
      <c r="BL492" s="5"/>
      <c r="BM492" s="5"/>
      <c r="BN492" s="5"/>
    </row>
    <row r="493">
      <c r="A493" s="5"/>
      <c r="B493" s="150"/>
      <c r="C493" s="151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6"/>
      <c r="BE493" s="5"/>
      <c r="BF493" s="7"/>
      <c r="BH493" s="5"/>
      <c r="BI493" s="5"/>
      <c r="BJ493" s="5"/>
      <c r="BK493" s="5"/>
      <c r="BL493" s="5"/>
      <c r="BM493" s="5"/>
      <c r="BN493" s="5"/>
    </row>
    <row r="494">
      <c r="A494" s="5"/>
      <c r="B494" s="150"/>
      <c r="C494" s="151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6"/>
      <c r="BE494" s="5"/>
      <c r="BF494" s="7"/>
      <c r="BH494" s="5"/>
      <c r="BI494" s="5"/>
      <c r="BJ494" s="5"/>
      <c r="BK494" s="5"/>
      <c r="BL494" s="5"/>
      <c r="BM494" s="5"/>
      <c r="BN494" s="5"/>
    </row>
    <row r="495">
      <c r="A495" s="5"/>
      <c r="B495" s="150"/>
      <c r="C495" s="151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6"/>
      <c r="BE495" s="5"/>
      <c r="BF495" s="7"/>
      <c r="BH495" s="5"/>
      <c r="BI495" s="5"/>
      <c r="BJ495" s="5"/>
      <c r="BK495" s="5"/>
      <c r="BL495" s="5"/>
      <c r="BM495" s="5"/>
      <c r="BN495" s="5"/>
    </row>
    <row r="496">
      <c r="A496" s="5"/>
      <c r="B496" s="150"/>
      <c r="C496" s="151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6"/>
      <c r="BE496" s="5"/>
      <c r="BF496" s="7"/>
      <c r="BH496" s="5"/>
      <c r="BI496" s="5"/>
      <c r="BJ496" s="5"/>
      <c r="BK496" s="5"/>
      <c r="BL496" s="5"/>
      <c r="BM496" s="5"/>
      <c r="BN496" s="5"/>
    </row>
    <row r="497">
      <c r="A497" s="5"/>
      <c r="B497" s="150"/>
      <c r="C497" s="151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6"/>
      <c r="BE497" s="5"/>
      <c r="BF497" s="7"/>
      <c r="BH497" s="5"/>
      <c r="BI497" s="5"/>
      <c r="BJ497" s="5"/>
      <c r="BK497" s="5"/>
      <c r="BL497" s="5"/>
      <c r="BM497" s="5"/>
      <c r="BN497" s="5"/>
    </row>
    <row r="498">
      <c r="A498" s="5"/>
      <c r="B498" s="150"/>
      <c r="C498" s="151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6"/>
      <c r="BE498" s="5"/>
      <c r="BF498" s="7"/>
      <c r="BH498" s="5"/>
      <c r="BI498" s="5"/>
      <c r="BJ498" s="5"/>
      <c r="BK498" s="5"/>
      <c r="BL498" s="5"/>
      <c r="BM498" s="5"/>
      <c r="BN498" s="5"/>
    </row>
    <row r="499">
      <c r="A499" s="5"/>
      <c r="B499" s="150"/>
      <c r="C499" s="151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6"/>
      <c r="BE499" s="5"/>
      <c r="BF499" s="7"/>
      <c r="BH499" s="5"/>
      <c r="BI499" s="5"/>
      <c r="BJ499" s="5"/>
      <c r="BK499" s="5"/>
      <c r="BL499" s="5"/>
      <c r="BM499" s="5"/>
      <c r="BN499" s="5"/>
    </row>
    <row r="500">
      <c r="A500" s="5"/>
      <c r="B500" s="150"/>
      <c r="C500" s="151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6"/>
      <c r="BE500" s="5"/>
      <c r="BF500" s="7"/>
      <c r="BH500" s="5"/>
      <c r="BI500" s="5"/>
      <c r="BJ500" s="5"/>
      <c r="BK500" s="5"/>
      <c r="BL500" s="5"/>
      <c r="BM500" s="5"/>
      <c r="BN500" s="5"/>
    </row>
    <row r="501">
      <c r="A501" s="5"/>
      <c r="B501" s="150"/>
      <c r="C501" s="151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6"/>
      <c r="BE501" s="5"/>
      <c r="BF501" s="7"/>
      <c r="BH501" s="5"/>
      <c r="BI501" s="5"/>
      <c r="BJ501" s="5"/>
      <c r="BK501" s="5"/>
      <c r="BL501" s="5"/>
      <c r="BM501" s="5"/>
      <c r="BN501" s="5"/>
    </row>
    <row r="502">
      <c r="A502" s="5"/>
      <c r="B502" s="150"/>
      <c r="C502" s="151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6"/>
      <c r="BE502" s="5"/>
      <c r="BF502" s="7"/>
      <c r="BH502" s="5"/>
      <c r="BI502" s="5"/>
      <c r="BJ502" s="5"/>
      <c r="BK502" s="5"/>
      <c r="BL502" s="5"/>
      <c r="BM502" s="5"/>
      <c r="BN502" s="5"/>
    </row>
    <row r="503">
      <c r="A503" s="5"/>
      <c r="B503" s="150"/>
      <c r="C503" s="151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6"/>
      <c r="BE503" s="5"/>
      <c r="BF503" s="7"/>
      <c r="BH503" s="5"/>
      <c r="BI503" s="5"/>
      <c r="BJ503" s="5"/>
      <c r="BK503" s="5"/>
      <c r="BL503" s="5"/>
      <c r="BM503" s="5"/>
      <c r="BN503" s="5"/>
    </row>
    <row r="504">
      <c r="A504" s="5"/>
      <c r="B504" s="150"/>
      <c r="C504" s="151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6"/>
      <c r="BE504" s="5"/>
      <c r="BF504" s="7"/>
      <c r="BH504" s="5"/>
      <c r="BI504" s="5"/>
      <c r="BJ504" s="5"/>
      <c r="BK504" s="5"/>
      <c r="BL504" s="5"/>
      <c r="BM504" s="5"/>
      <c r="BN504" s="5"/>
    </row>
    <row r="505">
      <c r="A505" s="5"/>
      <c r="B505" s="150"/>
      <c r="C505" s="151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6"/>
      <c r="BE505" s="5"/>
      <c r="BF505" s="7"/>
      <c r="BH505" s="5"/>
      <c r="BI505" s="5"/>
      <c r="BJ505" s="5"/>
      <c r="BK505" s="5"/>
      <c r="BL505" s="5"/>
      <c r="BM505" s="5"/>
      <c r="BN505" s="5"/>
    </row>
    <row r="506">
      <c r="A506" s="5"/>
      <c r="B506" s="150"/>
      <c r="C506" s="151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6"/>
      <c r="BE506" s="5"/>
      <c r="BF506" s="7"/>
      <c r="BH506" s="5"/>
      <c r="BI506" s="5"/>
      <c r="BJ506" s="5"/>
      <c r="BK506" s="5"/>
      <c r="BL506" s="5"/>
      <c r="BM506" s="5"/>
      <c r="BN506" s="5"/>
    </row>
    <row r="507">
      <c r="A507" s="5"/>
      <c r="B507" s="150"/>
      <c r="C507" s="151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6"/>
      <c r="BE507" s="5"/>
      <c r="BF507" s="7"/>
      <c r="BH507" s="5"/>
      <c r="BI507" s="5"/>
      <c r="BJ507" s="5"/>
      <c r="BK507" s="5"/>
      <c r="BL507" s="5"/>
      <c r="BM507" s="5"/>
      <c r="BN507" s="5"/>
    </row>
    <row r="508">
      <c r="A508" s="5"/>
      <c r="B508" s="150"/>
      <c r="C508" s="151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6"/>
      <c r="BE508" s="5"/>
      <c r="BF508" s="7"/>
      <c r="BH508" s="5"/>
      <c r="BI508" s="5"/>
      <c r="BJ508" s="5"/>
      <c r="BK508" s="5"/>
      <c r="BL508" s="5"/>
      <c r="BM508" s="5"/>
      <c r="BN508" s="5"/>
    </row>
    <row r="509">
      <c r="A509" s="5"/>
      <c r="B509" s="150"/>
      <c r="C509" s="151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6"/>
      <c r="BE509" s="5"/>
      <c r="BF509" s="7"/>
      <c r="BH509" s="5"/>
      <c r="BI509" s="5"/>
      <c r="BJ509" s="5"/>
      <c r="BK509" s="5"/>
      <c r="BL509" s="5"/>
      <c r="BM509" s="5"/>
      <c r="BN509" s="5"/>
    </row>
    <row r="510">
      <c r="A510" s="5"/>
      <c r="B510" s="150"/>
      <c r="C510" s="151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6"/>
      <c r="BE510" s="5"/>
      <c r="BF510" s="7"/>
      <c r="BH510" s="5"/>
      <c r="BI510" s="5"/>
      <c r="BJ510" s="5"/>
      <c r="BK510" s="5"/>
      <c r="BL510" s="5"/>
      <c r="BM510" s="5"/>
      <c r="BN510" s="5"/>
    </row>
    <row r="511">
      <c r="A511" s="5"/>
      <c r="B511" s="150"/>
      <c r="C511" s="151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6"/>
      <c r="BE511" s="5"/>
      <c r="BF511" s="7"/>
      <c r="BH511" s="5"/>
      <c r="BI511" s="5"/>
      <c r="BJ511" s="5"/>
      <c r="BK511" s="5"/>
      <c r="BL511" s="5"/>
      <c r="BM511" s="5"/>
      <c r="BN511" s="5"/>
    </row>
    <row r="512">
      <c r="A512" s="5"/>
      <c r="B512" s="150"/>
      <c r="C512" s="151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6"/>
      <c r="BE512" s="5"/>
      <c r="BF512" s="7"/>
      <c r="BH512" s="5"/>
      <c r="BI512" s="5"/>
      <c r="BJ512" s="5"/>
      <c r="BK512" s="5"/>
      <c r="BL512" s="5"/>
      <c r="BM512" s="5"/>
      <c r="BN512" s="5"/>
    </row>
    <row r="513">
      <c r="A513" s="5"/>
      <c r="B513" s="150"/>
      <c r="C513" s="151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6"/>
      <c r="BE513" s="5"/>
      <c r="BF513" s="7"/>
      <c r="BH513" s="5"/>
      <c r="BI513" s="5"/>
      <c r="BJ513" s="5"/>
      <c r="BK513" s="5"/>
      <c r="BL513" s="5"/>
      <c r="BM513" s="5"/>
      <c r="BN513" s="5"/>
    </row>
    <row r="514">
      <c r="A514" s="5"/>
      <c r="B514" s="150"/>
      <c r="C514" s="151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6"/>
      <c r="BE514" s="5"/>
      <c r="BF514" s="7"/>
      <c r="BH514" s="5"/>
      <c r="BI514" s="5"/>
      <c r="BJ514" s="5"/>
      <c r="BK514" s="5"/>
      <c r="BL514" s="5"/>
      <c r="BM514" s="5"/>
      <c r="BN514" s="5"/>
    </row>
    <row r="515">
      <c r="A515" s="5"/>
      <c r="B515" s="150"/>
      <c r="C515" s="151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6"/>
      <c r="BE515" s="5"/>
      <c r="BF515" s="7"/>
      <c r="BH515" s="5"/>
      <c r="BI515" s="5"/>
      <c r="BJ515" s="5"/>
      <c r="BK515" s="5"/>
      <c r="BL515" s="5"/>
      <c r="BM515" s="5"/>
      <c r="BN515" s="5"/>
    </row>
    <row r="516">
      <c r="A516" s="5"/>
      <c r="B516" s="150"/>
      <c r="C516" s="151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6"/>
      <c r="BE516" s="5"/>
      <c r="BF516" s="7"/>
      <c r="BH516" s="5"/>
      <c r="BI516" s="5"/>
      <c r="BJ516" s="5"/>
      <c r="BK516" s="5"/>
      <c r="BL516" s="5"/>
      <c r="BM516" s="5"/>
      <c r="BN516" s="5"/>
    </row>
    <row r="517">
      <c r="A517" s="5"/>
      <c r="B517" s="150"/>
      <c r="C517" s="151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6"/>
      <c r="BE517" s="5"/>
      <c r="BF517" s="7"/>
      <c r="BH517" s="5"/>
      <c r="BI517" s="5"/>
      <c r="BJ517" s="5"/>
      <c r="BK517" s="5"/>
      <c r="BL517" s="5"/>
      <c r="BM517" s="5"/>
      <c r="BN517" s="5"/>
    </row>
    <row r="518">
      <c r="A518" s="5"/>
      <c r="B518" s="150"/>
      <c r="C518" s="151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6"/>
      <c r="BE518" s="5"/>
      <c r="BF518" s="7"/>
      <c r="BH518" s="5"/>
      <c r="BI518" s="5"/>
      <c r="BJ518" s="5"/>
      <c r="BK518" s="5"/>
      <c r="BL518" s="5"/>
      <c r="BM518" s="5"/>
      <c r="BN518" s="5"/>
    </row>
    <row r="519">
      <c r="A519" s="5"/>
      <c r="B519" s="150"/>
      <c r="C519" s="151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6"/>
      <c r="BE519" s="5"/>
      <c r="BF519" s="7"/>
      <c r="BH519" s="5"/>
      <c r="BI519" s="5"/>
      <c r="BJ519" s="5"/>
      <c r="BK519" s="5"/>
      <c r="BL519" s="5"/>
      <c r="BM519" s="5"/>
      <c r="BN519" s="5"/>
    </row>
    <row r="520">
      <c r="A520" s="5"/>
      <c r="B520" s="150"/>
      <c r="C520" s="151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6"/>
      <c r="BE520" s="5"/>
      <c r="BF520" s="7"/>
      <c r="BH520" s="5"/>
      <c r="BI520" s="5"/>
      <c r="BJ520" s="5"/>
      <c r="BK520" s="5"/>
      <c r="BL520" s="5"/>
      <c r="BM520" s="5"/>
      <c r="BN520" s="5"/>
    </row>
    <row r="521">
      <c r="A521" s="5"/>
      <c r="B521" s="150"/>
      <c r="C521" s="151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6"/>
      <c r="BE521" s="5"/>
      <c r="BF521" s="7"/>
      <c r="BH521" s="5"/>
      <c r="BI521" s="5"/>
      <c r="BJ521" s="5"/>
      <c r="BK521" s="5"/>
      <c r="BL521" s="5"/>
      <c r="BM521" s="5"/>
      <c r="BN521" s="5"/>
    </row>
    <row r="522">
      <c r="A522" s="5"/>
      <c r="B522" s="150"/>
      <c r="C522" s="151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6"/>
      <c r="BE522" s="5"/>
      <c r="BF522" s="7"/>
      <c r="BH522" s="5"/>
      <c r="BI522" s="5"/>
      <c r="BJ522" s="5"/>
      <c r="BK522" s="5"/>
      <c r="BL522" s="5"/>
      <c r="BM522" s="5"/>
      <c r="BN522" s="5"/>
    </row>
    <row r="523">
      <c r="A523" s="5"/>
      <c r="B523" s="150"/>
      <c r="C523" s="151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6"/>
      <c r="BE523" s="5"/>
      <c r="BF523" s="7"/>
      <c r="BH523" s="5"/>
      <c r="BI523" s="5"/>
      <c r="BJ523" s="5"/>
      <c r="BK523" s="5"/>
      <c r="BL523" s="5"/>
      <c r="BM523" s="5"/>
      <c r="BN523" s="5"/>
    </row>
    <row r="524">
      <c r="A524" s="5"/>
      <c r="B524" s="150"/>
      <c r="C524" s="151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6"/>
      <c r="BE524" s="5"/>
      <c r="BF524" s="7"/>
      <c r="BH524" s="5"/>
      <c r="BI524" s="5"/>
      <c r="BJ524" s="5"/>
      <c r="BK524" s="5"/>
      <c r="BL524" s="5"/>
      <c r="BM524" s="5"/>
      <c r="BN524" s="5"/>
    </row>
    <row r="525">
      <c r="A525" s="5"/>
      <c r="B525" s="150"/>
      <c r="C525" s="151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6"/>
      <c r="BE525" s="5"/>
      <c r="BF525" s="7"/>
      <c r="BH525" s="5"/>
      <c r="BI525" s="5"/>
      <c r="BJ525" s="5"/>
      <c r="BK525" s="5"/>
      <c r="BL525" s="5"/>
      <c r="BM525" s="5"/>
      <c r="BN525" s="5"/>
    </row>
    <row r="526">
      <c r="A526" s="5"/>
      <c r="B526" s="150"/>
      <c r="C526" s="151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6"/>
      <c r="BE526" s="5"/>
      <c r="BF526" s="7"/>
      <c r="BH526" s="5"/>
      <c r="BI526" s="5"/>
      <c r="BJ526" s="5"/>
      <c r="BK526" s="5"/>
      <c r="BL526" s="5"/>
      <c r="BM526" s="5"/>
      <c r="BN526" s="5"/>
    </row>
    <row r="527">
      <c r="A527" s="5"/>
      <c r="B527" s="150"/>
      <c r="C527" s="151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6"/>
      <c r="BE527" s="5"/>
      <c r="BF527" s="7"/>
      <c r="BH527" s="5"/>
      <c r="BI527" s="5"/>
      <c r="BJ527" s="5"/>
      <c r="BK527" s="5"/>
      <c r="BL527" s="5"/>
      <c r="BM527" s="5"/>
      <c r="BN527" s="5"/>
    </row>
    <row r="528">
      <c r="A528" s="5"/>
      <c r="B528" s="150"/>
      <c r="C528" s="151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6"/>
      <c r="BE528" s="5"/>
      <c r="BF528" s="7"/>
      <c r="BH528" s="5"/>
      <c r="BI528" s="5"/>
      <c r="BJ528" s="5"/>
      <c r="BK528" s="5"/>
      <c r="BL528" s="5"/>
      <c r="BM528" s="5"/>
      <c r="BN528" s="5"/>
    </row>
    <row r="529">
      <c r="A529" s="5"/>
      <c r="B529" s="150"/>
      <c r="C529" s="151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6"/>
      <c r="BE529" s="5"/>
      <c r="BF529" s="7"/>
      <c r="BH529" s="5"/>
      <c r="BI529" s="5"/>
      <c r="BJ529" s="5"/>
      <c r="BK529" s="5"/>
      <c r="BL529" s="5"/>
      <c r="BM529" s="5"/>
      <c r="BN529" s="5"/>
    </row>
    <row r="530">
      <c r="A530" s="5"/>
      <c r="B530" s="150"/>
      <c r="C530" s="151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6"/>
      <c r="BE530" s="5"/>
      <c r="BF530" s="7"/>
      <c r="BH530" s="5"/>
      <c r="BI530" s="5"/>
      <c r="BJ530" s="5"/>
      <c r="BK530" s="5"/>
      <c r="BL530" s="5"/>
      <c r="BM530" s="5"/>
      <c r="BN530" s="5"/>
    </row>
    <row r="531">
      <c r="A531" s="5"/>
      <c r="B531" s="150"/>
      <c r="C531" s="151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6"/>
      <c r="BE531" s="5"/>
      <c r="BF531" s="7"/>
      <c r="BH531" s="5"/>
      <c r="BI531" s="5"/>
      <c r="BJ531" s="5"/>
      <c r="BK531" s="5"/>
      <c r="BL531" s="5"/>
      <c r="BM531" s="5"/>
      <c r="BN531" s="5"/>
    </row>
    <row r="532">
      <c r="A532" s="5"/>
      <c r="B532" s="150"/>
      <c r="C532" s="151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6"/>
      <c r="BE532" s="5"/>
      <c r="BF532" s="7"/>
      <c r="BH532" s="5"/>
      <c r="BI532" s="5"/>
      <c r="BJ532" s="5"/>
      <c r="BK532" s="5"/>
      <c r="BL532" s="5"/>
      <c r="BM532" s="5"/>
      <c r="BN532" s="5"/>
    </row>
    <row r="533">
      <c r="A533" s="5"/>
      <c r="B533" s="150"/>
      <c r="C533" s="151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6"/>
      <c r="BE533" s="5"/>
      <c r="BF533" s="7"/>
      <c r="BH533" s="5"/>
      <c r="BI533" s="5"/>
      <c r="BJ533" s="5"/>
      <c r="BK533" s="5"/>
      <c r="BL533" s="5"/>
      <c r="BM533" s="5"/>
      <c r="BN533" s="5"/>
    </row>
    <row r="534">
      <c r="A534" s="5"/>
      <c r="B534" s="150"/>
      <c r="C534" s="151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6"/>
      <c r="BE534" s="5"/>
      <c r="BF534" s="7"/>
      <c r="BH534" s="5"/>
      <c r="BI534" s="5"/>
      <c r="BJ534" s="5"/>
      <c r="BK534" s="5"/>
      <c r="BL534" s="5"/>
      <c r="BM534" s="5"/>
      <c r="BN534" s="5"/>
    </row>
    <row r="535">
      <c r="A535" s="5"/>
      <c r="B535" s="150"/>
      <c r="C535" s="151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6"/>
      <c r="BE535" s="5"/>
      <c r="BF535" s="7"/>
      <c r="BH535" s="5"/>
      <c r="BI535" s="5"/>
      <c r="BJ535" s="5"/>
      <c r="BK535" s="5"/>
      <c r="BL535" s="5"/>
      <c r="BM535" s="5"/>
      <c r="BN535" s="5"/>
    </row>
    <row r="536">
      <c r="A536" s="5"/>
      <c r="B536" s="150"/>
      <c r="C536" s="151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6"/>
      <c r="BE536" s="5"/>
      <c r="BF536" s="7"/>
      <c r="BH536" s="5"/>
      <c r="BI536" s="5"/>
      <c r="BJ536" s="5"/>
      <c r="BK536" s="5"/>
      <c r="BL536" s="5"/>
      <c r="BM536" s="5"/>
      <c r="BN536" s="5"/>
    </row>
    <row r="537">
      <c r="A537" s="5"/>
      <c r="B537" s="150"/>
      <c r="C537" s="151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6"/>
      <c r="BE537" s="5"/>
      <c r="BF537" s="7"/>
      <c r="BH537" s="5"/>
      <c r="BI537" s="5"/>
      <c r="BJ537" s="5"/>
      <c r="BK537" s="5"/>
      <c r="BL537" s="5"/>
      <c r="BM537" s="5"/>
      <c r="BN537" s="5"/>
    </row>
    <row r="538">
      <c r="A538" s="5"/>
      <c r="B538" s="150"/>
      <c r="C538" s="151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6"/>
      <c r="BE538" s="5"/>
      <c r="BF538" s="7"/>
      <c r="BH538" s="5"/>
      <c r="BI538" s="5"/>
      <c r="BJ538" s="5"/>
      <c r="BK538" s="5"/>
      <c r="BL538" s="5"/>
      <c r="BM538" s="5"/>
      <c r="BN538" s="5"/>
    </row>
    <row r="539">
      <c r="A539" s="5"/>
      <c r="B539" s="150"/>
      <c r="C539" s="151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6"/>
      <c r="BE539" s="5"/>
      <c r="BF539" s="7"/>
      <c r="BH539" s="5"/>
      <c r="BI539" s="5"/>
      <c r="BJ539" s="5"/>
      <c r="BK539" s="5"/>
      <c r="BL539" s="5"/>
      <c r="BM539" s="5"/>
      <c r="BN539" s="5"/>
    </row>
    <row r="540">
      <c r="A540" s="5"/>
      <c r="B540" s="150"/>
      <c r="C540" s="151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6"/>
      <c r="BE540" s="5"/>
      <c r="BF540" s="7"/>
      <c r="BH540" s="5"/>
      <c r="BI540" s="5"/>
      <c r="BJ540" s="5"/>
      <c r="BK540" s="5"/>
      <c r="BL540" s="5"/>
      <c r="BM540" s="5"/>
      <c r="BN540" s="5"/>
    </row>
    <row r="541">
      <c r="A541" s="5"/>
      <c r="B541" s="150"/>
      <c r="C541" s="151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6"/>
      <c r="BE541" s="5"/>
      <c r="BF541" s="7"/>
      <c r="BH541" s="5"/>
      <c r="BI541" s="5"/>
      <c r="BJ541" s="5"/>
      <c r="BK541" s="5"/>
      <c r="BL541" s="5"/>
      <c r="BM541" s="5"/>
      <c r="BN541" s="5"/>
    </row>
    <row r="542">
      <c r="A542" s="5"/>
      <c r="B542" s="150"/>
      <c r="C542" s="151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6"/>
      <c r="BE542" s="5"/>
      <c r="BF542" s="7"/>
      <c r="BH542" s="5"/>
      <c r="BI542" s="5"/>
      <c r="BJ542" s="5"/>
      <c r="BK542" s="5"/>
      <c r="BL542" s="5"/>
      <c r="BM542" s="5"/>
      <c r="BN542" s="5"/>
    </row>
    <row r="543">
      <c r="A543" s="5"/>
      <c r="B543" s="150"/>
      <c r="C543" s="151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6"/>
      <c r="BE543" s="5"/>
      <c r="BF543" s="7"/>
      <c r="BH543" s="5"/>
      <c r="BI543" s="5"/>
      <c r="BJ543" s="5"/>
      <c r="BK543" s="5"/>
      <c r="BL543" s="5"/>
      <c r="BM543" s="5"/>
      <c r="BN543" s="5"/>
    </row>
    <row r="544">
      <c r="A544" s="5"/>
      <c r="B544" s="150"/>
      <c r="C544" s="151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6"/>
      <c r="BE544" s="5"/>
      <c r="BF544" s="7"/>
      <c r="BH544" s="5"/>
      <c r="BI544" s="5"/>
      <c r="BJ544" s="5"/>
      <c r="BK544" s="5"/>
      <c r="BL544" s="5"/>
      <c r="BM544" s="5"/>
      <c r="BN544" s="5"/>
    </row>
    <row r="545">
      <c r="A545" s="5"/>
      <c r="B545" s="150"/>
      <c r="C545" s="151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6"/>
      <c r="BE545" s="5"/>
      <c r="BF545" s="7"/>
      <c r="BH545" s="5"/>
      <c r="BI545" s="5"/>
      <c r="BJ545" s="5"/>
      <c r="BK545" s="5"/>
      <c r="BL545" s="5"/>
      <c r="BM545" s="5"/>
      <c r="BN545" s="5"/>
    </row>
    <row r="546">
      <c r="A546" s="5"/>
      <c r="B546" s="150"/>
      <c r="C546" s="151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6"/>
      <c r="BE546" s="5"/>
      <c r="BF546" s="7"/>
      <c r="BH546" s="5"/>
      <c r="BI546" s="5"/>
      <c r="BJ546" s="5"/>
      <c r="BK546" s="5"/>
      <c r="BL546" s="5"/>
      <c r="BM546" s="5"/>
      <c r="BN546" s="5"/>
    </row>
    <row r="547">
      <c r="A547" s="5"/>
      <c r="B547" s="150"/>
      <c r="C547" s="151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6"/>
      <c r="BE547" s="5"/>
      <c r="BF547" s="7"/>
      <c r="BH547" s="5"/>
      <c r="BI547" s="5"/>
      <c r="BJ547" s="5"/>
      <c r="BK547" s="5"/>
      <c r="BL547" s="5"/>
      <c r="BM547" s="5"/>
      <c r="BN547" s="5"/>
    </row>
    <row r="548">
      <c r="A548" s="5"/>
      <c r="B548" s="150"/>
      <c r="C548" s="151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6"/>
      <c r="BE548" s="5"/>
      <c r="BF548" s="7"/>
      <c r="BH548" s="5"/>
      <c r="BI548" s="5"/>
      <c r="BJ548" s="5"/>
      <c r="BK548" s="5"/>
      <c r="BL548" s="5"/>
      <c r="BM548" s="5"/>
      <c r="BN548" s="5"/>
    </row>
    <row r="549">
      <c r="A549" s="5"/>
      <c r="B549" s="150"/>
      <c r="C549" s="151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6"/>
      <c r="BE549" s="5"/>
      <c r="BF549" s="7"/>
      <c r="BH549" s="5"/>
      <c r="BI549" s="5"/>
      <c r="BJ549" s="5"/>
      <c r="BK549" s="5"/>
      <c r="BL549" s="5"/>
      <c r="BM549" s="5"/>
      <c r="BN549" s="5"/>
    </row>
    <row r="550">
      <c r="A550" s="5"/>
      <c r="B550" s="150"/>
      <c r="C550" s="151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6"/>
      <c r="BE550" s="5"/>
      <c r="BF550" s="7"/>
      <c r="BH550" s="5"/>
      <c r="BI550" s="5"/>
      <c r="BJ550" s="5"/>
      <c r="BK550" s="5"/>
      <c r="BL550" s="5"/>
      <c r="BM550" s="5"/>
      <c r="BN550" s="5"/>
    </row>
    <row r="551">
      <c r="A551" s="5"/>
      <c r="B551" s="150"/>
      <c r="C551" s="151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6"/>
      <c r="BE551" s="5"/>
      <c r="BF551" s="7"/>
      <c r="BH551" s="5"/>
      <c r="BI551" s="5"/>
      <c r="BJ551" s="5"/>
      <c r="BK551" s="5"/>
      <c r="BL551" s="5"/>
      <c r="BM551" s="5"/>
      <c r="BN551" s="5"/>
    </row>
    <row r="552">
      <c r="A552" s="5"/>
      <c r="B552" s="150"/>
      <c r="C552" s="151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6"/>
      <c r="BE552" s="5"/>
      <c r="BF552" s="7"/>
      <c r="BH552" s="5"/>
      <c r="BI552" s="5"/>
      <c r="BJ552" s="5"/>
      <c r="BK552" s="5"/>
      <c r="BL552" s="5"/>
      <c r="BM552" s="5"/>
      <c r="BN552" s="5"/>
    </row>
    <row r="553">
      <c r="A553" s="5"/>
      <c r="B553" s="150"/>
      <c r="C553" s="151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6"/>
      <c r="BE553" s="5"/>
      <c r="BF553" s="7"/>
      <c r="BH553" s="5"/>
      <c r="BI553" s="5"/>
      <c r="BJ553" s="5"/>
      <c r="BK553" s="5"/>
      <c r="BL553" s="5"/>
      <c r="BM553" s="5"/>
      <c r="BN553" s="5"/>
    </row>
    <row r="554">
      <c r="A554" s="5"/>
      <c r="B554" s="150"/>
      <c r="C554" s="151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6"/>
      <c r="BE554" s="5"/>
      <c r="BF554" s="7"/>
      <c r="BH554" s="5"/>
      <c r="BI554" s="5"/>
      <c r="BJ554" s="5"/>
      <c r="BK554" s="5"/>
      <c r="BL554" s="5"/>
      <c r="BM554" s="5"/>
      <c r="BN554" s="5"/>
    </row>
    <row r="555">
      <c r="A555" s="5"/>
      <c r="B555" s="150"/>
      <c r="C555" s="151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6"/>
      <c r="BE555" s="5"/>
      <c r="BF555" s="7"/>
      <c r="BH555" s="5"/>
      <c r="BI555" s="5"/>
      <c r="BJ555" s="5"/>
      <c r="BK555" s="5"/>
      <c r="BL555" s="5"/>
      <c r="BM555" s="5"/>
      <c r="BN555" s="5"/>
    </row>
    <row r="556">
      <c r="A556" s="5"/>
      <c r="B556" s="150"/>
      <c r="C556" s="151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6"/>
      <c r="BE556" s="5"/>
      <c r="BF556" s="7"/>
      <c r="BH556" s="5"/>
      <c r="BI556" s="5"/>
      <c r="BJ556" s="5"/>
      <c r="BK556" s="5"/>
      <c r="BL556" s="5"/>
      <c r="BM556" s="5"/>
      <c r="BN556" s="5"/>
    </row>
    <row r="557">
      <c r="A557" s="5"/>
      <c r="B557" s="150"/>
      <c r="C557" s="151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6"/>
      <c r="BE557" s="5"/>
      <c r="BF557" s="7"/>
      <c r="BH557" s="5"/>
      <c r="BI557" s="5"/>
      <c r="BJ557" s="5"/>
      <c r="BK557" s="5"/>
      <c r="BL557" s="5"/>
      <c r="BM557" s="5"/>
      <c r="BN557" s="5"/>
    </row>
    <row r="558">
      <c r="A558" s="5"/>
      <c r="B558" s="150"/>
      <c r="C558" s="151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6"/>
      <c r="BE558" s="5"/>
      <c r="BF558" s="7"/>
      <c r="BH558" s="5"/>
      <c r="BI558" s="5"/>
      <c r="BJ558" s="5"/>
      <c r="BK558" s="5"/>
      <c r="BL558" s="5"/>
      <c r="BM558" s="5"/>
      <c r="BN558" s="5"/>
    </row>
    <row r="559">
      <c r="A559" s="5"/>
      <c r="B559" s="150"/>
      <c r="C559" s="151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6"/>
      <c r="BE559" s="5"/>
      <c r="BF559" s="7"/>
      <c r="BH559" s="5"/>
      <c r="BI559" s="5"/>
      <c r="BJ559" s="5"/>
      <c r="BK559" s="5"/>
      <c r="BL559" s="5"/>
      <c r="BM559" s="5"/>
      <c r="BN559" s="5"/>
    </row>
    <row r="560">
      <c r="A560" s="5"/>
      <c r="B560" s="150"/>
      <c r="C560" s="151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6"/>
      <c r="BE560" s="5"/>
      <c r="BF560" s="7"/>
      <c r="BH560" s="5"/>
      <c r="BI560" s="5"/>
      <c r="BJ560" s="5"/>
      <c r="BK560" s="5"/>
      <c r="BL560" s="5"/>
      <c r="BM560" s="5"/>
      <c r="BN560" s="5"/>
    </row>
    <row r="561">
      <c r="A561" s="5"/>
      <c r="B561" s="150"/>
      <c r="C561" s="151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6"/>
      <c r="BE561" s="5"/>
      <c r="BF561" s="7"/>
      <c r="BH561" s="5"/>
      <c r="BI561" s="5"/>
      <c r="BJ561" s="5"/>
      <c r="BK561" s="5"/>
      <c r="BL561" s="5"/>
      <c r="BM561" s="5"/>
      <c r="BN561" s="5"/>
    </row>
    <row r="562">
      <c r="A562" s="5"/>
      <c r="B562" s="150"/>
      <c r="C562" s="151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6"/>
      <c r="BE562" s="5"/>
      <c r="BF562" s="7"/>
      <c r="BH562" s="5"/>
      <c r="BI562" s="5"/>
      <c r="BJ562" s="5"/>
      <c r="BK562" s="5"/>
      <c r="BL562" s="5"/>
      <c r="BM562" s="5"/>
      <c r="BN562" s="5"/>
    </row>
    <row r="563">
      <c r="A563" s="5"/>
      <c r="B563" s="150"/>
      <c r="C563" s="151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6"/>
      <c r="BE563" s="5"/>
      <c r="BF563" s="7"/>
      <c r="BH563" s="5"/>
      <c r="BI563" s="5"/>
      <c r="BJ563" s="5"/>
      <c r="BK563" s="5"/>
      <c r="BL563" s="5"/>
      <c r="BM563" s="5"/>
      <c r="BN563" s="5"/>
    </row>
    <row r="564">
      <c r="A564" s="5"/>
      <c r="B564" s="150"/>
      <c r="C564" s="151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6"/>
      <c r="BE564" s="5"/>
      <c r="BF564" s="7"/>
      <c r="BH564" s="5"/>
      <c r="BI564" s="5"/>
      <c r="BJ564" s="5"/>
      <c r="BK564" s="5"/>
      <c r="BL564" s="5"/>
      <c r="BM564" s="5"/>
      <c r="BN564" s="5"/>
    </row>
    <row r="565">
      <c r="A565" s="5"/>
      <c r="B565" s="150"/>
      <c r="C565" s="151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6"/>
      <c r="BE565" s="5"/>
      <c r="BF565" s="7"/>
      <c r="BH565" s="5"/>
      <c r="BI565" s="5"/>
      <c r="BJ565" s="5"/>
      <c r="BK565" s="5"/>
      <c r="BL565" s="5"/>
      <c r="BM565" s="5"/>
      <c r="BN565" s="5"/>
    </row>
    <row r="566">
      <c r="A566" s="5"/>
      <c r="B566" s="150"/>
      <c r="C566" s="151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6"/>
      <c r="BE566" s="5"/>
      <c r="BF566" s="7"/>
      <c r="BH566" s="5"/>
      <c r="BI566" s="5"/>
      <c r="BJ566" s="5"/>
      <c r="BK566" s="5"/>
      <c r="BL566" s="5"/>
      <c r="BM566" s="5"/>
      <c r="BN566" s="5"/>
    </row>
    <row r="567">
      <c r="A567" s="5"/>
      <c r="B567" s="150"/>
      <c r="C567" s="151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6"/>
      <c r="BE567" s="5"/>
      <c r="BF567" s="7"/>
      <c r="BH567" s="5"/>
      <c r="BI567" s="5"/>
      <c r="BJ567" s="5"/>
      <c r="BK567" s="5"/>
      <c r="BL567" s="5"/>
      <c r="BM567" s="5"/>
      <c r="BN567" s="5"/>
    </row>
    <row r="568">
      <c r="A568" s="5"/>
      <c r="B568" s="150"/>
      <c r="C568" s="151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6"/>
      <c r="BE568" s="5"/>
      <c r="BF568" s="7"/>
      <c r="BH568" s="5"/>
      <c r="BI568" s="5"/>
      <c r="BJ568" s="5"/>
      <c r="BK568" s="5"/>
      <c r="BL568" s="5"/>
      <c r="BM568" s="5"/>
      <c r="BN568" s="5"/>
    </row>
    <row r="569">
      <c r="A569" s="5"/>
      <c r="B569" s="150"/>
      <c r="C569" s="151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6"/>
      <c r="BE569" s="5"/>
      <c r="BF569" s="7"/>
      <c r="BH569" s="5"/>
      <c r="BI569" s="5"/>
      <c r="BJ569" s="5"/>
      <c r="BK569" s="5"/>
      <c r="BL569" s="5"/>
      <c r="BM569" s="5"/>
      <c r="BN569" s="5"/>
    </row>
    <row r="570">
      <c r="A570" s="5"/>
      <c r="B570" s="150"/>
      <c r="C570" s="151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6"/>
      <c r="BE570" s="5"/>
      <c r="BF570" s="7"/>
      <c r="BH570" s="5"/>
      <c r="BI570" s="5"/>
      <c r="BJ570" s="5"/>
      <c r="BK570" s="5"/>
      <c r="BL570" s="5"/>
      <c r="BM570" s="5"/>
      <c r="BN570" s="5"/>
    </row>
    <row r="571">
      <c r="A571" s="5"/>
      <c r="B571" s="150"/>
      <c r="C571" s="151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6"/>
      <c r="BE571" s="5"/>
      <c r="BF571" s="7"/>
      <c r="BH571" s="5"/>
      <c r="BI571" s="5"/>
      <c r="BJ571" s="5"/>
      <c r="BK571" s="5"/>
      <c r="BL571" s="5"/>
      <c r="BM571" s="5"/>
      <c r="BN571" s="5"/>
    </row>
    <row r="572">
      <c r="A572" s="5"/>
      <c r="B572" s="150"/>
      <c r="C572" s="151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6"/>
      <c r="BE572" s="5"/>
      <c r="BF572" s="7"/>
      <c r="BH572" s="5"/>
      <c r="BI572" s="5"/>
      <c r="BJ572" s="5"/>
      <c r="BK572" s="5"/>
      <c r="BL572" s="5"/>
      <c r="BM572" s="5"/>
      <c r="BN572" s="5"/>
    </row>
    <row r="573">
      <c r="A573" s="5"/>
      <c r="B573" s="150"/>
      <c r="C573" s="151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6"/>
      <c r="BE573" s="5"/>
      <c r="BF573" s="7"/>
      <c r="BH573" s="5"/>
      <c r="BI573" s="5"/>
      <c r="BJ573" s="5"/>
      <c r="BK573" s="5"/>
      <c r="BL573" s="5"/>
      <c r="BM573" s="5"/>
      <c r="BN573" s="5"/>
    </row>
    <row r="574">
      <c r="A574" s="5"/>
      <c r="B574" s="150"/>
      <c r="C574" s="151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6"/>
      <c r="BE574" s="5"/>
      <c r="BF574" s="7"/>
      <c r="BH574" s="5"/>
      <c r="BI574" s="5"/>
      <c r="BJ574" s="5"/>
      <c r="BK574" s="5"/>
      <c r="BL574" s="5"/>
      <c r="BM574" s="5"/>
      <c r="BN574" s="5"/>
    </row>
    <row r="575">
      <c r="A575" s="5"/>
      <c r="B575" s="150"/>
      <c r="C575" s="151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6"/>
      <c r="BE575" s="5"/>
      <c r="BF575" s="7"/>
      <c r="BH575" s="5"/>
      <c r="BI575" s="5"/>
      <c r="BJ575" s="5"/>
      <c r="BK575" s="5"/>
      <c r="BL575" s="5"/>
      <c r="BM575" s="5"/>
      <c r="BN575" s="5"/>
    </row>
    <row r="576">
      <c r="A576" s="5"/>
      <c r="B576" s="150"/>
      <c r="C576" s="151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6"/>
      <c r="BE576" s="5"/>
      <c r="BF576" s="7"/>
      <c r="BH576" s="5"/>
      <c r="BI576" s="5"/>
      <c r="BJ576" s="5"/>
      <c r="BK576" s="5"/>
      <c r="BL576" s="5"/>
      <c r="BM576" s="5"/>
      <c r="BN576" s="5"/>
    </row>
    <row r="577">
      <c r="A577" s="5"/>
      <c r="B577" s="150"/>
      <c r="C577" s="151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6"/>
      <c r="BE577" s="5"/>
      <c r="BF577" s="7"/>
      <c r="BH577" s="5"/>
      <c r="BI577" s="5"/>
      <c r="BJ577" s="5"/>
      <c r="BK577" s="5"/>
      <c r="BL577" s="5"/>
      <c r="BM577" s="5"/>
      <c r="BN577" s="5"/>
    </row>
    <row r="578">
      <c r="A578" s="5"/>
      <c r="B578" s="150"/>
      <c r="C578" s="151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6"/>
      <c r="BE578" s="5"/>
      <c r="BF578" s="7"/>
      <c r="BH578" s="5"/>
      <c r="BI578" s="5"/>
      <c r="BJ578" s="5"/>
      <c r="BK578" s="5"/>
      <c r="BL578" s="5"/>
      <c r="BM578" s="5"/>
      <c r="BN578" s="5"/>
    </row>
    <row r="579">
      <c r="A579" s="5"/>
      <c r="B579" s="150"/>
      <c r="C579" s="151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6"/>
      <c r="BE579" s="5"/>
      <c r="BF579" s="7"/>
      <c r="BH579" s="5"/>
      <c r="BI579" s="5"/>
      <c r="BJ579" s="5"/>
      <c r="BK579" s="5"/>
      <c r="BL579" s="5"/>
      <c r="BM579" s="5"/>
      <c r="BN579" s="5"/>
    </row>
    <row r="580">
      <c r="A580" s="5"/>
      <c r="B580" s="150"/>
      <c r="C580" s="151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6"/>
      <c r="BE580" s="5"/>
      <c r="BF580" s="7"/>
      <c r="BH580" s="5"/>
      <c r="BI580" s="5"/>
      <c r="BJ580" s="5"/>
      <c r="BK580" s="5"/>
      <c r="BL580" s="5"/>
      <c r="BM580" s="5"/>
      <c r="BN580" s="5"/>
    </row>
    <row r="581">
      <c r="A581" s="5"/>
      <c r="B581" s="150"/>
      <c r="C581" s="151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6"/>
      <c r="BE581" s="5"/>
      <c r="BF581" s="7"/>
      <c r="BH581" s="5"/>
      <c r="BI581" s="5"/>
      <c r="BJ581" s="5"/>
      <c r="BK581" s="5"/>
      <c r="BL581" s="5"/>
      <c r="BM581" s="5"/>
      <c r="BN581" s="5"/>
    </row>
    <row r="582">
      <c r="A582" s="5"/>
      <c r="B582" s="150"/>
      <c r="C582" s="151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6"/>
      <c r="BE582" s="5"/>
      <c r="BF582" s="7"/>
      <c r="BH582" s="5"/>
      <c r="BI582" s="5"/>
      <c r="BJ582" s="5"/>
      <c r="BK582" s="5"/>
      <c r="BL582" s="5"/>
      <c r="BM582" s="5"/>
      <c r="BN582" s="5"/>
    </row>
    <row r="583">
      <c r="A583" s="5"/>
      <c r="B583" s="150"/>
      <c r="C583" s="151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6"/>
      <c r="BE583" s="5"/>
      <c r="BF583" s="7"/>
      <c r="BH583" s="5"/>
      <c r="BI583" s="5"/>
      <c r="BJ583" s="5"/>
      <c r="BK583" s="5"/>
      <c r="BL583" s="5"/>
      <c r="BM583" s="5"/>
      <c r="BN583" s="5"/>
    </row>
    <row r="584">
      <c r="A584" s="5"/>
      <c r="B584" s="150"/>
      <c r="C584" s="151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6"/>
      <c r="BE584" s="5"/>
      <c r="BF584" s="7"/>
      <c r="BH584" s="5"/>
      <c r="BI584" s="5"/>
      <c r="BJ584" s="5"/>
      <c r="BK584" s="5"/>
      <c r="BL584" s="5"/>
      <c r="BM584" s="5"/>
      <c r="BN584" s="5"/>
    </row>
    <row r="585">
      <c r="A585" s="5"/>
      <c r="B585" s="150"/>
      <c r="C585" s="151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6"/>
      <c r="BE585" s="5"/>
      <c r="BF585" s="7"/>
      <c r="BH585" s="5"/>
      <c r="BI585" s="5"/>
      <c r="BJ585" s="5"/>
      <c r="BK585" s="5"/>
      <c r="BL585" s="5"/>
      <c r="BM585" s="5"/>
      <c r="BN585" s="5"/>
    </row>
    <row r="586">
      <c r="A586" s="5"/>
      <c r="B586" s="150"/>
      <c r="C586" s="151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6"/>
      <c r="BE586" s="5"/>
      <c r="BF586" s="7"/>
      <c r="BH586" s="5"/>
      <c r="BI586" s="5"/>
      <c r="BJ586" s="5"/>
      <c r="BK586" s="5"/>
      <c r="BL586" s="5"/>
      <c r="BM586" s="5"/>
      <c r="BN586" s="5"/>
    </row>
    <row r="587">
      <c r="A587" s="5"/>
      <c r="B587" s="150"/>
      <c r="C587" s="151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6"/>
      <c r="BE587" s="5"/>
      <c r="BF587" s="7"/>
      <c r="BH587" s="5"/>
      <c r="BI587" s="5"/>
      <c r="BJ587" s="5"/>
      <c r="BK587" s="5"/>
      <c r="BL587" s="5"/>
      <c r="BM587" s="5"/>
      <c r="BN587" s="5"/>
    </row>
    <row r="588">
      <c r="A588" s="5"/>
      <c r="B588" s="150"/>
      <c r="C588" s="151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6"/>
      <c r="BE588" s="5"/>
      <c r="BF588" s="7"/>
      <c r="BH588" s="5"/>
      <c r="BI588" s="5"/>
      <c r="BJ588" s="5"/>
      <c r="BK588" s="5"/>
      <c r="BL588" s="5"/>
      <c r="BM588" s="5"/>
      <c r="BN588" s="5"/>
    </row>
    <row r="589">
      <c r="A589" s="5"/>
      <c r="B589" s="150"/>
      <c r="C589" s="151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6"/>
      <c r="BE589" s="5"/>
      <c r="BF589" s="7"/>
      <c r="BH589" s="5"/>
      <c r="BI589" s="5"/>
      <c r="BJ589" s="5"/>
      <c r="BK589" s="5"/>
      <c r="BL589" s="5"/>
      <c r="BM589" s="5"/>
      <c r="BN589" s="5"/>
    </row>
    <row r="590">
      <c r="A590" s="5"/>
      <c r="B590" s="150"/>
      <c r="C590" s="151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6"/>
      <c r="BE590" s="5"/>
      <c r="BF590" s="7"/>
      <c r="BH590" s="5"/>
      <c r="BI590" s="5"/>
      <c r="BJ590" s="5"/>
      <c r="BK590" s="5"/>
      <c r="BL590" s="5"/>
      <c r="BM590" s="5"/>
      <c r="BN590" s="5"/>
    </row>
    <row r="591">
      <c r="A591" s="5"/>
      <c r="B591" s="150"/>
      <c r="C591" s="151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6"/>
      <c r="BE591" s="5"/>
      <c r="BF591" s="7"/>
      <c r="BH591" s="5"/>
      <c r="BI591" s="5"/>
      <c r="BJ591" s="5"/>
      <c r="BK591" s="5"/>
      <c r="BL591" s="5"/>
      <c r="BM591" s="5"/>
      <c r="BN591" s="5"/>
    </row>
    <row r="592">
      <c r="A592" s="5"/>
      <c r="B592" s="150"/>
      <c r="C592" s="151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6"/>
      <c r="BE592" s="5"/>
      <c r="BF592" s="7"/>
      <c r="BH592" s="5"/>
      <c r="BI592" s="5"/>
      <c r="BJ592" s="5"/>
      <c r="BK592" s="5"/>
      <c r="BL592" s="5"/>
      <c r="BM592" s="5"/>
      <c r="BN592" s="5"/>
    </row>
    <row r="593">
      <c r="A593" s="5"/>
      <c r="B593" s="150"/>
      <c r="C593" s="151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6"/>
      <c r="BE593" s="5"/>
      <c r="BF593" s="7"/>
      <c r="BH593" s="5"/>
      <c r="BI593" s="5"/>
      <c r="BJ593" s="5"/>
      <c r="BK593" s="5"/>
      <c r="BL593" s="5"/>
      <c r="BM593" s="5"/>
      <c r="BN593" s="5"/>
    </row>
    <row r="594">
      <c r="A594" s="5"/>
      <c r="B594" s="150"/>
      <c r="C594" s="151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6"/>
      <c r="BE594" s="5"/>
      <c r="BF594" s="7"/>
      <c r="BH594" s="5"/>
      <c r="BI594" s="5"/>
      <c r="BJ594" s="5"/>
      <c r="BK594" s="5"/>
      <c r="BL594" s="5"/>
      <c r="BM594" s="5"/>
      <c r="BN594" s="5"/>
    </row>
    <row r="595">
      <c r="A595" s="5"/>
      <c r="B595" s="150"/>
      <c r="C595" s="151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6"/>
      <c r="BE595" s="5"/>
      <c r="BF595" s="7"/>
      <c r="BH595" s="5"/>
      <c r="BI595" s="5"/>
      <c r="BJ595" s="5"/>
      <c r="BK595" s="5"/>
      <c r="BL595" s="5"/>
      <c r="BM595" s="5"/>
      <c r="BN595" s="5"/>
    </row>
    <row r="596">
      <c r="A596" s="5"/>
      <c r="B596" s="150"/>
      <c r="C596" s="151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6"/>
      <c r="BE596" s="5"/>
      <c r="BF596" s="7"/>
      <c r="BH596" s="5"/>
      <c r="BI596" s="5"/>
      <c r="BJ596" s="5"/>
      <c r="BK596" s="5"/>
      <c r="BL596" s="5"/>
      <c r="BM596" s="5"/>
      <c r="BN596" s="5"/>
    </row>
    <row r="597">
      <c r="A597" s="5"/>
      <c r="B597" s="150"/>
      <c r="C597" s="151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6"/>
      <c r="BE597" s="5"/>
      <c r="BF597" s="7"/>
      <c r="BH597" s="5"/>
      <c r="BI597" s="5"/>
      <c r="BJ597" s="5"/>
      <c r="BK597" s="5"/>
      <c r="BL597" s="5"/>
      <c r="BM597" s="5"/>
      <c r="BN597" s="5"/>
    </row>
    <row r="598">
      <c r="A598" s="5"/>
      <c r="B598" s="150"/>
      <c r="C598" s="151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6"/>
      <c r="BE598" s="5"/>
      <c r="BF598" s="7"/>
      <c r="BH598" s="5"/>
      <c r="BI598" s="5"/>
      <c r="BJ598" s="5"/>
      <c r="BK598" s="5"/>
      <c r="BL598" s="5"/>
      <c r="BM598" s="5"/>
      <c r="BN598" s="5"/>
    </row>
    <row r="599">
      <c r="A599" s="5"/>
      <c r="B599" s="150"/>
      <c r="C599" s="151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6"/>
      <c r="BE599" s="5"/>
      <c r="BF599" s="7"/>
      <c r="BH599" s="5"/>
      <c r="BI599" s="5"/>
      <c r="BJ599" s="5"/>
      <c r="BK599" s="5"/>
      <c r="BL599" s="5"/>
      <c r="BM599" s="5"/>
      <c r="BN599" s="5"/>
    </row>
    <row r="600">
      <c r="A600" s="5"/>
      <c r="B600" s="150"/>
      <c r="C600" s="151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6"/>
      <c r="BE600" s="5"/>
      <c r="BF600" s="7"/>
      <c r="BH600" s="5"/>
      <c r="BI600" s="5"/>
      <c r="BJ600" s="5"/>
      <c r="BK600" s="5"/>
      <c r="BL600" s="5"/>
      <c r="BM600" s="5"/>
      <c r="BN600" s="5"/>
    </row>
    <row r="601">
      <c r="A601" s="5"/>
      <c r="B601" s="150"/>
      <c r="C601" s="151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6"/>
      <c r="BE601" s="5"/>
      <c r="BF601" s="7"/>
      <c r="BH601" s="5"/>
      <c r="BI601" s="5"/>
      <c r="BJ601" s="5"/>
      <c r="BK601" s="5"/>
      <c r="BL601" s="5"/>
      <c r="BM601" s="5"/>
      <c r="BN601" s="5"/>
    </row>
    <row r="602">
      <c r="A602" s="5"/>
      <c r="B602" s="150"/>
      <c r="C602" s="151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6"/>
      <c r="BE602" s="5"/>
      <c r="BF602" s="7"/>
      <c r="BH602" s="5"/>
      <c r="BI602" s="5"/>
      <c r="BJ602" s="5"/>
      <c r="BK602" s="5"/>
      <c r="BL602" s="5"/>
      <c r="BM602" s="5"/>
      <c r="BN602" s="5"/>
    </row>
    <row r="603">
      <c r="A603" s="5"/>
      <c r="B603" s="150"/>
      <c r="C603" s="151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6"/>
      <c r="BE603" s="5"/>
      <c r="BF603" s="7"/>
      <c r="BH603" s="5"/>
      <c r="BI603" s="5"/>
      <c r="BJ603" s="5"/>
      <c r="BK603" s="5"/>
      <c r="BL603" s="5"/>
      <c r="BM603" s="5"/>
      <c r="BN603" s="5"/>
    </row>
    <row r="604">
      <c r="A604" s="5"/>
      <c r="B604" s="150"/>
      <c r="C604" s="151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6"/>
      <c r="BE604" s="5"/>
      <c r="BF604" s="7"/>
      <c r="BH604" s="5"/>
      <c r="BI604" s="5"/>
      <c r="BJ604" s="5"/>
      <c r="BK604" s="5"/>
      <c r="BL604" s="5"/>
      <c r="BM604" s="5"/>
      <c r="BN604" s="5"/>
    </row>
    <row r="605">
      <c r="A605" s="5"/>
      <c r="B605" s="150"/>
      <c r="C605" s="151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6"/>
      <c r="BE605" s="5"/>
      <c r="BF605" s="7"/>
      <c r="BH605" s="5"/>
      <c r="BI605" s="5"/>
      <c r="BJ605" s="5"/>
      <c r="BK605" s="5"/>
      <c r="BL605" s="5"/>
      <c r="BM605" s="5"/>
      <c r="BN605" s="5"/>
    </row>
    <row r="606">
      <c r="A606" s="5"/>
      <c r="B606" s="150"/>
      <c r="C606" s="151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6"/>
      <c r="BE606" s="5"/>
      <c r="BF606" s="7"/>
      <c r="BH606" s="5"/>
      <c r="BI606" s="5"/>
      <c r="BJ606" s="5"/>
      <c r="BK606" s="5"/>
      <c r="BL606" s="5"/>
      <c r="BM606" s="5"/>
      <c r="BN606" s="5"/>
    </row>
    <row r="607">
      <c r="A607" s="5"/>
      <c r="B607" s="150"/>
      <c r="C607" s="151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6"/>
      <c r="BE607" s="5"/>
      <c r="BF607" s="7"/>
      <c r="BH607" s="5"/>
      <c r="BI607" s="5"/>
      <c r="BJ607" s="5"/>
      <c r="BK607" s="5"/>
      <c r="BL607" s="5"/>
      <c r="BM607" s="5"/>
      <c r="BN607" s="5"/>
    </row>
    <row r="608">
      <c r="A608" s="5"/>
      <c r="B608" s="150"/>
      <c r="C608" s="151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6"/>
      <c r="BE608" s="5"/>
      <c r="BF608" s="7"/>
      <c r="BH608" s="5"/>
      <c r="BI608" s="5"/>
      <c r="BJ608" s="5"/>
      <c r="BK608" s="5"/>
      <c r="BL608" s="5"/>
      <c r="BM608" s="5"/>
      <c r="BN608" s="5"/>
    </row>
    <row r="609">
      <c r="A609" s="5"/>
      <c r="B609" s="150"/>
      <c r="C609" s="151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6"/>
      <c r="BE609" s="5"/>
      <c r="BF609" s="7"/>
      <c r="BH609" s="5"/>
      <c r="BI609" s="5"/>
      <c r="BJ609" s="5"/>
      <c r="BK609" s="5"/>
      <c r="BL609" s="5"/>
      <c r="BM609" s="5"/>
      <c r="BN609" s="5"/>
    </row>
    <row r="610">
      <c r="A610" s="5"/>
      <c r="B610" s="150"/>
      <c r="C610" s="151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6"/>
      <c r="BE610" s="5"/>
      <c r="BF610" s="7"/>
      <c r="BH610" s="5"/>
      <c r="BI610" s="5"/>
      <c r="BJ610" s="5"/>
      <c r="BK610" s="5"/>
      <c r="BL610" s="5"/>
      <c r="BM610" s="5"/>
      <c r="BN610" s="5"/>
    </row>
    <row r="611">
      <c r="A611" s="5"/>
      <c r="B611" s="150"/>
      <c r="C611" s="151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6"/>
      <c r="BE611" s="5"/>
      <c r="BF611" s="7"/>
      <c r="BH611" s="5"/>
      <c r="BI611" s="5"/>
      <c r="BJ611" s="5"/>
      <c r="BK611" s="5"/>
      <c r="BL611" s="5"/>
      <c r="BM611" s="5"/>
      <c r="BN611" s="5"/>
    </row>
    <row r="612">
      <c r="A612" s="5"/>
      <c r="B612" s="150"/>
      <c r="C612" s="151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6"/>
      <c r="BE612" s="5"/>
      <c r="BF612" s="7"/>
      <c r="BH612" s="5"/>
      <c r="BI612" s="5"/>
      <c r="BJ612" s="5"/>
      <c r="BK612" s="5"/>
      <c r="BL612" s="5"/>
      <c r="BM612" s="5"/>
      <c r="BN612" s="5"/>
    </row>
    <row r="613">
      <c r="A613" s="5"/>
      <c r="B613" s="150"/>
      <c r="C613" s="151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6"/>
      <c r="BE613" s="5"/>
      <c r="BF613" s="7"/>
      <c r="BH613" s="5"/>
      <c r="BI613" s="5"/>
      <c r="BJ613" s="5"/>
      <c r="BK613" s="5"/>
      <c r="BL613" s="5"/>
      <c r="BM613" s="5"/>
      <c r="BN613" s="5"/>
    </row>
    <row r="614">
      <c r="A614" s="5"/>
      <c r="B614" s="150"/>
      <c r="C614" s="151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6"/>
      <c r="BE614" s="5"/>
      <c r="BF614" s="7"/>
      <c r="BH614" s="5"/>
      <c r="BI614" s="5"/>
      <c r="BJ614" s="5"/>
      <c r="BK614" s="5"/>
      <c r="BL614" s="5"/>
      <c r="BM614" s="5"/>
      <c r="BN614" s="5"/>
    </row>
    <row r="615">
      <c r="A615" s="5"/>
      <c r="B615" s="150"/>
      <c r="C615" s="151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6"/>
      <c r="BE615" s="5"/>
      <c r="BF615" s="7"/>
      <c r="BH615" s="5"/>
      <c r="BI615" s="5"/>
      <c r="BJ615" s="5"/>
      <c r="BK615" s="5"/>
      <c r="BL615" s="5"/>
      <c r="BM615" s="5"/>
      <c r="BN615" s="5"/>
    </row>
    <row r="616">
      <c r="A616" s="5"/>
      <c r="B616" s="150"/>
      <c r="C616" s="151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6"/>
      <c r="BE616" s="5"/>
      <c r="BF616" s="7"/>
      <c r="BH616" s="5"/>
      <c r="BI616" s="5"/>
      <c r="BJ616" s="5"/>
      <c r="BK616" s="5"/>
      <c r="BL616" s="5"/>
      <c r="BM616" s="5"/>
      <c r="BN616" s="5"/>
    </row>
    <row r="617">
      <c r="A617" s="5"/>
      <c r="B617" s="150"/>
      <c r="C617" s="151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6"/>
      <c r="BE617" s="5"/>
      <c r="BF617" s="7"/>
      <c r="BH617" s="5"/>
      <c r="BI617" s="5"/>
      <c r="BJ617" s="5"/>
      <c r="BK617" s="5"/>
      <c r="BL617" s="5"/>
      <c r="BM617" s="5"/>
      <c r="BN617" s="5"/>
    </row>
    <row r="618">
      <c r="A618" s="5"/>
      <c r="B618" s="150"/>
      <c r="C618" s="151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6"/>
      <c r="BE618" s="5"/>
      <c r="BF618" s="7"/>
      <c r="BH618" s="5"/>
      <c r="BI618" s="5"/>
      <c r="BJ618" s="5"/>
      <c r="BK618" s="5"/>
      <c r="BL618" s="5"/>
      <c r="BM618" s="5"/>
      <c r="BN618" s="5"/>
    </row>
    <row r="619">
      <c r="A619" s="5"/>
      <c r="B619" s="150"/>
      <c r="C619" s="151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6"/>
      <c r="BE619" s="5"/>
      <c r="BF619" s="7"/>
      <c r="BH619" s="5"/>
      <c r="BI619" s="5"/>
      <c r="BJ619" s="5"/>
      <c r="BK619" s="5"/>
      <c r="BL619" s="5"/>
      <c r="BM619" s="5"/>
      <c r="BN619" s="5"/>
    </row>
    <row r="620">
      <c r="A620" s="5"/>
      <c r="B620" s="150"/>
      <c r="C620" s="151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6"/>
      <c r="BE620" s="5"/>
      <c r="BF620" s="7"/>
      <c r="BH620" s="5"/>
      <c r="BI620" s="5"/>
      <c r="BJ620" s="5"/>
      <c r="BK620" s="5"/>
      <c r="BL620" s="5"/>
      <c r="BM620" s="5"/>
      <c r="BN620" s="5"/>
    </row>
    <row r="621">
      <c r="A621" s="5"/>
      <c r="B621" s="150"/>
      <c r="C621" s="151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6"/>
      <c r="BE621" s="5"/>
      <c r="BF621" s="7"/>
      <c r="BH621" s="5"/>
      <c r="BI621" s="5"/>
      <c r="BJ621" s="5"/>
      <c r="BK621" s="5"/>
      <c r="BL621" s="5"/>
      <c r="BM621" s="5"/>
      <c r="BN621" s="5"/>
    </row>
    <row r="622">
      <c r="A622" s="5"/>
      <c r="B622" s="150"/>
      <c r="C622" s="151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6"/>
      <c r="BE622" s="5"/>
      <c r="BF622" s="7"/>
      <c r="BH622" s="5"/>
      <c r="BI622" s="5"/>
      <c r="BJ622" s="5"/>
      <c r="BK622" s="5"/>
      <c r="BL622" s="5"/>
      <c r="BM622" s="5"/>
      <c r="BN622" s="5"/>
    </row>
    <row r="623">
      <c r="A623" s="5"/>
      <c r="B623" s="150"/>
      <c r="C623" s="151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6"/>
      <c r="BE623" s="5"/>
      <c r="BF623" s="7"/>
      <c r="BH623" s="5"/>
      <c r="BI623" s="5"/>
      <c r="BJ623" s="5"/>
      <c r="BK623" s="5"/>
      <c r="BL623" s="5"/>
      <c r="BM623" s="5"/>
      <c r="BN623" s="5"/>
    </row>
    <row r="624">
      <c r="A624" s="5"/>
      <c r="B624" s="150"/>
      <c r="C624" s="151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6"/>
      <c r="BE624" s="5"/>
      <c r="BF624" s="7"/>
      <c r="BH624" s="5"/>
      <c r="BI624" s="5"/>
      <c r="BJ624" s="5"/>
      <c r="BK624" s="5"/>
      <c r="BL624" s="5"/>
      <c r="BM624" s="5"/>
      <c r="BN624" s="5"/>
    </row>
    <row r="625">
      <c r="A625" s="5"/>
      <c r="B625" s="150"/>
      <c r="C625" s="151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6"/>
      <c r="BE625" s="5"/>
      <c r="BF625" s="7"/>
      <c r="BH625" s="5"/>
      <c r="BI625" s="5"/>
      <c r="BJ625" s="5"/>
      <c r="BK625" s="5"/>
      <c r="BL625" s="5"/>
      <c r="BM625" s="5"/>
      <c r="BN625" s="5"/>
    </row>
    <row r="626">
      <c r="A626" s="5"/>
      <c r="B626" s="150"/>
      <c r="C626" s="151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6"/>
      <c r="BE626" s="5"/>
      <c r="BF626" s="7"/>
      <c r="BH626" s="5"/>
      <c r="BI626" s="5"/>
      <c r="BJ626" s="5"/>
      <c r="BK626" s="5"/>
      <c r="BL626" s="5"/>
      <c r="BM626" s="5"/>
      <c r="BN626" s="5"/>
    </row>
    <row r="627">
      <c r="A627" s="5"/>
      <c r="B627" s="150"/>
      <c r="C627" s="151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6"/>
      <c r="BE627" s="5"/>
      <c r="BF627" s="7"/>
      <c r="BH627" s="5"/>
      <c r="BI627" s="5"/>
      <c r="BJ627" s="5"/>
      <c r="BK627" s="5"/>
      <c r="BL627" s="5"/>
      <c r="BM627" s="5"/>
      <c r="BN627" s="5"/>
    </row>
    <row r="628">
      <c r="A628" s="5"/>
      <c r="B628" s="150"/>
      <c r="C628" s="151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6"/>
      <c r="BE628" s="5"/>
      <c r="BF628" s="7"/>
      <c r="BH628" s="5"/>
      <c r="BI628" s="5"/>
      <c r="BJ628" s="5"/>
      <c r="BK628" s="5"/>
      <c r="BL628" s="5"/>
      <c r="BM628" s="5"/>
      <c r="BN628" s="5"/>
    </row>
    <row r="629">
      <c r="A629" s="5"/>
      <c r="B629" s="150"/>
      <c r="C629" s="151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6"/>
      <c r="BE629" s="5"/>
      <c r="BF629" s="7"/>
      <c r="BH629" s="5"/>
      <c r="BI629" s="5"/>
      <c r="BJ629" s="5"/>
      <c r="BK629" s="5"/>
      <c r="BL629" s="5"/>
      <c r="BM629" s="5"/>
      <c r="BN629" s="5"/>
    </row>
    <row r="630">
      <c r="A630" s="5"/>
      <c r="B630" s="150"/>
      <c r="C630" s="151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6"/>
      <c r="BE630" s="5"/>
      <c r="BF630" s="7"/>
      <c r="BH630" s="5"/>
      <c r="BI630" s="5"/>
      <c r="BJ630" s="5"/>
      <c r="BK630" s="5"/>
      <c r="BL630" s="5"/>
      <c r="BM630" s="5"/>
      <c r="BN630" s="5"/>
    </row>
    <row r="631">
      <c r="A631" s="5"/>
      <c r="B631" s="150"/>
      <c r="C631" s="151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6"/>
      <c r="BE631" s="5"/>
      <c r="BF631" s="7"/>
      <c r="BH631" s="5"/>
      <c r="BI631" s="5"/>
      <c r="BJ631" s="5"/>
      <c r="BK631" s="5"/>
      <c r="BL631" s="5"/>
      <c r="BM631" s="5"/>
      <c r="BN631" s="5"/>
    </row>
    <row r="632">
      <c r="A632" s="5"/>
      <c r="B632" s="150"/>
      <c r="C632" s="151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6"/>
      <c r="BE632" s="5"/>
      <c r="BF632" s="7"/>
      <c r="BH632" s="5"/>
      <c r="BI632" s="5"/>
      <c r="BJ632" s="5"/>
      <c r="BK632" s="5"/>
      <c r="BL632" s="5"/>
      <c r="BM632" s="5"/>
      <c r="BN632" s="5"/>
    </row>
    <row r="633">
      <c r="A633" s="5"/>
      <c r="B633" s="150"/>
      <c r="C633" s="151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6"/>
      <c r="BE633" s="5"/>
      <c r="BF633" s="7"/>
      <c r="BH633" s="5"/>
      <c r="BI633" s="5"/>
      <c r="BJ633" s="5"/>
      <c r="BK633" s="5"/>
      <c r="BL633" s="5"/>
      <c r="BM633" s="5"/>
      <c r="BN633" s="5"/>
    </row>
    <row r="634">
      <c r="A634" s="5"/>
      <c r="B634" s="150"/>
      <c r="C634" s="151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6"/>
      <c r="BE634" s="5"/>
      <c r="BF634" s="7"/>
      <c r="BH634" s="5"/>
      <c r="BI634" s="5"/>
      <c r="BJ634" s="5"/>
      <c r="BK634" s="5"/>
      <c r="BL634" s="5"/>
      <c r="BM634" s="5"/>
      <c r="BN634" s="5"/>
    </row>
    <row r="635">
      <c r="A635" s="5"/>
      <c r="B635" s="150"/>
      <c r="C635" s="151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6"/>
      <c r="BE635" s="5"/>
      <c r="BF635" s="7"/>
      <c r="BH635" s="5"/>
      <c r="BI635" s="5"/>
      <c r="BJ635" s="5"/>
      <c r="BK635" s="5"/>
      <c r="BL635" s="5"/>
      <c r="BM635" s="5"/>
      <c r="BN635" s="5"/>
    </row>
    <row r="636">
      <c r="A636" s="5"/>
      <c r="B636" s="150"/>
      <c r="C636" s="151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6"/>
      <c r="BE636" s="5"/>
      <c r="BF636" s="7"/>
      <c r="BH636" s="5"/>
      <c r="BI636" s="5"/>
      <c r="BJ636" s="5"/>
      <c r="BK636" s="5"/>
      <c r="BL636" s="5"/>
      <c r="BM636" s="5"/>
      <c r="BN636" s="5"/>
    </row>
    <row r="637">
      <c r="A637" s="5"/>
      <c r="B637" s="150"/>
      <c r="C637" s="151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6"/>
      <c r="BE637" s="5"/>
      <c r="BF637" s="7"/>
      <c r="BH637" s="5"/>
      <c r="BI637" s="5"/>
      <c r="BJ637" s="5"/>
      <c r="BK637" s="5"/>
      <c r="BL637" s="5"/>
      <c r="BM637" s="5"/>
      <c r="BN637" s="5"/>
    </row>
    <row r="638">
      <c r="A638" s="5"/>
      <c r="B638" s="150"/>
      <c r="C638" s="151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6"/>
      <c r="BE638" s="5"/>
      <c r="BF638" s="7"/>
      <c r="BH638" s="5"/>
      <c r="BI638" s="5"/>
      <c r="BJ638" s="5"/>
      <c r="BK638" s="5"/>
      <c r="BL638" s="5"/>
      <c r="BM638" s="5"/>
      <c r="BN638" s="5"/>
    </row>
    <row r="639">
      <c r="A639" s="5"/>
      <c r="B639" s="150"/>
      <c r="C639" s="151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6"/>
      <c r="BE639" s="5"/>
      <c r="BF639" s="7"/>
      <c r="BH639" s="5"/>
      <c r="BI639" s="5"/>
      <c r="BJ639" s="5"/>
      <c r="BK639" s="5"/>
      <c r="BL639" s="5"/>
      <c r="BM639" s="5"/>
      <c r="BN639" s="5"/>
    </row>
    <row r="640">
      <c r="A640" s="5"/>
      <c r="B640" s="150"/>
      <c r="C640" s="151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6"/>
      <c r="BE640" s="5"/>
      <c r="BF640" s="7"/>
      <c r="BH640" s="5"/>
      <c r="BI640" s="5"/>
      <c r="BJ640" s="5"/>
      <c r="BK640" s="5"/>
      <c r="BL640" s="5"/>
      <c r="BM640" s="5"/>
      <c r="BN640" s="5"/>
    </row>
    <row r="641">
      <c r="A641" s="5"/>
      <c r="B641" s="150"/>
      <c r="C641" s="151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6"/>
      <c r="BE641" s="5"/>
      <c r="BF641" s="7"/>
      <c r="BH641" s="5"/>
      <c r="BI641" s="5"/>
      <c r="BJ641" s="5"/>
      <c r="BK641" s="5"/>
      <c r="BL641" s="5"/>
      <c r="BM641" s="5"/>
      <c r="BN641" s="5"/>
    </row>
    <row r="642">
      <c r="A642" s="5"/>
      <c r="B642" s="150"/>
      <c r="C642" s="151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6"/>
      <c r="BE642" s="5"/>
      <c r="BF642" s="7"/>
      <c r="BH642" s="5"/>
      <c r="BI642" s="5"/>
      <c r="BJ642" s="5"/>
      <c r="BK642" s="5"/>
      <c r="BL642" s="5"/>
      <c r="BM642" s="5"/>
      <c r="BN642" s="5"/>
    </row>
    <row r="643">
      <c r="A643" s="5"/>
      <c r="B643" s="150"/>
      <c r="C643" s="151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6"/>
      <c r="BE643" s="5"/>
      <c r="BF643" s="7"/>
      <c r="BH643" s="5"/>
      <c r="BI643" s="5"/>
      <c r="BJ643" s="5"/>
      <c r="BK643" s="5"/>
      <c r="BL643" s="5"/>
      <c r="BM643" s="5"/>
      <c r="BN643" s="5"/>
    </row>
    <row r="644">
      <c r="A644" s="5"/>
      <c r="B644" s="150"/>
      <c r="C644" s="151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6"/>
      <c r="BE644" s="5"/>
      <c r="BF644" s="7"/>
      <c r="BH644" s="5"/>
      <c r="BI644" s="5"/>
      <c r="BJ644" s="5"/>
      <c r="BK644" s="5"/>
      <c r="BL644" s="5"/>
      <c r="BM644" s="5"/>
      <c r="BN644" s="5"/>
    </row>
    <row r="645">
      <c r="A645" s="5"/>
      <c r="B645" s="150"/>
      <c r="C645" s="151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6"/>
      <c r="BE645" s="5"/>
      <c r="BF645" s="7"/>
      <c r="BH645" s="5"/>
      <c r="BI645" s="5"/>
      <c r="BJ645" s="5"/>
      <c r="BK645" s="5"/>
      <c r="BL645" s="5"/>
      <c r="BM645" s="5"/>
      <c r="BN645" s="5"/>
    </row>
    <row r="646">
      <c r="A646" s="5"/>
      <c r="B646" s="150"/>
      <c r="C646" s="151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6"/>
      <c r="BE646" s="5"/>
      <c r="BF646" s="7"/>
      <c r="BH646" s="5"/>
      <c r="BI646" s="5"/>
      <c r="BJ646" s="5"/>
      <c r="BK646" s="5"/>
      <c r="BL646" s="5"/>
      <c r="BM646" s="5"/>
      <c r="BN646" s="5"/>
    </row>
    <row r="647">
      <c r="A647" s="5"/>
      <c r="B647" s="150"/>
      <c r="C647" s="151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6"/>
      <c r="BE647" s="5"/>
      <c r="BF647" s="7"/>
      <c r="BH647" s="5"/>
      <c r="BI647" s="5"/>
      <c r="BJ647" s="5"/>
      <c r="BK647" s="5"/>
      <c r="BL647" s="5"/>
      <c r="BM647" s="5"/>
      <c r="BN647" s="5"/>
    </row>
    <row r="648">
      <c r="A648" s="5"/>
      <c r="B648" s="150"/>
      <c r="C648" s="151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6"/>
      <c r="BE648" s="5"/>
      <c r="BF648" s="7"/>
      <c r="BH648" s="5"/>
      <c r="BI648" s="5"/>
      <c r="BJ648" s="5"/>
      <c r="BK648" s="5"/>
      <c r="BL648" s="5"/>
      <c r="BM648" s="5"/>
      <c r="BN648" s="5"/>
    </row>
    <row r="649">
      <c r="A649" s="5"/>
      <c r="B649" s="150"/>
      <c r="C649" s="151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6"/>
      <c r="BE649" s="5"/>
      <c r="BF649" s="7"/>
      <c r="BH649" s="5"/>
      <c r="BI649" s="5"/>
      <c r="BJ649" s="5"/>
      <c r="BK649" s="5"/>
      <c r="BL649" s="5"/>
      <c r="BM649" s="5"/>
      <c r="BN649" s="5"/>
    </row>
    <row r="650">
      <c r="A650" s="5"/>
      <c r="B650" s="150"/>
      <c r="C650" s="151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6"/>
      <c r="BE650" s="5"/>
      <c r="BF650" s="7"/>
      <c r="BH650" s="5"/>
      <c r="BI650" s="5"/>
      <c r="BJ650" s="5"/>
      <c r="BK650" s="5"/>
      <c r="BL650" s="5"/>
      <c r="BM650" s="5"/>
      <c r="BN650" s="5"/>
    </row>
    <row r="651">
      <c r="A651" s="5"/>
      <c r="B651" s="150"/>
      <c r="C651" s="151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6"/>
      <c r="BE651" s="5"/>
      <c r="BF651" s="7"/>
      <c r="BH651" s="5"/>
      <c r="BI651" s="5"/>
      <c r="BJ651" s="5"/>
      <c r="BK651" s="5"/>
      <c r="BL651" s="5"/>
      <c r="BM651" s="5"/>
      <c r="BN651" s="5"/>
    </row>
    <row r="652">
      <c r="A652" s="5"/>
      <c r="B652" s="150"/>
      <c r="C652" s="151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6"/>
      <c r="BE652" s="5"/>
      <c r="BF652" s="7"/>
      <c r="BH652" s="5"/>
      <c r="BI652" s="5"/>
      <c r="BJ652" s="5"/>
      <c r="BK652" s="5"/>
      <c r="BL652" s="5"/>
      <c r="BM652" s="5"/>
      <c r="BN652" s="5"/>
    </row>
    <row r="653">
      <c r="A653" s="5"/>
      <c r="B653" s="150"/>
      <c r="C653" s="151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6"/>
      <c r="BE653" s="5"/>
      <c r="BF653" s="7"/>
      <c r="BH653" s="5"/>
      <c r="BI653" s="5"/>
      <c r="BJ653" s="5"/>
      <c r="BK653" s="5"/>
      <c r="BL653" s="5"/>
      <c r="BM653" s="5"/>
      <c r="BN653" s="5"/>
    </row>
    <row r="654">
      <c r="A654" s="5"/>
      <c r="B654" s="150"/>
      <c r="C654" s="151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6"/>
      <c r="BE654" s="5"/>
      <c r="BF654" s="7"/>
      <c r="BH654" s="5"/>
      <c r="BI654" s="5"/>
      <c r="BJ654" s="5"/>
      <c r="BK654" s="5"/>
      <c r="BL654" s="5"/>
      <c r="BM654" s="5"/>
      <c r="BN654" s="5"/>
    </row>
    <row r="655">
      <c r="A655" s="5"/>
      <c r="B655" s="150"/>
      <c r="C655" s="151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6"/>
      <c r="BE655" s="5"/>
      <c r="BF655" s="7"/>
      <c r="BH655" s="5"/>
      <c r="BI655" s="5"/>
      <c r="BJ655" s="5"/>
      <c r="BK655" s="5"/>
      <c r="BL655" s="5"/>
      <c r="BM655" s="5"/>
      <c r="BN655" s="5"/>
    </row>
    <row r="656">
      <c r="A656" s="5"/>
      <c r="B656" s="150"/>
      <c r="C656" s="151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6"/>
      <c r="BE656" s="5"/>
      <c r="BF656" s="7"/>
      <c r="BH656" s="5"/>
      <c r="BI656" s="5"/>
      <c r="BJ656" s="5"/>
      <c r="BK656" s="5"/>
      <c r="BL656" s="5"/>
      <c r="BM656" s="5"/>
      <c r="BN656" s="5"/>
    </row>
    <row r="657">
      <c r="A657" s="5"/>
      <c r="B657" s="150"/>
      <c r="C657" s="151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6"/>
      <c r="BE657" s="5"/>
      <c r="BF657" s="7"/>
      <c r="BH657" s="5"/>
      <c r="BI657" s="5"/>
      <c r="BJ657" s="5"/>
      <c r="BK657" s="5"/>
      <c r="BL657" s="5"/>
      <c r="BM657" s="5"/>
      <c r="BN657" s="5"/>
    </row>
    <row r="658">
      <c r="A658" s="5"/>
      <c r="B658" s="150"/>
      <c r="C658" s="151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6"/>
      <c r="BE658" s="5"/>
      <c r="BF658" s="7"/>
      <c r="BH658" s="5"/>
      <c r="BI658" s="5"/>
      <c r="BJ658" s="5"/>
      <c r="BK658" s="5"/>
      <c r="BL658" s="5"/>
      <c r="BM658" s="5"/>
      <c r="BN658" s="5"/>
    </row>
    <row r="659">
      <c r="A659" s="5"/>
      <c r="B659" s="150"/>
      <c r="C659" s="151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6"/>
      <c r="BE659" s="5"/>
      <c r="BF659" s="7"/>
      <c r="BH659" s="5"/>
      <c r="BI659" s="5"/>
      <c r="BJ659" s="5"/>
      <c r="BK659" s="5"/>
      <c r="BL659" s="5"/>
      <c r="BM659" s="5"/>
      <c r="BN659" s="5"/>
    </row>
    <row r="660">
      <c r="A660" s="5"/>
      <c r="B660" s="150"/>
      <c r="C660" s="151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6"/>
      <c r="BE660" s="5"/>
      <c r="BF660" s="7"/>
      <c r="BH660" s="5"/>
      <c r="BI660" s="5"/>
      <c r="BJ660" s="5"/>
      <c r="BK660" s="5"/>
      <c r="BL660" s="5"/>
      <c r="BM660" s="5"/>
      <c r="BN660" s="5"/>
    </row>
    <row r="661">
      <c r="A661" s="5"/>
      <c r="B661" s="150"/>
      <c r="C661" s="151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6"/>
      <c r="BE661" s="5"/>
      <c r="BF661" s="7"/>
      <c r="BH661" s="5"/>
      <c r="BI661" s="5"/>
      <c r="BJ661" s="5"/>
      <c r="BK661" s="5"/>
      <c r="BL661" s="5"/>
      <c r="BM661" s="5"/>
      <c r="BN661" s="5"/>
    </row>
    <row r="662">
      <c r="A662" s="5"/>
      <c r="B662" s="150"/>
      <c r="C662" s="151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6"/>
      <c r="BE662" s="5"/>
      <c r="BF662" s="7"/>
      <c r="BH662" s="5"/>
      <c r="BI662" s="5"/>
      <c r="BJ662" s="5"/>
      <c r="BK662" s="5"/>
      <c r="BL662" s="5"/>
      <c r="BM662" s="5"/>
      <c r="BN662" s="5"/>
    </row>
    <row r="663">
      <c r="A663" s="5"/>
      <c r="B663" s="150"/>
      <c r="C663" s="151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6"/>
      <c r="BE663" s="5"/>
      <c r="BF663" s="7"/>
      <c r="BH663" s="5"/>
      <c r="BI663" s="5"/>
      <c r="BJ663" s="5"/>
      <c r="BK663" s="5"/>
      <c r="BL663" s="5"/>
      <c r="BM663" s="5"/>
      <c r="BN663" s="5"/>
    </row>
    <row r="664">
      <c r="A664" s="5"/>
      <c r="B664" s="150"/>
      <c r="C664" s="151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6"/>
      <c r="BE664" s="5"/>
      <c r="BF664" s="7"/>
      <c r="BH664" s="5"/>
      <c r="BI664" s="5"/>
      <c r="BJ664" s="5"/>
      <c r="BK664" s="5"/>
      <c r="BL664" s="5"/>
      <c r="BM664" s="5"/>
      <c r="BN664" s="5"/>
    </row>
    <row r="665">
      <c r="A665" s="5"/>
      <c r="B665" s="150"/>
      <c r="C665" s="151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6"/>
      <c r="BE665" s="5"/>
      <c r="BF665" s="7"/>
      <c r="BH665" s="5"/>
      <c r="BI665" s="5"/>
      <c r="BJ665" s="5"/>
      <c r="BK665" s="5"/>
      <c r="BL665" s="5"/>
      <c r="BM665" s="5"/>
      <c r="BN665" s="5"/>
    </row>
    <row r="666">
      <c r="A666" s="5"/>
      <c r="B666" s="150"/>
      <c r="C666" s="151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6"/>
      <c r="BE666" s="5"/>
      <c r="BF666" s="7"/>
      <c r="BH666" s="5"/>
      <c r="BI666" s="5"/>
      <c r="BJ666" s="5"/>
      <c r="BK666" s="5"/>
      <c r="BL666" s="5"/>
      <c r="BM666" s="5"/>
      <c r="BN666" s="5"/>
    </row>
    <row r="667">
      <c r="A667" s="5"/>
      <c r="B667" s="150"/>
      <c r="C667" s="151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6"/>
      <c r="BE667" s="5"/>
      <c r="BF667" s="7"/>
      <c r="BH667" s="5"/>
      <c r="BI667" s="5"/>
      <c r="BJ667" s="5"/>
      <c r="BK667" s="5"/>
      <c r="BL667" s="5"/>
      <c r="BM667" s="5"/>
      <c r="BN667" s="5"/>
    </row>
    <row r="668">
      <c r="A668" s="5"/>
      <c r="B668" s="150"/>
      <c r="C668" s="151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6"/>
      <c r="BE668" s="5"/>
      <c r="BF668" s="7"/>
      <c r="BH668" s="5"/>
      <c r="BI668" s="5"/>
      <c r="BJ668" s="5"/>
      <c r="BK668" s="5"/>
      <c r="BL668" s="5"/>
      <c r="BM668" s="5"/>
      <c r="BN668" s="5"/>
    </row>
    <row r="669">
      <c r="A669" s="5"/>
      <c r="B669" s="150"/>
      <c r="C669" s="151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6"/>
      <c r="BE669" s="5"/>
      <c r="BF669" s="7"/>
      <c r="BH669" s="5"/>
      <c r="BI669" s="5"/>
      <c r="BJ669" s="5"/>
      <c r="BK669" s="5"/>
      <c r="BL669" s="5"/>
      <c r="BM669" s="5"/>
      <c r="BN669" s="5"/>
    </row>
    <row r="670">
      <c r="A670" s="5"/>
      <c r="B670" s="150"/>
      <c r="C670" s="151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6"/>
      <c r="BE670" s="5"/>
      <c r="BF670" s="7"/>
      <c r="BH670" s="5"/>
      <c r="BI670" s="5"/>
      <c r="BJ670" s="5"/>
      <c r="BK670" s="5"/>
      <c r="BL670" s="5"/>
      <c r="BM670" s="5"/>
      <c r="BN670" s="5"/>
    </row>
    <row r="671">
      <c r="A671" s="5"/>
      <c r="B671" s="150"/>
      <c r="C671" s="151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6"/>
      <c r="BE671" s="5"/>
      <c r="BF671" s="7"/>
      <c r="BH671" s="5"/>
      <c r="BI671" s="5"/>
      <c r="BJ671" s="5"/>
      <c r="BK671" s="5"/>
      <c r="BL671" s="5"/>
      <c r="BM671" s="5"/>
      <c r="BN671" s="5"/>
    </row>
    <row r="672">
      <c r="A672" s="5"/>
      <c r="B672" s="150"/>
      <c r="C672" s="151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6"/>
      <c r="BE672" s="5"/>
      <c r="BF672" s="7"/>
      <c r="BH672" s="5"/>
      <c r="BI672" s="5"/>
      <c r="BJ672" s="5"/>
      <c r="BK672" s="5"/>
      <c r="BL672" s="5"/>
      <c r="BM672" s="5"/>
      <c r="BN672" s="5"/>
    </row>
    <row r="673">
      <c r="A673" s="5"/>
      <c r="B673" s="150"/>
      <c r="C673" s="151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6"/>
      <c r="BE673" s="5"/>
      <c r="BF673" s="7"/>
      <c r="BH673" s="5"/>
      <c r="BI673" s="5"/>
      <c r="BJ673" s="5"/>
      <c r="BK673" s="5"/>
      <c r="BL673" s="5"/>
      <c r="BM673" s="5"/>
      <c r="BN673" s="5"/>
    </row>
    <row r="674">
      <c r="A674" s="5"/>
      <c r="B674" s="150"/>
      <c r="C674" s="151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6"/>
      <c r="BE674" s="5"/>
      <c r="BF674" s="7"/>
      <c r="BH674" s="5"/>
      <c r="BI674" s="5"/>
      <c r="BJ674" s="5"/>
      <c r="BK674" s="5"/>
      <c r="BL674" s="5"/>
      <c r="BM674" s="5"/>
      <c r="BN674" s="5"/>
    </row>
    <row r="675">
      <c r="A675" s="5"/>
      <c r="B675" s="150"/>
      <c r="C675" s="151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6"/>
      <c r="BE675" s="5"/>
      <c r="BF675" s="7"/>
      <c r="BH675" s="5"/>
      <c r="BI675" s="5"/>
      <c r="BJ675" s="5"/>
      <c r="BK675" s="5"/>
      <c r="BL675" s="5"/>
      <c r="BM675" s="5"/>
      <c r="BN675" s="5"/>
    </row>
    <row r="676">
      <c r="A676" s="5"/>
      <c r="B676" s="150"/>
      <c r="C676" s="151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6"/>
      <c r="BE676" s="5"/>
      <c r="BF676" s="7"/>
      <c r="BH676" s="5"/>
      <c r="BI676" s="5"/>
      <c r="BJ676" s="5"/>
      <c r="BK676" s="5"/>
      <c r="BL676" s="5"/>
      <c r="BM676" s="5"/>
      <c r="BN676" s="5"/>
    </row>
    <row r="677">
      <c r="A677" s="5"/>
      <c r="B677" s="150"/>
      <c r="C677" s="151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6"/>
      <c r="BE677" s="5"/>
      <c r="BF677" s="7"/>
      <c r="BH677" s="5"/>
      <c r="BI677" s="5"/>
      <c r="BJ677" s="5"/>
      <c r="BK677" s="5"/>
      <c r="BL677" s="5"/>
      <c r="BM677" s="5"/>
      <c r="BN677" s="5"/>
    </row>
    <row r="678">
      <c r="A678" s="5"/>
      <c r="B678" s="150"/>
      <c r="C678" s="151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6"/>
      <c r="BE678" s="5"/>
      <c r="BF678" s="7"/>
      <c r="BH678" s="5"/>
      <c r="BI678" s="5"/>
      <c r="BJ678" s="5"/>
      <c r="BK678" s="5"/>
      <c r="BL678" s="5"/>
      <c r="BM678" s="5"/>
      <c r="BN678" s="5"/>
    </row>
    <row r="679">
      <c r="A679" s="5"/>
      <c r="B679" s="150"/>
      <c r="C679" s="151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6"/>
      <c r="BE679" s="5"/>
      <c r="BF679" s="7"/>
      <c r="BH679" s="5"/>
      <c r="BI679" s="5"/>
      <c r="BJ679" s="5"/>
      <c r="BK679" s="5"/>
      <c r="BL679" s="5"/>
      <c r="BM679" s="5"/>
      <c r="BN679" s="5"/>
    </row>
    <row r="680">
      <c r="A680" s="5"/>
      <c r="B680" s="150"/>
      <c r="C680" s="151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6"/>
      <c r="BE680" s="5"/>
      <c r="BF680" s="7"/>
      <c r="BH680" s="5"/>
      <c r="BI680" s="5"/>
      <c r="BJ680" s="5"/>
      <c r="BK680" s="5"/>
      <c r="BL680" s="5"/>
      <c r="BM680" s="5"/>
      <c r="BN680" s="5"/>
    </row>
    <row r="681">
      <c r="A681" s="5"/>
      <c r="B681" s="150"/>
      <c r="C681" s="151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6"/>
      <c r="BE681" s="5"/>
      <c r="BF681" s="7"/>
      <c r="BH681" s="5"/>
      <c r="BI681" s="5"/>
      <c r="BJ681" s="5"/>
      <c r="BK681" s="5"/>
      <c r="BL681" s="5"/>
      <c r="BM681" s="5"/>
      <c r="BN681" s="5"/>
    </row>
    <row r="682">
      <c r="A682" s="5"/>
      <c r="B682" s="150"/>
      <c r="C682" s="151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6"/>
      <c r="BE682" s="5"/>
      <c r="BF682" s="7"/>
      <c r="BH682" s="5"/>
      <c r="BI682" s="5"/>
      <c r="BJ682" s="5"/>
      <c r="BK682" s="5"/>
      <c r="BL682" s="5"/>
      <c r="BM682" s="5"/>
      <c r="BN682" s="5"/>
    </row>
    <row r="683">
      <c r="A683" s="5"/>
      <c r="B683" s="150"/>
      <c r="C683" s="151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6"/>
      <c r="BE683" s="5"/>
      <c r="BF683" s="7"/>
      <c r="BH683" s="5"/>
      <c r="BI683" s="5"/>
      <c r="BJ683" s="5"/>
      <c r="BK683" s="5"/>
      <c r="BL683" s="5"/>
      <c r="BM683" s="5"/>
      <c r="BN683" s="5"/>
    </row>
    <row r="684">
      <c r="A684" s="5"/>
      <c r="B684" s="150"/>
      <c r="C684" s="151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6"/>
      <c r="BE684" s="5"/>
      <c r="BF684" s="7"/>
      <c r="BH684" s="5"/>
      <c r="BI684" s="5"/>
      <c r="BJ684" s="5"/>
      <c r="BK684" s="5"/>
      <c r="BL684" s="5"/>
      <c r="BM684" s="5"/>
      <c r="BN684" s="5"/>
    </row>
    <row r="685">
      <c r="A685" s="5"/>
      <c r="B685" s="150"/>
      <c r="C685" s="151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6"/>
      <c r="BE685" s="5"/>
      <c r="BF685" s="7"/>
      <c r="BH685" s="5"/>
      <c r="BI685" s="5"/>
      <c r="BJ685" s="5"/>
      <c r="BK685" s="5"/>
      <c r="BL685" s="5"/>
      <c r="BM685" s="5"/>
      <c r="BN685" s="5"/>
    </row>
    <row r="686">
      <c r="A686" s="5"/>
      <c r="B686" s="150"/>
      <c r="C686" s="151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6"/>
      <c r="BE686" s="5"/>
      <c r="BF686" s="7"/>
      <c r="BH686" s="5"/>
      <c r="BI686" s="5"/>
      <c r="BJ686" s="5"/>
      <c r="BK686" s="5"/>
      <c r="BL686" s="5"/>
      <c r="BM686" s="5"/>
      <c r="BN686" s="5"/>
    </row>
    <row r="687">
      <c r="A687" s="5"/>
      <c r="B687" s="150"/>
      <c r="C687" s="151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6"/>
      <c r="BE687" s="5"/>
      <c r="BF687" s="7"/>
      <c r="BH687" s="5"/>
      <c r="BI687" s="5"/>
      <c r="BJ687" s="5"/>
      <c r="BK687" s="5"/>
      <c r="BL687" s="5"/>
      <c r="BM687" s="5"/>
      <c r="BN687" s="5"/>
    </row>
    <row r="688">
      <c r="A688" s="5"/>
      <c r="B688" s="150"/>
      <c r="C688" s="151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6"/>
      <c r="BE688" s="5"/>
      <c r="BF688" s="7"/>
      <c r="BH688" s="5"/>
      <c r="BI688" s="5"/>
      <c r="BJ688" s="5"/>
      <c r="BK688" s="5"/>
      <c r="BL688" s="5"/>
      <c r="BM688" s="5"/>
      <c r="BN688" s="5"/>
    </row>
    <row r="689">
      <c r="A689" s="5"/>
      <c r="B689" s="150"/>
      <c r="C689" s="151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6"/>
      <c r="BE689" s="5"/>
      <c r="BF689" s="7"/>
      <c r="BH689" s="5"/>
      <c r="BI689" s="5"/>
      <c r="BJ689" s="5"/>
      <c r="BK689" s="5"/>
      <c r="BL689" s="5"/>
      <c r="BM689" s="5"/>
      <c r="BN689" s="5"/>
    </row>
    <row r="690">
      <c r="A690" s="5"/>
      <c r="B690" s="150"/>
      <c r="C690" s="151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6"/>
      <c r="BE690" s="5"/>
      <c r="BF690" s="7"/>
      <c r="BH690" s="5"/>
      <c r="BI690" s="5"/>
      <c r="BJ690" s="5"/>
      <c r="BK690" s="5"/>
      <c r="BL690" s="5"/>
      <c r="BM690" s="5"/>
      <c r="BN690" s="5"/>
    </row>
    <row r="691">
      <c r="A691" s="5"/>
      <c r="B691" s="150"/>
      <c r="C691" s="151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6"/>
      <c r="BE691" s="5"/>
      <c r="BF691" s="7"/>
      <c r="BH691" s="5"/>
      <c r="BI691" s="5"/>
      <c r="BJ691" s="5"/>
      <c r="BK691" s="5"/>
      <c r="BL691" s="5"/>
      <c r="BM691" s="5"/>
      <c r="BN691" s="5"/>
    </row>
    <row r="692">
      <c r="A692" s="5"/>
      <c r="B692" s="150"/>
      <c r="C692" s="151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6"/>
      <c r="BE692" s="5"/>
      <c r="BF692" s="7"/>
      <c r="BH692" s="5"/>
      <c r="BI692" s="5"/>
      <c r="BJ692" s="5"/>
      <c r="BK692" s="5"/>
      <c r="BL692" s="5"/>
      <c r="BM692" s="5"/>
      <c r="BN692" s="5"/>
    </row>
    <row r="693">
      <c r="A693" s="5"/>
      <c r="B693" s="150"/>
      <c r="C693" s="151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6"/>
      <c r="BE693" s="5"/>
      <c r="BF693" s="7"/>
      <c r="BH693" s="5"/>
      <c r="BI693" s="5"/>
      <c r="BJ693" s="5"/>
      <c r="BK693" s="5"/>
      <c r="BL693" s="5"/>
      <c r="BM693" s="5"/>
      <c r="BN693" s="5"/>
    </row>
    <row r="694">
      <c r="A694" s="5"/>
      <c r="B694" s="150"/>
      <c r="C694" s="151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6"/>
      <c r="BE694" s="5"/>
      <c r="BF694" s="7"/>
      <c r="BH694" s="5"/>
      <c r="BI694" s="5"/>
      <c r="BJ694" s="5"/>
      <c r="BK694" s="5"/>
      <c r="BL694" s="5"/>
      <c r="BM694" s="5"/>
      <c r="BN694" s="5"/>
    </row>
    <row r="695">
      <c r="A695" s="5"/>
      <c r="B695" s="150"/>
      <c r="C695" s="151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6"/>
      <c r="BE695" s="5"/>
      <c r="BF695" s="7"/>
      <c r="BH695" s="5"/>
      <c r="BI695" s="5"/>
      <c r="BJ695" s="5"/>
      <c r="BK695" s="5"/>
      <c r="BL695" s="5"/>
      <c r="BM695" s="5"/>
      <c r="BN695" s="5"/>
    </row>
    <row r="696">
      <c r="A696" s="5"/>
      <c r="B696" s="150"/>
      <c r="C696" s="151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6"/>
      <c r="BE696" s="5"/>
      <c r="BF696" s="7"/>
      <c r="BH696" s="5"/>
      <c r="BI696" s="5"/>
      <c r="BJ696" s="5"/>
      <c r="BK696" s="5"/>
      <c r="BL696" s="5"/>
      <c r="BM696" s="5"/>
      <c r="BN696" s="5"/>
    </row>
    <row r="697">
      <c r="A697" s="5"/>
      <c r="B697" s="150"/>
      <c r="C697" s="151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6"/>
      <c r="BE697" s="5"/>
      <c r="BF697" s="7"/>
      <c r="BH697" s="5"/>
      <c r="BI697" s="5"/>
      <c r="BJ697" s="5"/>
      <c r="BK697" s="5"/>
      <c r="BL697" s="5"/>
      <c r="BM697" s="5"/>
      <c r="BN697" s="5"/>
    </row>
    <row r="698">
      <c r="A698" s="5"/>
      <c r="B698" s="150"/>
      <c r="C698" s="151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6"/>
      <c r="BE698" s="5"/>
      <c r="BF698" s="7"/>
      <c r="BH698" s="5"/>
      <c r="BI698" s="5"/>
      <c r="BJ698" s="5"/>
      <c r="BK698" s="5"/>
      <c r="BL698" s="5"/>
      <c r="BM698" s="5"/>
      <c r="BN698" s="5"/>
    </row>
    <row r="699">
      <c r="A699" s="5"/>
      <c r="B699" s="150"/>
      <c r="C699" s="151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6"/>
      <c r="BE699" s="5"/>
      <c r="BF699" s="7"/>
      <c r="BH699" s="5"/>
      <c r="BI699" s="5"/>
      <c r="BJ699" s="5"/>
      <c r="BK699" s="5"/>
      <c r="BL699" s="5"/>
      <c r="BM699" s="5"/>
      <c r="BN699" s="5"/>
    </row>
    <row r="700">
      <c r="A700" s="5"/>
      <c r="B700" s="150"/>
      <c r="C700" s="151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6"/>
      <c r="BE700" s="5"/>
      <c r="BF700" s="7"/>
      <c r="BH700" s="5"/>
      <c r="BI700" s="5"/>
      <c r="BJ700" s="5"/>
      <c r="BK700" s="5"/>
      <c r="BL700" s="5"/>
      <c r="BM700" s="5"/>
      <c r="BN700" s="5"/>
    </row>
    <row r="701">
      <c r="A701" s="5"/>
      <c r="B701" s="150"/>
      <c r="C701" s="151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6"/>
      <c r="BE701" s="5"/>
      <c r="BF701" s="7"/>
      <c r="BH701" s="5"/>
      <c r="BI701" s="5"/>
      <c r="BJ701" s="5"/>
      <c r="BK701" s="5"/>
      <c r="BL701" s="5"/>
      <c r="BM701" s="5"/>
      <c r="BN701" s="5"/>
    </row>
    <row r="702">
      <c r="A702" s="5"/>
      <c r="B702" s="150"/>
      <c r="C702" s="151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6"/>
      <c r="BE702" s="5"/>
      <c r="BF702" s="7"/>
      <c r="BH702" s="5"/>
      <c r="BI702" s="5"/>
      <c r="BJ702" s="5"/>
      <c r="BK702" s="5"/>
      <c r="BL702" s="5"/>
      <c r="BM702" s="5"/>
      <c r="BN702" s="5"/>
    </row>
    <row r="703">
      <c r="A703" s="5"/>
      <c r="B703" s="150"/>
      <c r="C703" s="151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6"/>
      <c r="BE703" s="5"/>
      <c r="BF703" s="7"/>
      <c r="BH703" s="5"/>
      <c r="BI703" s="5"/>
      <c r="BJ703" s="5"/>
      <c r="BK703" s="5"/>
      <c r="BL703" s="5"/>
      <c r="BM703" s="5"/>
      <c r="BN703" s="5"/>
    </row>
    <row r="704">
      <c r="A704" s="5"/>
      <c r="B704" s="150"/>
      <c r="C704" s="151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6"/>
      <c r="BE704" s="5"/>
      <c r="BF704" s="7"/>
      <c r="BH704" s="5"/>
      <c r="BI704" s="5"/>
      <c r="BJ704" s="5"/>
      <c r="BK704" s="5"/>
      <c r="BL704" s="5"/>
      <c r="BM704" s="5"/>
      <c r="BN704" s="5"/>
    </row>
    <row r="705">
      <c r="A705" s="5"/>
      <c r="B705" s="150"/>
      <c r="C705" s="151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6"/>
      <c r="BE705" s="5"/>
      <c r="BF705" s="7"/>
      <c r="BH705" s="5"/>
      <c r="BI705" s="5"/>
      <c r="BJ705" s="5"/>
      <c r="BK705" s="5"/>
      <c r="BL705" s="5"/>
      <c r="BM705" s="5"/>
      <c r="BN705" s="5"/>
    </row>
    <row r="706">
      <c r="A706" s="5"/>
      <c r="B706" s="150"/>
      <c r="C706" s="151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6"/>
      <c r="BE706" s="5"/>
      <c r="BF706" s="7"/>
      <c r="BH706" s="5"/>
      <c r="BI706" s="5"/>
      <c r="BJ706" s="5"/>
      <c r="BK706" s="5"/>
      <c r="BL706" s="5"/>
      <c r="BM706" s="5"/>
      <c r="BN706" s="5"/>
    </row>
    <row r="707">
      <c r="A707" s="5"/>
      <c r="B707" s="150"/>
      <c r="C707" s="151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6"/>
      <c r="BE707" s="5"/>
      <c r="BF707" s="7"/>
      <c r="BH707" s="5"/>
      <c r="BI707" s="5"/>
      <c r="BJ707" s="5"/>
      <c r="BK707" s="5"/>
      <c r="BL707" s="5"/>
      <c r="BM707" s="5"/>
      <c r="BN707" s="5"/>
    </row>
    <row r="708">
      <c r="A708" s="5"/>
      <c r="B708" s="150"/>
      <c r="C708" s="151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6"/>
      <c r="BE708" s="5"/>
      <c r="BF708" s="7"/>
      <c r="BH708" s="5"/>
      <c r="BI708" s="5"/>
      <c r="BJ708" s="5"/>
      <c r="BK708" s="5"/>
      <c r="BL708" s="5"/>
      <c r="BM708" s="5"/>
      <c r="BN708" s="5"/>
    </row>
    <row r="709">
      <c r="A709" s="5"/>
      <c r="B709" s="150"/>
      <c r="C709" s="151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6"/>
      <c r="BE709" s="5"/>
      <c r="BF709" s="7"/>
      <c r="BH709" s="5"/>
      <c r="BI709" s="5"/>
      <c r="BJ709" s="5"/>
      <c r="BK709" s="5"/>
      <c r="BL709" s="5"/>
      <c r="BM709" s="5"/>
      <c r="BN709" s="5"/>
    </row>
    <row r="710">
      <c r="A710" s="5"/>
      <c r="B710" s="150"/>
      <c r="C710" s="151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6"/>
      <c r="BE710" s="5"/>
      <c r="BF710" s="7"/>
      <c r="BH710" s="5"/>
      <c r="BI710" s="5"/>
      <c r="BJ710" s="5"/>
      <c r="BK710" s="5"/>
      <c r="BL710" s="5"/>
      <c r="BM710" s="5"/>
      <c r="BN710" s="5"/>
    </row>
    <row r="711">
      <c r="A711" s="5"/>
      <c r="B711" s="150"/>
      <c r="C711" s="151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6"/>
      <c r="BE711" s="5"/>
      <c r="BF711" s="7"/>
      <c r="BH711" s="5"/>
      <c r="BI711" s="5"/>
      <c r="BJ711" s="5"/>
      <c r="BK711" s="5"/>
      <c r="BL711" s="5"/>
      <c r="BM711" s="5"/>
      <c r="BN711" s="5"/>
    </row>
    <row r="712">
      <c r="A712" s="5"/>
      <c r="B712" s="150"/>
      <c r="C712" s="151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6"/>
      <c r="BE712" s="5"/>
      <c r="BF712" s="7"/>
      <c r="BH712" s="5"/>
      <c r="BI712" s="5"/>
      <c r="BJ712" s="5"/>
      <c r="BK712" s="5"/>
      <c r="BL712" s="5"/>
      <c r="BM712" s="5"/>
      <c r="BN712" s="5"/>
    </row>
    <row r="713">
      <c r="A713" s="5"/>
      <c r="B713" s="150"/>
      <c r="C713" s="151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6"/>
      <c r="BE713" s="5"/>
      <c r="BF713" s="7"/>
      <c r="BH713" s="5"/>
      <c r="BI713" s="5"/>
      <c r="BJ713" s="5"/>
      <c r="BK713" s="5"/>
      <c r="BL713" s="5"/>
      <c r="BM713" s="5"/>
      <c r="BN713" s="5"/>
    </row>
    <row r="714">
      <c r="A714" s="5"/>
      <c r="B714" s="150"/>
      <c r="C714" s="151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6"/>
      <c r="BE714" s="5"/>
      <c r="BF714" s="7"/>
      <c r="BH714" s="5"/>
      <c r="BI714" s="5"/>
      <c r="BJ714" s="5"/>
      <c r="BK714" s="5"/>
      <c r="BL714" s="5"/>
      <c r="BM714" s="5"/>
      <c r="BN714" s="5"/>
    </row>
    <row r="715">
      <c r="A715" s="5"/>
      <c r="B715" s="150"/>
      <c r="C715" s="151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6"/>
      <c r="BE715" s="5"/>
      <c r="BF715" s="7"/>
      <c r="BH715" s="5"/>
      <c r="BI715" s="5"/>
      <c r="BJ715" s="5"/>
      <c r="BK715" s="5"/>
      <c r="BL715" s="5"/>
      <c r="BM715" s="5"/>
      <c r="BN715" s="5"/>
    </row>
    <row r="716">
      <c r="A716" s="5"/>
      <c r="B716" s="150"/>
      <c r="C716" s="151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6"/>
      <c r="BE716" s="5"/>
      <c r="BF716" s="7"/>
      <c r="BH716" s="5"/>
      <c r="BI716" s="5"/>
      <c r="BJ716" s="5"/>
      <c r="BK716" s="5"/>
      <c r="BL716" s="5"/>
      <c r="BM716" s="5"/>
      <c r="BN716" s="5"/>
    </row>
    <row r="717">
      <c r="A717" s="5"/>
      <c r="B717" s="150"/>
      <c r="C717" s="151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6"/>
      <c r="BE717" s="5"/>
      <c r="BF717" s="7"/>
      <c r="BH717" s="5"/>
      <c r="BI717" s="5"/>
      <c r="BJ717" s="5"/>
      <c r="BK717" s="5"/>
      <c r="BL717" s="5"/>
      <c r="BM717" s="5"/>
      <c r="BN717" s="5"/>
    </row>
    <row r="718">
      <c r="A718" s="5"/>
      <c r="B718" s="150"/>
      <c r="C718" s="151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6"/>
      <c r="BE718" s="5"/>
      <c r="BF718" s="7"/>
      <c r="BH718" s="5"/>
      <c r="BI718" s="5"/>
      <c r="BJ718" s="5"/>
      <c r="BK718" s="5"/>
      <c r="BL718" s="5"/>
      <c r="BM718" s="5"/>
      <c r="BN718" s="5"/>
    </row>
    <row r="719">
      <c r="A719" s="5"/>
      <c r="B719" s="150"/>
      <c r="C719" s="151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6"/>
      <c r="BE719" s="5"/>
      <c r="BF719" s="7"/>
      <c r="BH719" s="5"/>
      <c r="BI719" s="5"/>
      <c r="BJ719" s="5"/>
      <c r="BK719" s="5"/>
      <c r="BL719" s="5"/>
      <c r="BM719" s="5"/>
      <c r="BN719" s="5"/>
    </row>
    <row r="720">
      <c r="A720" s="5"/>
      <c r="B720" s="150"/>
      <c r="C720" s="151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6"/>
      <c r="BE720" s="5"/>
      <c r="BF720" s="7"/>
      <c r="BH720" s="5"/>
      <c r="BI720" s="5"/>
      <c r="BJ720" s="5"/>
      <c r="BK720" s="5"/>
      <c r="BL720" s="5"/>
      <c r="BM720" s="5"/>
      <c r="BN720" s="5"/>
    </row>
    <row r="721">
      <c r="A721" s="5"/>
      <c r="B721" s="150"/>
      <c r="C721" s="151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6"/>
      <c r="BE721" s="5"/>
      <c r="BF721" s="7"/>
      <c r="BH721" s="5"/>
      <c r="BI721" s="5"/>
      <c r="BJ721" s="5"/>
      <c r="BK721" s="5"/>
      <c r="BL721" s="5"/>
      <c r="BM721" s="5"/>
      <c r="BN721" s="5"/>
    </row>
    <row r="722">
      <c r="A722" s="5"/>
      <c r="B722" s="150"/>
      <c r="C722" s="151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6"/>
      <c r="BE722" s="5"/>
      <c r="BF722" s="7"/>
      <c r="BH722" s="5"/>
      <c r="BI722" s="5"/>
      <c r="BJ722" s="5"/>
      <c r="BK722" s="5"/>
      <c r="BL722" s="5"/>
      <c r="BM722" s="5"/>
      <c r="BN722" s="5"/>
    </row>
    <row r="723">
      <c r="A723" s="5"/>
      <c r="B723" s="150"/>
      <c r="C723" s="151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6"/>
      <c r="BE723" s="5"/>
      <c r="BF723" s="7"/>
      <c r="BH723" s="5"/>
      <c r="BI723" s="5"/>
      <c r="BJ723" s="5"/>
      <c r="BK723" s="5"/>
      <c r="BL723" s="5"/>
      <c r="BM723" s="5"/>
      <c r="BN723" s="5"/>
    </row>
    <row r="724">
      <c r="A724" s="5"/>
      <c r="B724" s="150"/>
      <c r="C724" s="151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6"/>
      <c r="BE724" s="5"/>
      <c r="BF724" s="7"/>
      <c r="BH724" s="5"/>
      <c r="BI724" s="5"/>
      <c r="BJ724" s="5"/>
      <c r="BK724" s="5"/>
      <c r="BL724" s="5"/>
      <c r="BM724" s="5"/>
      <c r="BN724" s="5"/>
    </row>
    <row r="725">
      <c r="A725" s="5"/>
      <c r="B725" s="150"/>
      <c r="C725" s="151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6"/>
      <c r="BE725" s="5"/>
      <c r="BF725" s="7"/>
      <c r="BH725" s="5"/>
      <c r="BI725" s="5"/>
      <c r="BJ725" s="5"/>
      <c r="BK725" s="5"/>
      <c r="BL725" s="5"/>
      <c r="BM725" s="5"/>
      <c r="BN725" s="5"/>
    </row>
    <row r="726">
      <c r="A726" s="5"/>
      <c r="B726" s="150"/>
      <c r="C726" s="151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6"/>
      <c r="BE726" s="5"/>
      <c r="BF726" s="7"/>
      <c r="BH726" s="5"/>
      <c r="BI726" s="5"/>
      <c r="BJ726" s="5"/>
      <c r="BK726" s="5"/>
      <c r="BL726" s="5"/>
      <c r="BM726" s="5"/>
      <c r="BN726" s="5"/>
    </row>
    <row r="727">
      <c r="A727" s="5"/>
      <c r="B727" s="150"/>
      <c r="C727" s="151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6"/>
      <c r="BE727" s="5"/>
      <c r="BF727" s="7"/>
      <c r="BH727" s="5"/>
      <c r="BI727" s="5"/>
      <c r="BJ727" s="5"/>
      <c r="BK727" s="5"/>
      <c r="BL727" s="5"/>
      <c r="BM727" s="5"/>
      <c r="BN727" s="5"/>
    </row>
    <row r="728">
      <c r="A728" s="5"/>
      <c r="B728" s="150"/>
      <c r="C728" s="151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6"/>
      <c r="BE728" s="5"/>
      <c r="BF728" s="7"/>
      <c r="BH728" s="5"/>
      <c r="BI728" s="5"/>
      <c r="BJ728" s="5"/>
      <c r="BK728" s="5"/>
      <c r="BL728" s="5"/>
      <c r="BM728" s="5"/>
      <c r="BN728" s="5"/>
    </row>
    <row r="729">
      <c r="A729" s="5"/>
      <c r="B729" s="150"/>
      <c r="C729" s="151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6"/>
      <c r="BE729" s="5"/>
      <c r="BF729" s="7"/>
      <c r="BH729" s="5"/>
      <c r="BI729" s="5"/>
      <c r="BJ729" s="5"/>
      <c r="BK729" s="5"/>
      <c r="BL729" s="5"/>
      <c r="BM729" s="5"/>
      <c r="BN729" s="5"/>
    </row>
    <row r="730">
      <c r="A730" s="5"/>
      <c r="B730" s="150"/>
      <c r="C730" s="151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6"/>
      <c r="BE730" s="5"/>
      <c r="BF730" s="7"/>
      <c r="BH730" s="5"/>
      <c r="BI730" s="5"/>
      <c r="BJ730" s="5"/>
      <c r="BK730" s="5"/>
      <c r="BL730" s="5"/>
      <c r="BM730" s="5"/>
      <c r="BN730" s="5"/>
    </row>
    <row r="731">
      <c r="A731" s="5"/>
      <c r="B731" s="150"/>
      <c r="C731" s="151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6"/>
      <c r="BE731" s="5"/>
      <c r="BF731" s="7"/>
      <c r="BH731" s="5"/>
      <c r="BI731" s="5"/>
      <c r="BJ731" s="5"/>
      <c r="BK731" s="5"/>
      <c r="BL731" s="5"/>
      <c r="BM731" s="5"/>
      <c r="BN731" s="5"/>
    </row>
    <row r="732">
      <c r="A732" s="5"/>
      <c r="B732" s="150"/>
      <c r="C732" s="151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6"/>
      <c r="BE732" s="5"/>
      <c r="BF732" s="7"/>
      <c r="BH732" s="5"/>
      <c r="BI732" s="5"/>
      <c r="BJ732" s="5"/>
      <c r="BK732" s="5"/>
      <c r="BL732" s="5"/>
      <c r="BM732" s="5"/>
      <c r="BN732" s="5"/>
    </row>
    <row r="733">
      <c r="A733" s="5"/>
      <c r="B733" s="150"/>
      <c r="C733" s="151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6"/>
      <c r="BE733" s="5"/>
      <c r="BF733" s="7"/>
      <c r="BH733" s="5"/>
      <c r="BI733" s="5"/>
      <c r="BJ733" s="5"/>
      <c r="BK733" s="5"/>
      <c r="BL733" s="5"/>
      <c r="BM733" s="5"/>
      <c r="BN733" s="5"/>
    </row>
    <row r="734">
      <c r="A734" s="5"/>
      <c r="B734" s="150"/>
      <c r="C734" s="151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6"/>
      <c r="BE734" s="5"/>
      <c r="BF734" s="7"/>
      <c r="BH734" s="5"/>
      <c r="BI734" s="5"/>
      <c r="BJ734" s="5"/>
      <c r="BK734" s="5"/>
      <c r="BL734" s="5"/>
      <c r="BM734" s="5"/>
      <c r="BN734" s="5"/>
    </row>
    <row r="735">
      <c r="A735" s="5"/>
      <c r="B735" s="150"/>
      <c r="C735" s="151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6"/>
      <c r="BE735" s="5"/>
      <c r="BF735" s="7"/>
      <c r="BH735" s="5"/>
      <c r="BI735" s="5"/>
      <c r="BJ735" s="5"/>
      <c r="BK735" s="5"/>
      <c r="BL735" s="5"/>
      <c r="BM735" s="5"/>
      <c r="BN735" s="5"/>
    </row>
    <row r="736">
      <c r="A736" s="5"/>
      <c r="B736" s="150"/>
      <c r="C736" s="151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6"/>
      <c r="BE736" s="5"/>
      <c r="BF736" s="7"/>
      <c r="BH736" s="5"/>
      <c r="BI736" s="5"/>
      <c r="BJ736" s="5"/>
      <c r="BK736" s="5"/>
      <c r="BL736" s="5"/>
      <c r="BM736" s="5"/>
      <c r="BN736" s="5"/>
    </row>
    <row r="737">
      <c r="A737" s="5"/>
      <c r="B737" s="150"/>
      <c r="C737" s="151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6"/>
      <c r="BE737" s="5"/>
      <c r="BF737" s="7"/>
      <c r="BH737" s="5"/>
      <c r="BI737" s="5"/>
      <c r="BJ737" s="5"/>
      <c r="BK737" s="5"/>
      <c r="BL737" s="5"/>
      <c r="BM737" s="5"/>
      <c r="BN737" s="5"/>
    </row>
    <row r="738">
      <c r="A738" s="5"/>
      <c r="B738" s="150"/>
      <c r="C738" s="151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6"/>
      <c r="BE738" s="5"/>
      <c r="BF738" s="7"/>
      <c r="BH738" s="5"/>
      <c r="BI738" s="5"/>
      <c r="BJ738" s="5"/>
      <c r="BK738" s="5"/>
      <c r="BL738" s="5"/>
      <c r="BM738" s="5"/>
      <c r="BN738" s="5"/>
    </row>
    <row r="739">
      <c r="A739" s="5"/>
      <c r="B739" s="150"/>
      <c r="C739" s="151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6"/>
      <c r="BE739" s="5"/>
      <c r="BF739" s="7"/>
      <c r="BH739" s="5"/>
      <c r="BI739" s="5"/>
      <c r="BJ739" s="5"/>
      <c r="BK739" s="5"/>
      <c r="BL739" s="5"/>
      <c r="BM739" s="5"/>
      <c r="BN739" s="5"/>
    </row>
    <row r="740">
      <c r="A740" s="5"/>
      <c r="B740" s="150"/>
      <c r="C740" s="151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6"/>
      <c r="BE740" s="5"/>
      <c r="BF740" s="7"/>
      <c r="BH740" s="5"/>
      <c r="BI740" s="5"/>
      <c r="BJ740" s="5"/>
      <c r="BK740" s="5"/>
      <c r="BL740" s="5"/>
      <c r="BM740" s="5"/>
      <c r="BN740" s="5"/>
    </row>
    <row r="741">
      <c r="A741" s="5"/>
      <c r="B741" s="150"/>
      <c r="C741" s="151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6"/>
      <c r="BE741" s="5"/>
      <c r="BF741" s="7"/>
      <c r="BH741" s="5"/>
      <c r="BI741" s="5"/>
      <c r="BJ741" s="5"/>
      <c r="BK741" s="5"/>
      <c r="BL741" s="5"/>
      <c r="BM741" s="5"/>
      <c r="BN741" s="5"/>
    </row>
    <row r="742">
      <c r="A742" s="5"/>
      <c r="B742" s="150"/>
      <c r="C742" s="151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6"/>
      <c r="BE742" s="5"/>
      <c r="BF742" s="7"/>
      <c r="BH742" s="5"/>
      <c r="BI742" s="5"/>
      <c r="BJ742" s="5"/>
      <c r="BK742" s="5"/>
      <c r="BL742" s="5"/>
      <c r="BM742" s="5"/>
      <c r="BN742" s="5"/>
    </row>
    <row r="743">
      <c r="A743" s="5"/>
      <c r="B743" s="150"/>
      <c r="C743" s="151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6"/>
      <c r="BE743" s="5"/>
      <c r="BF743" s="7"/>
      <c r="BH743" s="5"/>
      <c r="BI743" s="5"/>
      <c r="BJ743" s="5"/>
      <c r="BK743" s="5"/>
      <c r="BL743" s="5"/>
      <c r="BM743" s="5"/>
      <c r="BN743" s="5"/>
    </row>
    <row r="744">
      <c r="A744" s="5"/>
      <c r="B744" s="150"/>
      <c r="C744" s="151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6"/>
      <c r="BE744" s="5"/>
      <c r="BF744" s="7"/>
      <c r="BH744" s="5"/>
      <c r="BI744" s="5"/>
      <c r="BJ744" s="5"/>
      <c r="BK744" s="5"/>
      <c r="BL744" s="5"/>
      <c r="BM744" s="5"/>
      <c r="BN744" s="5"/>
    </row>
    <row r="745">
      <c r="A745" s="5"/>
      <c r="B745" s="150"/>
      <c r="C745" s="151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6"/>
      <c r="BE745" s="5"/>
      <c r="BF745" s="7"/>
      <c r="BH745" s="5"/>
      <c r="BI745" s="5"/>
      <c r="BJ745" s="5"/>
      <c r="BK745" s="5"/>
      <c r="BL745" s="5"/>
      <c r="BM745" s="5"/>
      <c r="BN745" s="5"/>
    </row>
    <row r="746">
      <c r="A746" s="5"/>
      <c r="B746" s="150"/>
      <c r="C746" s="151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6"/>
      <c r="BE746" s="5"/>
      <c r="BF746" s="7"/>
      <c r="BH746" s="5"/>
      <c r="BI746" s="5"/>
      <c r="BJ746" s="5"/>
      <c r="BK746" s="5"/>
      <c r="BL746" s="5"/>
      <c r="BM746" s="5"/>
      <c r="BN746" s="5"/>
    </row>
    <row r="747">
      <c r="A747" s="5"/>
      <c r="B747" s="150"/>
      <c r="C747" s="151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6"/>
      <c r="BE747" s="5"/>
      <c r="BF747" s="7"/>
      <c r="BH747" s="5"/>
      <c r="BI747" s="5"/>
      <c r="BJ747" s="5"/>
      <c r="BK747" s="5"/>
      <c r="BL747" s="5"/>
      <c r="BM747" s="5"/>
      <c r="BN747" s="5"/>
    </row>
    <row r="748">
      <c r="A748" s="5"/>
      <c r="B748" s="150"/>
      <c r="C748" s="151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6"/>
      <c r="BE748" s="5"/>
      <c r="BF748" s="7"/>
      <c r="BH748" s="5"/>
      <c r="BI748" s="5"/>
      <c r="BJ748" s="5"/>
      <c r="BK748" s="5"/>
      <c r="BL748" s="5"/>
      <c r="BM748" s="5"/>
      <c r="BN748" s="5"/>
    </row>
    <row r="749">
      <c r="A749" s="5"/>
      <c r="B749" s="150"/>
      <c r="C749" s="151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6"/>
      <c r="BE749" s="5"/>
      <c r="BF749" s="7"/>
      <c r="BH749" s="5"/>
      <c r="BI749" s="5"/>
      <c r="BJ749" s="5"/>
      <c r="BK749" s="5"/>
      <c r="BL749" s="5"/>
      <c r="BM749" s="5"/>
      <c r="BN749" s="5"/>
    </row>
    <row r="750">
      <c r="A750" s="5"/>
      <c r="B750" s="150"/>
      <c r="C750" s="151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6"/>
      <c r="BE750" s="5"/>
      <c r="BF750" s="7"/>
      <c r="BH750" s="5"/>
      <c r="BI750" s="5"/>
      <c r="BJ750" s="5"/>
      <c r="BK750" s="5"/>
      <c r="BL750" s="5"/>
      <c r="BM750" s="5"/>
      <c r="BN750" s="5"/>
    </row>
    <row r="751">
      <c r="A751" s="5"/>
      <c r="B751" s="150"/>
      <c r="C751" s="151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6"/>
      <c r="BE751" s="5"/>
      <c r="BF751" s="7"/>
      <c r="BH751" s="5"/>
      <c r="BI751" s="5"/>
      <c r="BJ751" s="5"/>
      <c r="BK751" s="5"/>
      <c r="BL751" s="5"/>
      <c r="BM751" s="5"/>
      <c r="BN751" s="5"/>
    </row>
    <row r="752">
      <c r="A752" s="5"/>
      <c r="B752" s="150"/>
      <c r="C752" s="151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6"/>
      <c r="BE752" s="5"/>
      <c r="BF752" s="7"/>
      <c r="BH752" s="5"/>
      <c r="BI752" s="5"/>
      <c r="BJ752" s="5"/>
      <c r="BK752" s="5"/>
      <c r="BL752" s="5"/>
      <c r="BM752" s="5"/>
      <c r="BN752" s="5"/>
    </row>
    <row r="753">
      <c r="A753" s="5"/>
      <c r="B753" s="150"/>
      <c r="C753" s="151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6"/>
      <c r="BE753" s="5"/>
      <c r="BF753" s="7"/>
      <c r="BH753" s="5"/>
      <c r="BI753" s="5"/>
      <c r="BJ753" s="5"/>
      <c r="BK753" s="5"/>
      <c r="BL753" s="5"/>
      <c r="BM753" s="5"/>
      <c r="BN753" s="5"/>
    </row>
    <row r="754">
      <c r="A754" s="5"/>
      <c r="B754" s="150"/>
      <c r="C754" s="151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6"/>
      <c r="BE754" s="5"/>
      <c r="BF754" s="7"/>
      <c r="BH754" s="5"/>
      <c r="BI754" s="5"/>
      <c r="BJ754" s="5"/>
      <c r="BK754" s="5"/>
      <c r="BL754" s="5"/>
      <c r="BM754" s="5"/>
      <c r="BN754" s="5"/>
    </row>
    <row r="755">
      <c r="A755" s="5"/>
      <c r="B755" s="150"/>
      <c r="C755" s="151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6"/>
      <c r="BE755" s="5"/>
      <c r="BF755" s="7"/>
      <c r="BH755" s="5"/>
      <c r="BI755" s="5"/>
      <c r="BJ755" s="5"/>
      <c r="BK755" s="5"/>
      <c r="BL755" s="5"/>
      <c r="BM755" s="5"/>
      <c r="BN755" s="5"/>
    </row>
    <row r="756">
      <c r="A756" s="5"/>
      <c r="B756" s="150"/>
      <c r="C756" s="151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6"/>
      <c r="BE756" s="5"/>
      <c r="BF756" s="7"/>
      <c r="BH756" s="5"/>
      <c r="BI756" s="5"/>
      <c r="BJ756" s="5"/>
      <c r="BK756" s="5"/>
      <c r="BL756" s="5"/>
      <c r="BM756" s="5"/>
      <c r="BN756" s="5"/>
    </row>
    <row r="757">
      <c r="A757" s="5"/>
      <c r="B757" s="150"/>
      <c r="C757" s="151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6"/>
      <c r="BE757" s="5"/>
      <c r="BF757" s="7"/>
      <c r="BH757" s="5"/>
      <c r="BI757" s="5"/>
      <c r="BJ757" s="5"/>
      <c r="BK757" s="5"/>
      <c r="BL757" s="5"/>
      <c r="BM757" s="5"/>
      <c r="BN757" s="5"/>
    </row>
    <row r="758">
      <c r="A758" s="5"/>
      <c r="B758" s="150"/>
      <c r="C758" s="151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6"/>
      <c r="BE758" s="5"/>
      <c r="BF758" s="7"/>
      <c r="BH758" s="5"/>
      <c r="BI758" s="5"/>
      <c r="BJ758" s="5"/>
      <c r="BK758" s="5"/>
      <c r="BL758" s="5"/>
      <c r="BM758" s="5"/>
      <c r="BN758" s="5"/>
    </row>
    <row r="759">
      <c r="A759" s="5"/>
      <c r="B759" s="150"/>
      <c r="C759" s="151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6"/>
      <c r="BE759" s="5"/>
      <c r="BF759" s="7"/>
      <c r="BH759" s="5"/>
      <c r="BI759" s="5"/>
      <c r="BJ759" s="5"/>
      <c r="BK759" s="5"/>
      <c r="BL759" s="5"/>
      <c r="BM759" s="5"/>
      <c r="BN759" s="5"/>
    </row>
    <row r="760">
      <c r="A760" s="5"/>
      <c r="B760" s="150"/>
      <c r="C760" s="151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6"/>
      <c r="BE760" s="5"/>
      <c r="BF760" s="7"/>
      <c r="BH760" s="5"/>
      <c r="BI760" s="5"/>
      <c r="BJ760" s="5"/>
      <c r="BK760" s="5"/>
      <c r="BL760" s="5"/>
      <c r="BM760" s="5"/>
      <c r="BN760" s="5"/>
    </row>
    <row r="761">
      <c r="A761" s="5"/>
      <c r="B761" s="150"/>
      <c r="C761" s="151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6"/>
      <c r="BE761" s="5"/>
      <c r="BF761" s="7"/>
      <c r="BH761" s="5"/>
      <c r="BI761" s="5"/>
      <c r="BJ761" s="5"/>
      <c r="BK761" s="5"/>
      <c r="BL761" s="5"/>
      <c r="BM761" s="5"/>
      <c r="BN761" s="5"/>
    </row>
    <row r="762">
      <c r="A762" s="5"/>
      <c r="B762" s="150"/>
      <c r="C762" s="151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6"/>
      <c r="BE762" s="5"/>
      <c r="BF762" s="7"/>
      <c r="BH762" s="5"/>
      <c r="BI762" s="5"/>
      <c r="BJ762" s="5"/>
      <c r="BK762" s="5"/>
      <c r="BL762" s="5"/>
      <c r="BM762" s="5"/>
      <c r="BN762" s="5"/>
    </row>
    <row r="763">
      <c r="A763" s="5"/>
      <c r="B763" s="150"/>
      <c r="C763" s="151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6"/>
      <c r="BE763" s="5"/>
      <c r="BF763" s="7"/>
      <c r="BH763" s="5"/>
      <c r="BI763" s="5"/>
      <c r="BJ763" s="5"/>
      <c r="BK763" s="5"/>
      <c r="BL763" s="5"/>
      <c r="BM763" s="5"/>
      <c r="BN763" s="5"/>
    </row>
    <row r="764">
      <c r="A764" s="5"/>
      <c r="B764" s="150"/>
      <c r="C764" s="151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6"/>
      <c r="BE764" s="5"/>
      <c r="BF764" s="7"/>
      <c r="BH764" s="5"/>
      <c r="BI764" s="5"/>
      <c r="BJ764" s="5"/>
      <c r="BK764" s="5"/>
      <c r="BL764" s="5"/>
      <c r="BM764" s="5"/>
      <c r="BN764" s="5"/>
    </row>
    <row r="765">
      <c r="A765" s="5"/>
      <c r="B765" s="150"/>
      <c r="C765" s="151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6"/>
      <c r="BE765" s="5"/>
      <c r="BF765" s="7"/>
      <c r="BH765" s="5"/>
      <c r="BI765" s="5"/>
      <c r="BJ765" s="5"/>
      <c r="BK765" s="5"/>
      <c r="BL765" s="5"/>
      <c r="BM765" s="5"/>
      <c r="BN765" s="5"/>
    </row>
    <row r="766">
      <c r="A766" s="5"/>
      <c r="B766" s="150"/>
      <c r="C766" s="151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6"/>
      <c r="BE766" s="5"/>
      <c r="BF766" s="7"/>
      <c r="BH766" s="5"/>
      <c r="BI766" s="5"/>
      <c r="BJ766" s="5"/>
      <c r="BK766" s="5"/>
      <c r="BL766" s="5"/>
      <c r="BM766" s="5"/>
      <c r="BN766" s="5"/>
    </row>
    <row r="767">
      <c r="A767" s="5"/>
      <c r="B767" s="150"/>
      <c r="C767" s="151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6"/>
      <c r="BE767" s="5"/>
      <c r="BF767" s="7"/>
      <c r="BH767" s="5"/>
      <c r="BI767" s="5"/>
      <c r="BJ767" s="5"/>
      <c r="BK767" s="5"/>
      <c r="BL767" s="5"/>
      <c r="BM767" s="5"/>
      <c r="BN767" s="5"/>
    </row>
    <row r="768">
      <c r="A768" s="5"/>
      <c r="B768" s="150"/>
      <c r="C768" s="151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6"/>
      <c r="BE768" s="5"/>
      <c r="BF768" s="7"/>
      <c r="BH768" s="5"/>
      <c r="BI768" s="5"/>
      <c r="BJ768" s="5"/>
      <c r="BK768" s="5"/>
      <c r="BL768" s="5"/>
      <c r="BM768" s="5"/>
      <c r="BN768" s="5"/>
    </row>
    <row r="769">
      <c r="A769" s="5"/>
      <c r="B769" s="150"/>
      <c r="C769" s="151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6"/>
      <c r="BE769" s="5"/>
      <c r="BF769" s="7"/>
      <c r="BH769" s="5"/>
      <c r="BI769" s="5"/>
      <c r="BJ769" s="5"/>
      <c r="BK769" s="5"/>
      <c r="BL769" s="5"/>
      <c r="BM769" s="5"/>
      <c r="BN769" s="5"/>
    </row>
    <row r="770">
      <c r="A770" s="5"/>
      <c r="B770" s="150"/>
      <c r="C770" s="151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6"/>
      <c r="BE770" s="5"/>
      <c r="BF770" s="7"/>
      <c r="BH770" s="5"/>
      <c r="BI770" s="5"/>
      <c r="BJ770" s="5"/>
      <c r="BK770" s="5"/>
      <c r="BL770" s="5"/>
      <c r="BM770" s="5"/>
      <c r="BN770" s="5"/>
    </row>
    <row r="771">
      <c r="A771" s="5"/>
      <c r="B771" s="150"/>
      <c r="C771" s="151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6"/>
      <c r="BE771" s="5"/>
      <c r="BF771" s="7"/>
      <c r="BH771" s="5"/>
      <c r="BI771" s="5"/>
      <c r="BJ771" s="5"/>
      <c r="BK771" s="5"/>
      <c r="BL771" s="5"/>
      <c r="BM771" s="5"/>
      <c r="BN771" s="5"/>
    </row>
    <row r="772">
      <c r="A772" s="5"/>
      <c r="B772" s="150"/>
      <c r="C772" s="151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6"/>
      <c r="BE772" s="5"/>
      <c r="BF772" s="7"/>
      <c r="BH772" s="5"/>
      <c r="BI772" s="5"/>
      <c r="BJ772" s="5"/>
      <c r="BK772" s="5"/>
      <c r="BL772" s="5"/>
      <c r="BM772" s="5"/>
      <c r="BN772" s="5"/>
    </row>
    <row r="773">
      <c r="A773" s="5"/>
      <c r="B773" s="150"/>
      <c r="C773" s="151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6"/>
      <c r="BE773" s="5"/>
      <c r="BF773" s="7"/>
      <c r="BH773" s="5"/>
      <c r="BI773" s="5"/>
      <c r="BJ773" s="5"/>
      <c r="BK773" s="5"/>
      <c r="BL773" s="5"/>
      <c r="BM773" s="5"/>
      <c r="BN773" s="5"/>
    </row>
    <row r="774">
      <c r="A774" s="5"/>
      <c r="B774" s="150"/>
      <c r="C774" s="151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6"/>
      <c r="BE774" s="5"/>
      <c r="BF774" s="7"/>
      <c r="BH774" s="5"/>
      <c r="BI774" s="5"/>
      <c r="BJ774" s="5"/>
      <c r="BK774" s="5"/>
      <c r="BL774" s="5"/>
      <c r="BM774" s="5"/>
      <c r="BN774" s="5"/>
    </row>
    <row r="775">
      <c r="A775" s="5"/>
      <c r="B775" s="150"/>
      <c r="C775" s="151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6"/>
      <c r="BE775" s="5"/>
      <c r="BF775" s="7"/>
      <c r="BH775" s="5"/>
      <c r="BI775" s="5"/>
      <c r="BJ775" s="5"/>
      <c r="BK775" s="5"/>
      <c r="BL775" s="5"/>
      <c r="BM775" s="5"/>
      <c r="BN775" s="5"/>
    </row>
    <row r="776">
      <c r="A776" s="5"/>
      <c r="B776" s="150"/>
      <c r="C776" s="151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6"/>
      <c r="BE776" s="5"/>
      <c r="BF776" s="7"/>
      <c r="BH776" s="5"/>
      <c r="BI776" s="5"/>
      <c r="BJ776" s="5"/>
      <c r="BK776" s="5"/>
      <c r="BL776" s="5"/>
      <c r="BM776" s="5"/>
      <c r="BN776" s="5"/>
    </row>
    <row r="777">
      <c r="A777" s="5"/>
      <c r="B777" s="150"/>
      <c r="C777" s="151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6"/>
      <c r="BE777" s="5"/>
      <c r="BF777" s="7"/>
      <c r="BH777" s="5"/>
      <c r="BI777" s="5"/>
      <c r="BJ777" s="5"/>
      <c r="BK777" s="5"/>
      <c r="BL777" s="5"/>
      <c r="BM777" s="5"/>
      <c r="BN777" s="5"/>
    </row>
    <row r="778">
      <c r="A778" s="5"/>
      <c r="B778" s="150"/>
      <c r="C778" s="151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6"/>
      <c r="BE778" s="5"/>
      <c r="BF778" s="7"/>
      <c r="BH778" s="5"/>
      <c r="BI778" s="5"/>
      <c r="BJ778" s="5"/>
      <c r="BK778" s="5"/>
      <c r="BL778" s="5"/>
      <c r="BM778" s="5"/>
      <c r="BN778" s="5"/>
    </row>
    <row r="779">
      <c r="A779" s="5"/>
      <c r="B779" s="150"/>
      <c r="C779" s="151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6"/>
      <c r="BE779" s="5"/>
      <c r="BF779" s="7"/>
      <c r="BH779" s="5"/>
      <c r="BI779" s="5"/>
      <c r="BJ779" s="5"/>
      <c r="BK779" s="5"/>
      <c r="BL779" s="5"/>
      <c r="BM779" s="5"/>
      <c r="BN779" s="5"/>
    </row>
    <row r="780">
      <c r="A780" s="5"/>
      <c r="B780" s="150"/>
      <c r="C780" s="151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6"/>
      <c r="BE780" s="5"/>
      <c r="BF780" s="7"/>
      <c r="BH780" s="5"/>
      <c r="BI780" s="5"/>
      <c r="BJ780" s="5"/>
      <c r="BK780" s="5"/>
      <c r="BL780" s="5"/>
      <c r="BM780" s="5"/>
      <c r="BN780" s="5"/>
    </row>
    <row r="781">
      <c r="A781" s="5"/>
      <c r="B781" s="150"/>
      <c r="C781" s="151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6"/>
      <c r="BE781" s="5"/>
      <c r="BF781" s="7"/>
      <c r="BH781" s="5"/>
      <c r="BI781" s="5"/>
      <c r="BJ781" s="5"/>
      <c r="BK781" s="5"/>
      <c r="BL781" s="5"/>
      <c r="BM781" s="5"/>
      <c r="BN781" s="5"/>
    </row>
    <row r="782">
      <c r="A782" s="5"/>
      <c r="B782" s="150"/>
      <c r="C782" s="151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6"/>
      <c r="BE782" s="5"/>
      <c r="BF782" s="7"/>
      <c r="BH782" s="5"/>
      <c r="BI782" s="5"/>
      <c r="BJ782" s="5"/>
      <c r="BK782" s="5"/>
      <c r="BL782" s="5"/>
      <c r="BM782" s="5"/>
      <c r="BN782" s="5"/>
    </row>
    <row r="783">
      <c r="A783" s="5"/>
      <c r="B783" s="150"/>
      <c r="C783" s="151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6"/>
      <c r="BE783" s="5"/>
      <c r="BF783" s="7"/>
      <c r="BH783" s="5"/>
      <c r="BI783" s="5"/>
      <c r="BJ783" s="5"/>
      <c r="BK783" s="5"/>
      <c r="BL783" s="5"/>
      <c r="BM783" s="5"/>
      <c r="BN783" s="5"/>
    </row>
    <row r="784">
      <c r="A784" s="5"/>
      <c r="B784" s="150"/>
      <c r="C784" s="151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6"/>
      <c r="BE784" s="5"/>
      <c r="BF784" s="7"/>
      <c r="BH784" s="5"/>
      <c r="BI784" s="5"/>
      <c r="BJ784" s="5"/>
      <c r="BK784" s="5"/>
      <c r="BL784" s="5"/>
      <c r="BM784" s="5"/>
      <c r="BN784" s="5"/>
    </row>
    <row r="785">
      <c r="A785" s="5"/>
      <c r="B785" s="150"/>
      <c r="C785" s="151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6"/>
      <c r="BE785" s="5"/>
      <c r="BF785" s="7"/>
      <c r="BH785" s="5"/>
      <c r="BI785" s="5"/>
      <c r="BJ785" s="5"/>
      <c r="BK785" s="5"/>
      <c r="BL785" s="5"/>
      <c r="BM785" s="5"/>
      <c r="BN785" s="5"/>
    </row>
    <row r="786">
      <c r="A786" s="5"/>
      <c r="B786" s="150"/>
      <c r="C786" s="151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6"/>
      <c r="BE786" s="5"/>
      <c r="BF786" s="7"/>
      <c r="BH786" s="5"/>
      <c r="BI786" s="5"/>
      <c r="BJ786" s="5"/>
      <c r="BK786" s="5"/>
      <c r="BL786" s="5"/>
      <c r="BM786" s="5"/>
      <c r="BN786" s="5"/>
    </row>
    <row r="787">
      <c r="A787" s="5"/>
      <c r="B787" s="150"/>
      <c r="C787" s="151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6"/>
      <c r="BE787" s="5"/>
      <c r="BF787" s="7"/>
      <c r="BH787" s="5"/>
      <c r="BI787" s="5"/>
      <c r="BJ787" s="5"/>
      <c r="BK787" s="5"/>
      <c r="BL787" s="5"/>
      <c r="BM787" s="5"/>
      <c r="BN787" s="5"/>
    </row>
    <row r="788">
      <c r="A788" s="5"/>
      <c r="B788" s="150"/>
      <c r="C788" s="151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6"/>
      <c r="BE788" s="5"/>
      <c r="BF788" s="7"/>
      <c r="BH788" s="5"/>
      <c r="BI788" s="5"/>
      <c r="BJ788" s="5"/>
      <c r="BK788" s="5"/>
      <c r="BL788" s="5"/>
      <c r="BM788" s="5"/>
      <c r="BN788" s="5"/>
    </row>
    <row r="789">
      <c r="A789" s="5"/>
      <c r="B789" s="150"/>
      <c r="C789" s="151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6"/>
      <c r="BE789" s="5"/>
      <c r="BF789" s="7"/>
      <c r="BH789" s="5"/>
      <c r="BI789" s="5"/>
      <c r="BJ789" s="5"/>
      <c r="BK789" s="5"/>
      <c r="BL789" s="5"/>
      <c r="BM789" s="5"/>
      <c r="BN789" s="5"/>
    </row>
    <row r="790">
      <c r="A790" s="5"/>
      <c r="B790" s="150"/>
      <c r="C790" s="151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6"/>
      <c r="BE790" s="5"/>
      <c r="BF790" s="7"/>
      <c r="BH790" s="5"/>
      <c r="BI790" s="5"/>
      <c r="BJ790" s="5"/>
      <c r="BK790" s="5"/>
      <c r="BL790" s="5"/>
      <c r="BM790" s="5"/>
      <c r="BN790" s="5"/>
    </row>
    <row r="791">
      <c r="A791" s="5"/>
      <c r="B791" s="150"/>
      <c r="C791" s="151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6"/>
      <c r="BE791" s="5"/>
      <c r="BF791" s="7"/>
      <c r="BH791" s="5"/>
      <c r="BI791" s="5"/>
      <c r="BJ791" s="5"/>
      <c r="BK791" s="5"/>
      <c r="BL791" s="5"/>
      <c r="BM791" s="5"/>
      <c r="BN791" s="5"/>
    </row>
    <row r="792">
      <c r="A792" s="5"/>
      <c r="B792" s="150"/>
      <c r="C792" s="151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6"/>
      <c r="BE792" s="5"/>
      <c r="BF792" s="7"/>
      <c r="BH792" s="5"/>
      <c r="BI792" s="5"/>
      <c r="BJ792" s="5"/>
      <c r="BK792" s="5"/>
      <c r="BL792" s="5"/>
      <c r="BM792" s="5"/>
      <c r="BN792" s="5"/>
    </row>
    <row r="793">
      <c r="A793" s="5"/>
      <c r="B793" s="150"/>
      <c r="C793" s="151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6"/>
      <c r="BE793" s="5"/>
      <c r="BF793" s="7"/>
      <c r="BH793" s="5"/>
      <c r="BI793" s="5"/>
      <c r="BJ793" s="5"/>
      <c r="BK793" s="5"/>
      <c r="BL793" s="5"/>
      <c r="BM793" s="5"/>
      <c r="BN793" s="5"/>
    </row>
    <row r="794">
      <c r="A794" s="5"/>
      <c r="B794" s="150"/>
      <c r="C794" s="151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6"/>
      <c r="BE794" s="5"/>
      <c r="BF794" s="7"/>
      <c r="BH794" s="5"/>
      <c r="BI794" s="5"/>
      <c r="BJ794" s="5"/>
      <c r="BK794" s="5"/>
      <c r="BL794" s="5"/>
      <c r="BM794" s="5"/>
      <c r="BN794" s="5"/>
    </row>
    <row r="795">
      <c r="A795" s="5"/>
      <c r="B795" s="150"/>
      <c r="C795" s="151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6"/>
      <c r="BE795" s="5"/>
      <c r="BF795" s="7"/>
      <c r="BH795" s="5"/>
      <c r="BI795" s="5"/>
      <c r="BJ795" s="5"/>
      <c r="BK795" s="5"/>
      <c r="BL795" s="5"/>
      <c r="BM795" s="5"/>
      <c r="BN795" s="5"/>
    </row>
    <row r="796">
      <c r="A796" s="5"/>
      <c r="B796" s="150"/>
      <c r="C796" s="151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6"/>
      <c r="BE796" s="5"/>
      <c r="BF796" s="7"/>
      <c r="BH796" s="5"/>
      <c r="BI796" s="5"/>
      <c r="BJ796" s="5"/>
      <c r="BK796" s="5"/>
      <c r="BL796" s="5"/>
      <c r="BM796" s="5"/>
      <c r="BN796" s="5"/>
    </row>
    <row r="797">
      <c r="A797" s="5"/>
      <c r="B797" s="150"/>
      <c r="C797" s="151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6"/>
      <c r="BE797" s="5"/>
      <c r="BF797" s="7"/>
      <c r="BH797" s="5"/>
      <c r="BI797" s="5"/>
      <c r="BJ797" s="5"/>
      <c r="BK797" s="5"/>
      <c r="BL797" s="5"/>
      <c r="BM797" s="5"/>
      <c r="BN797" s="5"/>
    </row>
    <row r="798">
      <c r="A798" s="5"/>
      <c r="B798" s="150"/>
      <c r="C798" s="151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6"/>
      <c r="BE798" s="5"/>
      <c r="BF798" s="7"/>
      <c r="BH798" s="5"/>
      <c r="BI798" s="5"/>
      <c r="BJ798" s="5"/>
      <c r="BK798" s="5"/>
      <c r="BL798" s="5"/>
      <c r="BM798" s="5"/>
      <c r="BN798" s="5"/>
    </row>
    <row r="799">
      <c r="A799" s="5"/>
      <c r="B799" s="150"/>
      <c r="C799" s="151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6"/>
      <c r="BE799" s="5"/>
      <c r="BF799" s="7"/>
      <c r="BH799" s="5"/>
      <c r="BI799" s="5"/>
      <c r="BJ799" s="5"/>
      <c r="BK799" s="5"/>
      <c r="BL799" s="5"/>
      <c r="BM799" s="5"/>
      <c r="BN799" s="5"/>
    </row>
    <row r="800">
      <c r="A800" s="5"/>
      <c r="B800" s="150"/>
      <c r="C800" s="151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6"/>
      <c r="BE800" s="5"/>
      <c r="BF800" s="7"/>
      <c r="BH800" s="5"/>
      <c r="BI800" s="5"/>
      <c r="BJ800" s="5"/>
      <c r="BK800" s="5"/>
      <c r="BL800" s="5"/>
      <c r="BM800" s="5"/>
      <c r="BN800" s="5"/>
    </row>
    <row r="801">
      <c r="A801" s="5"/>
      <c r="B801" s="150"/>
      <c r="C801" s="151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6"/>
      <c r="BE801" s="5"/>
      <c r="BF801" s="7"/>
      <c r="BH801" s="5"/>
      <c r="BI801" s="5"/>
      <c r="BJ801" s="5"/>
      <c r="BK801" s="5"/>
      <c r="BL801" s="5"/>
      <c r="BM801" s="5"/>
      <c r="BN801" s="5"/>
    </row>
    <row r="802">
      <c r="A802" s="5"/>
      <c r="B802" s="150"/>
      <c r="C802" s="151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6"/>
      <c r="BE802" s="5"/>
      <c r="BF802" s="7"/>
      <c r="BH802" s="5"/>
      <c r="BI802" s="5"/>
      <c r="BJ802" s="5"/>
      <c r="BK802" s="5"/>
      <c r="BL802" s="5"/>
      <c r="BM802" s="5"/>
      <c r="BN802" s="5"/>
    </row>
    <row r="803">
      <c r="A803" s="5"/>
      <c r="B803" s="150"/>
      <c r="C803" s="151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6"/>
      <c r="BE803" s="5"/>
      <c r="BF803" s="7"/>
      <c r="BH803" s="5"/>
      <c r="BI803" s="5"/>
      <c r="BJ803" s="5"/>
      <c r="BK803" s="5"/>
      <c r="BL803" s="5"/>
      <c r="BM803" s="5"/>
      <c r="BN803" s="5"/>
    </row>
    <row r="804">
      <c r="A804" s="5"/>
      <c r="B804" s="150"/>
      <c r="C804" s="151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6"/>
      <c r="BE804" s="5"/>
      <c r="BF804" s="7"/>
      <c r="BH804" s="5"/>
      <c r="BI804" s="5"/>
      <c r="BJ804" s="5"/>
      <c r="BK804" s="5"/>
      <c r="BL804" s="5"/>
      <c r="BM804" s="5"/>
      <c r="BN804" s="5"/>
    </row>
    <row r="805">
      <c r="A805" s="5"/>
      <c r="B805" s="150"/>
      <c r="C805" s="151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6"/>
      <c r="BE805" s="5"/>
      <c r="BF805" s="7"/>
      <c r="BH805" s="5"/>
      <c r="BI805" s="5"/>
      <c r="BJ805" s="5"/>
      <c r="BK805" s="5"/>
      <c r="BL805" s="5"/>
      <c r="BM805" s="5"/>
      <c r="BN805" s="5"/>
    </row>
    <row r="806">
      <c r="A806" s="5"/>
      <c r="B806" s="150"/>
      <c r="C806" s="151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6"/>
      <c r="BE806" s="5"/>
      <c r="BF806" s="7"/>
      <c r="BH806" s="5"/>
      <c r="BI806" s="5"/>
      <c r="BJ806" s="5"/>
      <c r="BK806" s="5"/>
      <c r="BL806" s="5"/>
      <c r="BM806" s="5"/>
      <c r="BN806" s="5"/>
    </row>
    <row r="807">
      <c r="A807" s="5"/>
      <c r="B807" s="150"/>
      <c r="C807" s="151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6"/>
      <c r="BE807" s="5"/>
      <c r="BF807" s="7"/>
      <c r="BH807" s="5"/>
      <c r="BI807" s="5"/>
      <c r="BJ807" s="5"/>
      <c r="BK807" s="5"/>
      <c r="BL807" s="5"/>
      <c r="BM807" s="5"/>
      <c r="BN807" s="5"/>
    </row>
    <row r="808">
      <c r="A808" s="5"/>
      <c r="B808" s="150"/>
      <c r="C808" s="151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6"/>
      <c r="BE808" s="5"/>
      <c r="BF808" s="7"/>
      <c r="BH808" s="5"/>
      <c r="BI808" s="5"/>
      <c r="BJ808" s="5"/>
      <c r="BK808" s="5"/>
      <c r="BL808" s="5"/>
      <c r="BM808" s="5"/>
      <c r="BN808" s="5"/>
    </row>
    <row r="809">
      <c r="A809" s="5"/>
      <c r="B809" s="150"/>
      <c r="C809" s="151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6"/>
      <c r="BE809" s="5"/>
      <c r="BF809" s="7"/>
      <c r="BH809" s="5"/>
      <c r="BI809" s="5"/>
      <c r="BJ809" s="5"/>
      <c r="BK809" s="5"/>
      <c r="BL809" s="5"/>
      <c r="BM809" s="5"/>
      <c r="BN809" s="5"/>
    </row>
    <row r="810">
      <c r="A810" s="5"/>
      <c r="B810" s="150"/>
      <c r="C810" s="151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6"/>
      <c r="BE810" s="5"/>
      <c r="BF810" s="7"/>
      <c r="BH810" s="5"/>
      <c r="BI810" s="5"/>
      <c r="BJ810" s="5"/>
      <c r="BK810" s="5"/>
      <c r="BL810" s="5"/>
      <c r="BM810" s="5"/>
      <c r="BN810" s="5"/>
    </row>
    <row r="811">
      <c r="A811" s="5"/>
      <c r="B811" s="150"/>
      <c r="C811" s="151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6"/>
      <c r="BE811" s="5"/>
      <c r="BF811" s="7"/>
      <c r="BH811" s="5"/>
      <c r="BI811" s="5"/>
      <c r="BJ811" s="5"/>
      <c r="BK811" s="5"/>
      <c r="BL811" s="5"/>
      <c r="BM811" s="5"/>
      <c r="BN811" s="5"/>
    </row>
    <row r="812">
      <c r="A812" s="5"/>
      <c r="B812" s="150"/>
      <c r="C812" s="151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6"/>
      <c r="BE812" s="5"/>
      <c r="BF812" s="7"/>
      <c r="BH812" s="5"/>
      <c r="BI812" s="5"/>
      <c r="BJ812" s="5"/>
      <c r="BK812" s="5"/>
      <c r="BL812" s="5"/>
      <c r="BM812" s="5"/>
      <c r="BN812" s="5"/>
    </row>
    <row r="813">
      <c r="A813" s="5"/>
      <c r="B813" s="150"/>
      <c r="C813" s="151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6"/>
      <c r="BE813" s="5"/>
      <c r="BF813" s="7"/>
      <c r="BH813" s="5"/>
      <c r="BI813" s="5"/>
      <c r="BJ813" s="5"/>
      <c r="BK813" s="5"/>
      <c r="BL813" s="5"/>
      <c r="BM813" s="5"/>
      <c r="BN813" s="5"/>
    </row>
    <row r="814">
      <c r="A814" s="5"/>
      <c r="B814" s="150"/>
      <c r="C814" s="151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6"/>
      <c r="BE814" s="5"/>
      <c r="BF814" s="7"/>
      <c r="BH814" s="5"/>
      <c r="BI814" s="5"/>
      <c r="BJ814" s="5"/>
      <c r="BK814" s="5"/>
      <c r="BL814" s="5"/>
      <c r="BM814" s="5"/>
      <c r="BN814" s="5"/>
    </row>
    <row r="815">
      <c r="A815" s="5"/>
      <c r="B815" s="150"/>
      <c r="C815" s="151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6"/>
      <c r="BE815" s="5"/>
      <c r="BF815" s="7"/>
      <c r="BH815" s="5"/>
      <c r="BI815" s="5"/>
      <c r="BJ815" s="5"/>
      <c r="BK815" s="5"/>
      <c r="BL815" s="5"/>
      <c r="BM815" s="5"/>
      <c r="BN815" s="5"/>
    </row>
    <row r="816">
      <c r="A816" s="5"/>
      <c r="B816" s="150"/>
      <c r="C816" s="151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6"/>
      <c r="BE816" s="5"/>
      <c r="BF816" s="7"/>
      <c r="BH816" s="5"/>
      <c r="BI816" s="5"/>
      <c r="BJ816" s="5"/>
      <c r="BK816" s="5"/>
      <c r="BL816" s="5"/>
      <c r="BM816" s="5"/>
      <c r="BN816" s="5"/>
    </row>
    <row r="817">
      <c r="A817" s="5"/>
      <c r="B817" s="150"/>
      <c r="C817" s="151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6"/>
      <c r="BE817" s="5"/>
      <c r="BF817" s="7"/>
      <c r="BH817" s="5"/>
      <c r="BI817" s="5"/>
      <c r="BJ817" s="5"/>
      <c r="BK817" s="5"/>
      <c r="BL817" s="5"/>
      <c r="BM817" s="5"/>
      <c r="BN817" s="5"/>
    </row>
    <row r="818">
      <c r="A818" s="5"/>
      <c r="B818" s="150"/>
      <c r="C818" s="151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6"/>
      <c r="BE818" s="5"/>
      <c r="BF818" s="7"/>
      <c r="BH818" s="5"/>
      <c r="BI818" s="5"/>
      <c r="BJ818" s="5"/>
      <c r="BK818" s="5"/>
      <c r="BL818" s="5"/>
      <c r="BM818" s="5"/>
      <c r="BN818" s="5"/>
    </row>
    <row r="819">
      <c r="A819" s="5"/>
      <c r="B819" s="150"/>
      <c r="C819" s="151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6"/>
      <c r="BE819" s="5"/>
      <c r="BF819" s="7"/>
      <c r="BH819" s="5"/>
      <c r="BI819" s="5"/>
      <c r="BJ819" s="5"/>
      <c r="BK819" s="5"/>
      <c r="BL819" s="5"/>
      <c r="BM819" s="5"/>
      <c r="BN819" s="5"/>
    </row>
    <row r="820">
      <c r="A820" s="5"/>
      <c r="B820" s="150"/>
      <c r="C820" s="151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6"/>
      <c r="BE820" s="5"/>
      <c r="BF820" s="7"/>
      <c r="BH820" s="5"/>
      <c r="BI820" s="5"/>
      <c r="BJ820" s="5"/>
      <c r="BK820" s="5"/>
      <c r="BL820" s="5"/>
      <c r="BM820" s="5"/>
      <c r="BN820" s="5"/>
    </row>
    <row r="821">
      <c r="A821" s="5"/>
      <c r="B821" s="150"/>
      <c r="C821" s="151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6"/>
      <c r="BE821" s="5"/>
      <c r="BF821" s="7"/>
      <c r="BH821" s="5"/>
      <c r="BI821" s="5"/>
      <c r="BJ821" s="5"/>
      <c r="BK821" s="5"/>
      <c r="BL821" s="5"/>
      <c r="BM821" s="5"/>
      <c r="BN821" s="5"/>
    </row>
    <row r="822">
      <c r="A822" s="5"/>
      <c r="B822" s="150"/>
      <c r="C822" s="151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6"/>
      <c r="BE822" s="5"/>
      <c r="BF822" s="7"/>
      <c r="BH822" s="5"/>
      <c r="BI822" s="5"/>
      <c r="BJ822" s="5"/>
      <c r="BK822" s="5"/>
      <c r="BL822" s="5"/>
      <c r="BM822" s="5"/>
      <c r="BN822" s="5"/>
    </row>
    <row r="823">
      <c r="A823" s="5"/>
      <c r="B823" s="150"/>
      <c r="C823" s="151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6"/>
      <c r="BE823" s="5"/>
      <c r="BF823" s="7"/>
      <c r="BH823" s="5"/>
      <c r="BI823" s="5"/>
      <c r="BJ823" s="5"/>
      <c r="BK823" s="5"/>
      <c r="BL823" s="5"/>
      <c r="BM823" s="5"/>
      <c r="BN823" s="5"/>
    </row>
    <row r="824">
      <c r="A824" s="5"/>
      <c r="B824" s="150"/>
      <c r="C824" s="151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6"/>
      <c r="BE824" s="5"/>
      <c r="BF824" s="7"/>
      <c r="BH824" s="5"/>
      <c r="BI824" s="5"/>
      <c r="BJ824" s="5"/>
      <c r="BK824" s="5"/>
      <c r="BL824" s="5"/>
      <c r="BM824" s="5"/>
      <c r="BN824" s="5"/>
    </row>
    <row r="825">
      <c r="A825" s="5"/>
      <c r="B825" s="150"/>
      <c r="C825" s="151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6"/>
      <c r="BE825" s="5"/>
      <c r="BF825" s="7"/>
      <c r="BH825" s="5"/>
      <c r="BI825" s="5"/>
      <c r="BJ825" s="5"/>
      <c r="BK825" s="5"/>
      <c r="BL825" s="5"/>
      <c r="BM825" s="5"/>
      <c r="BN825" s="5"/>
    </row>
    <row r="826">
      <c r="A826" s="5"/>
      <c r="B826" s="150"/>
      <c r="C826" s="151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6"/>
      <c r="BE826" s="5"/>
      <c r="BF826" s="7"/>
      <c r="BH826" s="5"/>
      <c r="BI826" s="5"/>
      <c r="BJ826" s="5"/>
      <c r="BK826" s="5"/>
      <c r="BL826" s="5"/>
      <c r="BM826" s="5"/>
      <c r="BN826" s="5"/>
    </row>
    <row r="827">
      <c r="A827" s="5"/>
      <c r="B827" s="150"/>
      <c r="C827" s="151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6"/>
      <c r="BE827" s="5"/>
      <c r="BF827" s="7"/>
      <c r="BH827" s="5"/>
      <c r="BI827" s="5"/>
      <c r="BJ827" s="5"/>
      <c r="BK827" s="5"/>
      <c r="BL827" s="5"/>
      <c r="BM827" s="5"/>
      <c r="BN827" s="5"/>
    </row>
    <row r="828">
      <c r="A828" s="5"/>
      <c r="B828" s="150"/>
      <c r="C828" s="151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6"/>
      <c r="BE828" s="5"/>
      <c r="BF828" s="7"/>
      <c r="BH828" s="5"/>
      <c r="BI828" s="5"/>
      <c r="BJ828" s="5"/>
      <c r="BK828" s="5"/>
      <c r="BL828" s="5"/>
      <c r="BM828" s="5"/>
      <c r="BN828" s="5"/>
    </row>
    <row r="829">
      <c r="A829" s="5"/>
      <c r="B829" s="150"/>
      <c r="C829" s="151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6"/>
      <c r="BE829" s="5"/>
      <c r="BF829" s="7"/>
      <c r="BH829" s="5"/>
      <c r="BI829" s="5"/>
      <c r="BJ829" s="5"/>
      <c r="BK829" s="5"/>
      <c r="BL829" s="5"/>
      <c r="BM829" s="5"/>
      <c r="BN829" s="5"/>
    </row>
    <row r="830">
      <c r="A830" s="5"/>
      <c r="B830" s="150"/>
      <c r="C830" s="151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6"/>
      <c r="BE830" s="5"/>
      <c r="BF830" s="7"/>
      <c r="BH830" s="5"/>
      <c r="BI830" s="5"/>
      <c r="BJ830" s="5"/>
      <c r="BK830" s="5"/>
      <c r="BL830" s="5"/>
      <c r="BM830" s="5"/>
      <c r="BN830" s="5"/>
    </row>
    <row r="831">
      <c r="A831" s="5"/>
      <c r="B831" s="150"/>
      <c r="C831" s="151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6"/>
      <c r="BE831" s="5"/>
      <c r="BF831" s="7"/>
      <c r="BH831" s="5"/>
      <c r="BI831" s="5"/>
      <c r="BJ831" s="5"/>
      <c r="BK831" s="5"/>
      <c r="BL831" s="5"/>
      <c r="BM831" s="5"/>
      <c r="BN831" s="5"/>
    </row>
    <row r="832">
      <c r="A832" s="5"/>
      <c r="B832" s="150"/>
      <c r="C832" s="151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6"/>
      <c r="BE832" s="5"/>
      <c r="BF832" s="7"/>
      <c r="BH832" s="5"/>
      <c r="BI832" s="5"/>
      <c r="BJ832" s="5"/>
      <c r="BK832" s="5"/>
      <c r="BL832" s="5"/>
      <c r="BM832" s="5"/>
      <c r="BN832" s="5"/>
    </row>
    <row r="833">
      <c r="A833" s="5"/>
      <c r="B833" s="150"/>
      <c r="C833" s="151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6"/>
      <c r="BE833" s="5"/>
      <c r="BF833" s="7"/>
      <c r="BH833" s="5"/>
      <c r="BI833" s="5"/>
      <c r="BJ833" s="5"/>
      <c r="BK833" s="5"/>
      <c r="BL833" s="5"/>
      <c r="BM833" s="5"/>
      <c r="BN833" s="5"/>
    </row>
    <row r="834">
      <c r="A834" s="5"/>
      <c r="B834" s="150"/>
      <c r="C834" s="151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6"/>
      <c r="BE834" s="5"/>
      <c r="BF834" s="7"/>
      <c r="BH834" s="5"/>
      <c r="BI834" s="5"/>
      <c r="BJ834" s="5"/>
      <c r="BK834" s="5"/>
      <c r="BL834" s="5"/>
      <c r="BM834" s="5"/>
      <c r="BN834" s="5"/>
    </row>
    <row r="835">
      <c r="A835" s="5"/>
      <c r="B835" s="150"/>
      <c r="C835" s="151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6"/>
      <c r="BE835" s="5"/>
      <c r="BF835" s="7"/>
      <c r="BH835" s="5"/>
      <c r="BI835" s="5"/>
      <c r="BJ835" s="5"/>
      <c r="BK835" s="5"/>
      <c r="BL835" s="5"/>
      <c r="BM835" s="5"/>
      <c r="BN835" s="5"/>
    </row>
    <row r="836">
      <c r="A836" s="5"/>
      <c r="B836" s="150"/>
      <c r="C836" s="151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6"/>
      <c r="BE836" s="5"/>
      <c r="BF836" s="7"/>
      <c r="BH836" s="5"/>
      <c r="BI836" s="5"/>
      <c r="BJ836" s="5"/>
      <c r="BK836" s="5"/>
      <c r="BL836" s="5"/>
      <c r="BM836" s="5"/>
      <c r="BN836" s="5"/>
    </row>
    <row r="837">
      <c r="A837" s="5"/>
      <c r="B837" s="150"/>
      <c r="C837" s="151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6"/>
      <c r="BE837" s="5"/>
      <c r="BF837" s="7"/>
      <c r="BH837" s="5"/>
      <c r="BI837" s="5"/>
      <c r="BJ837" s="5"/>
      <c r="BK837" s="5"/>
      <c r="BL837" s="5"/>
      <c r="BM837" s="5"/>
      <c r="BN837" s="5"/>
    </row>
    <row r="838">
      <c r="A838" s="5"/>
      <c r="B838" s="150"/>
      <c r="C838" s="151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6"/>
      <c r="BE838" s="5"/>
      <c r="BF838" s="7"/>
      <c r="BH838" s="5"/>
      <c r="BI838" s="5"/>
      <c r="BJ838" s="5"/>
      <c r="BK838" s="5"/>
      <c r="BL838" s="5"/>
      <c r="BM838" s="5"/>
      <c r="BN838" s="5"/>
    </row>
    <row r="839">
      <c r="A839" s="5"/>
      <c r="B839" s="150"/>
      <c r="C839" s="151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6"/>
      <c r="BE839" s="5"/>
      <c r="BF839" s="7"/>
      <c r="BH839" s="5"/>
      <c r="BI839" s="5"/>
      <c r="BJ839" s="5"/>
      <c r="BK839" s="5"/>
      <c r="BL839" s="5"/>
      <c r="BM839" s="5"/>
      <c r="BN839" s="5"/>
    </row>
    <row r="840">
      <c r="A840" s="5"/>
      <c r="B840" s="150"/>
      <c r="C840" s="151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6"/>
      <c r="BE840" s="5"/>
      <c r="BF840" s="7"/>
      <c r="BH840" s="5"/>
      <c r="BI840" s="5"/>
      <c r="BJ840" s="5"/>
      <c r="BK840" s="5"/>
      <c r="BL840" s="5"/>
      <c r="BM840" s="5"/>
      <c r="BN840" s="5"/>
    </row>
    <row r="841">
      <c r="A841" s="5"/>
      <c r="B841" s="150"/>
      <c r="C841" s="151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6"/>
      <c r="BE841" s="5"/>
      <c r="BF841" s="7"/>
      <c r="BH841" s="5"/>
      <c r="BI841" s="5"/>
      <c r="BJ841" s="5"/>
      <c r="BK841" s="5"/>
      <c r="BL841" s="5"/>
      <c r="BM841" s="5"/>
      <c r="BN841" s="5"/>
    </row>
    <row r="842">
      <c r="A842" s="5"/>
      <c r="B842" s="150"/>
      <c r="C842" s="151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6"/>
      <c r="BE842" s="5"/>
      <c r="BF842" s="7"/>
      <c r="BH842" s="5"/>
      <c r="BI842" s="5"/>
      <c r="BJ842" s="5"/>
      <c r="BK842" s="5"/>
      <c r="BL842" s="5"/>
      <c r="BM842" s="5"/>
      <c r="BN842" s="5"/>
    </row>
    <row r="843">
      <c r="A843" s="5"/>
      <c r="B843" s="150"/>
      <c r="C843" s="151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6"/>
      <c r="BE843" s="5"/>
      <c r="BF843" s="7"/>
      <c r="BH843" s="5"/>
      <c r="BI843" s="5"/>
      <c r="BJ843" s="5"/>
      <c r="BK843" s="5"/>
      <c r="BL843" s="5"/>
      <c r="BM843" s="5"/>
      <c r="BN843" s="5"/>
    </row>
    <row r="844">
      <c r="A844" s="5"/>
      <c r="B844" s="150"/>
      <c r="C844" s="151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6"/>
      <c r="BE844" s="5"/>
      <c r="BF844" s="7"/>
      <c r="BH844" s="5"/>
      <c r="BI844" s="5"/>
      <c r="BJ844" s="5"/>
      <c r="BK844" s="5"/>
      <c r="BL844" s="5"/>
      <c r="BM844" s="5"/>
      <c r="BN844" s="5"/>
    </row>
    <row r="845">
      <c r="A845" s="5"/>
      <c r="B845" s="150"/>
      <c r="C845" s="151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6"/>
      <c r="BE845" s="5"/>
      <c r="BF845" s="7"/>
      <c r="BH845" s="5"/>
      <c r="BI845" s="5"/>
      <c r="BJ845" s="5"/>
      <c r="BK845" s="5"/>
      <c r="BL845" s="5"/>
      <c r="BM845" s="5"/>
      <c r="BN845" s="5"/>
    </row>
    <row r="846">
      <c r="A846" s="5"/>
      <c r="B846" s="150"/>
      <c r="C846" s="151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6"/>
      <c r="BE846" s="5"/>
      <c r="BF846" s="7"/>
      <c r="BH846" s="5"/>
      <c r="BI846" s="5"/>
      <c r="BJ846" s="5"/>
      <c r="BK846" s="5"/>
      <c r="BL846" s="5"/>
      <c r="BM846" s="5"/>
      <c r="BN846" s="5"/>
    </row>
    <row r="847">
      <c r="A847" s="5"/>
      <c r="B847" s="150"/>
      <c r="C847" s="151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6"/>
      <c r="BE847" s="5"/>
      <c r="BF847" s="7"/>
      <c r="BH847" s="5"/>
      <c r="BI847" s="5"/>
      <c r="BJ847" s="5"/>
      <c r="BK847" s="5"/>
      <c r="BL847" s="5"/>
      <c r="BM847" s="5"/>
      <c r="BN847" s="5"/>
    </row>
    <row r="848">
      <c r="A848" s="5"/>
      <c r="B848" s="150"/>
      <c r="C848" s="151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6"/>
      <c r="BE848" s="5"/>
      <c r="BF848" s="7"/>
      <c r="BH848" s="5"/>
      <c r="BI848" s="5"/>
      <c r="BJ848" s="5"/>
      <c r="BK848" s="5"/>
      <c r="BL848" s="5"/>
      <c r="BM848" s="5"/>
      <c r="BN848" s="5"/>
    </row>
    <row r="849">
      <c r="A849" s="5"/>
      <c r="B849" s="150"/>
      <c r="C849" s="151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6"/>
      <c r="BE849" s="5"/>
      <c r="BF849" s="7"/>
      <c r="BH849" s="5"/>
      <c r="BI849" s="5"/>
      <c r="BJ849" s="5"/>
      <c r="BK849" s="5"/>
      <c r="BL849" s="5"/>
      <c r="BM849" s="5"/>
      <c r="BN849" s="5"/>
    </row>
    <row r="850">
      <c r="A850" s="5"/>
      <c r="B850" s="150"/>
      <c r="C850" s="151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6"/>
      <c r="BE850" s="5"/>
      <c r="BF850" s="7"/>
      <c r="BH850" s="5"/>
      <c r="BI850" s="5"/>
      <c r="BJ850" s="5"/>
      <c r="BK850" s="5"/>
      <c r="BL850" s="5"/>
      <c r="BM850" s="5"/>
      <c r="BN850" s="5"/>
    </row>
    <row r="851">
      <c r="A851" s="5"/>
      <c r="B851" s="150"/>
      <c r="C851" s="151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6"/>
      <c r="BE851" s="5"/>
      <c r="BF851" s="7"/>
      <c r="BH851" s="5"/>
      <c r="BI851" s="5"/>
      <c r="BJ851" s="5"/>
      <c r="BK851" s="5"/>
      <c r="BL851" s="5"/>
      <c r="BM851" s="5"/>
      <c r="BN851" s="5"/>
    </row>
    <row r="852">
      <c r="A852" s="5"/>
      <c r="B852" s="150"/>
      <c r="C852" s="151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6"/>
      <c r="BE852" s="5"/>
      <c r="BF852" s="7"/>
      <c r="BH852" s="5"/>
      <c r="BI852" s="5"/>
      <c r="BJ852" s="5"/>
      <c r="BK852" s="5"/>
      <c r="BL852" s="5"/>
      <c r="BM852" s="5"/>
      <c r="BN852" s="5"/>
    </row>
    <row r="853">
      <c r="A853" s="5"/>
      <c r="B853" s="150"/>
      <c r="C853" s="151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6"/>
      <c r="BE853" s="5"/>
      <c r="BF853" s="7"/>
      <c r="BH853" s="5"/>
      <c r="BI853" s="5"/>
      <c r="BJ853" s="5"/>
      <c r="BK853" s="5"/>
      <c r="BL853" s="5"/>
      <c r="BM853" s="5"/>
      <c r="BN853" s="5"/>
    </row>
    <row r="854">
      <c r="A854" s="5"/>
      <c r="B854" s="150"/>
      <c r="C854" s="151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6"/>
      <c r="BE854" s="5"/>
      <c r="BF854" s="7"/>
      <c r="BH854" s="5"/>
      <c r="BI854" s="5"/>
      <c r="BJ854" s="5"/>
      <c r="BK854" s="5"/>
      <c r="BL854" s="5"/>
      <c r="BM854" s="5"/>
      <c r="BN854" s="5"/>
    </row>
    <row r="855">
      <c r="A855" s="5"/>
      <c r="B855" s="150"/>
      <c r="C855" s="151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6"/>
      <c r="BE855" s="5"/>
      <c r="BF855" s="7"/>
      <c r="BH855" s="5"/>
      <c r="BI855" s="5"/>
      <c r="BJ855" s="5"/>
      <c r="BK855" s="5"/>
      <c r="BL855" s="5"/>
      <c r="BM855" s="5"/>
      <c r="BN855" s="5"/>
    </row>
    <row r="856">
      <c r="A856" s="5"/>
      <c r="B856" s="150"/>
      <c r="C856" s="151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6"/>
      <c r="BE856" s="5"/>
      <c r="BF856" s="7"/>
      <c r="BH856" s="5"/>
      <c r="BI856" s="5"/>
      <c r="BJ856" s="5"/>
      <c r="BK856" s="5"/>
      <c r="BL856" s="5"/>
      <c r="BM856" s="5"/>
      <c r="BN856" s="5"/>
    </row>
    <row r="857">
      <c r="A857" s="5"/>
      <c r="B857" s="150"/>
      <c r="C857" s="151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6"/>
      <c r="BE857" s="5"/>
      <c r="BF857" s="7"/>
      <c r="BH857" s="5"/>
      <c r="BI857" s="5"/>
      <c r="BJ857" s="5"/>
      <c r="BK857" s="5"/>
      <c r="BL857" s="5"/>
      <c r="BM857" s="5"/>
      <c r="BN857" s="5"/>
    </row>
    <row r="858">
      <c r="A858" s="5"/>
      <c r="B858" s="150"/>
      <c r="C858" s="151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6"/>
      <c r="BE858" s="5"/>
      <c r="BF858" s="7"/>
      <c r="BH858" s="5"/>
      <c r="BI858" s="5"/>
      <c r="BJ858" s="5"/>
      <c r="BK858" s="5"/>
      <c r="BL858" s="5"/>
      <c r="BM858" s="5"/>
      <c r="BN858" s="5"/>
    </row>
    <row r="859">
      <c r="A859" s="5"/>
      <c r="B859" s="150"/>
      <c r="C859" s="151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6"/>
      <c r="BE859" s="5"/>
      <c r="BF859" s="7"/>
      <c r="BH859" s="5"/>
      <c r="BI859" s="5"/>
      <c r="BJ859" s="5"/>
      <c r="BK859" s="5"/>
      <c r="BL859" s="5"/>
      <c r="BM859" s="5"/>
      <c r="BN859" s="5"/>
    </row>
    <row r="860">
      <c r="A860" s="5"/>
      <c r="B860" s="150"/>
      <c r="C860" s="151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6"/>
      <c r="BE860" s="5"/>
      <c r="BF860" s="7"/>
      <c r="BH860" s="5"/>
      <c r="BI860" s="5"/>
      <c r="BJ860" s="5"/>
      <c r="BK860" s="5"/>
      <c r="BL860" s="5"/>
      <c r="BM860" s="5"/>
      <c r="BN860" s="5"/>
    </row>
    <row r="861">
      <c r="A861" s="5"/>
      <c r="B861" s="150"/>
      <c r="C861" s="151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6"/>
      <c r="BE861" s="5"/>
      <c r="BF861" s="7"/>
      <c r="BH861" s="5"/>
      <c r="BI861" s="5"/>
      <c r="BJ861" s="5"/>
      <c r="BK861" s="5"/>
      <c r="BL861" s="5"/>
      <c r="BM861" s="5"/>
      <c r="BN861" s="5"/>
    </row>
    <row r="862">
      <c r="A862" s="5"/>
      <c r="B862" s="150"/>
      <c r="C862" s="151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6"/>
      <c r="BE862" s="5"/>
      <c r="BF862" s="7"/>
      <c r="BH862" s="5"/>
      <c r="BI862" s="5"/>
      <c r="BJ862" s="5"/>
      <c r="BK862" s="5"/>
      <c r="BL862" s="5"/>
      <c r="BM862" s="5"/>
      <c r="BN862" s="5"/>
    </row>
    <row r="863">
      <c r="A863" s="5"/>
      <c r="B863" s="150"/>
      <c r="C863" s="151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6"/>
      <c r="BE863" s="5"/>
      <c r="BF863" s="7"/>
      <c r="BH863" s="5"/>
      <c r="BI863" s="5"/>
      <c r="BJ863" s="5"/>
      <c r="BK863" s="5"/>
      <c r="BL863" s="5"/>
      <c r="BM863" s="5"/>
      <c r="BN863" s="5"/>
    </row>
    <row r="864">
      <c r="A864" s="5"/>
      <c r="B864" s="150"/>
      <c r="C864" s="151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6"/>
      <c r="BE864" s="5"/>
      <c r="BF864" s="7"/>
      <c r="BH864" s="5"/>
      <c r="BI864" s="5"/>
      <c r="BJ864" s="5"/>
      <c r="BK864" s="5"/>
      <c r="BL864" s="5"/>
      <c r="BM864" s="5"/>
      <c r="BN864" s="5"/>
    </row>
    <row r="865">
      <c r="A865" s="5"/>
      <c r="B865" s="150"/>
      <c r="C865" s="151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6"/>
      <c r="BE865" s="5"/>
      <c r="BF865" s="7"/>
      <c r="BH865" s="5"/>
      <c r="BI865" s="5"/>
      <c r="BJ865" s="5"/>
      <c r="BK865" s="5"/>
      <c r="BL865" s="5"/>
      <c r="BM865" s="5"/>
      <c r="BN865" s="5"/>
    </row>
    <row r="866">
      <c r="A866" s="5"/>
      <c r="B866" s="150"/>
      <c r="C866" s="151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6"/>
      <c r="BE866" s="5"/>
      <c r="BF866" s="7"/>
      <c r="BH866" s="5"/>
      <c r="BI866" s="5"/>
      <c r="BJ866" s="5"/>
      <c r="BK866" s="5"/>
      <c r="BL866" s="5"/>
      <c r="BM866" s="5"/>
      <c r="BN866" s="5"/>
    </row>
    <row r="867">
      <c r="A867" s="5"/>
      <c r="B867" s="150"/>
      <c r="C867" s="151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6"/>
      <c r="BE867" s="5"/>
      <c r="BF867" s="7"/>
      <c r="BH867" s="5"/>
      <c r="BI867" s="5"/>
      <c r="BJ867" s="5"/>
      <c r="BK867" s="5"/>
      <c r="BL867" s="5"/>
      <c r="BM867" s="5"/>
      <c r="BN867" s="5"/>
    </row>
    <row r="868">
      <c r="A868" s="5"/>
      <c r="B868" s="150"/>
      <c r="C868" s="151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6"/>
      <c r="BE868" s="5"/>
      <c r="BF868" s="7"/>
      <c r="BH868" s="5"/>
      <c r="BI868" s="5"/>
      <c r="BJ868" s="5"/>
      <c r="BK868" s="5"/>
      <c r="BL868" s="5"/>
      <c r="BM868" s="5"/>
      <c r="BN868" s="5"/>
    </row>
    <row r="869">
      <c r="A869" s="5"/>
      <c r="B869" s="150"/>
      <c r="C869" s="151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6"/>
      <c r="BE869" s="5"/>
      <c r="BF869" s="7"/>
      <c r="BH869" s="5"/>
      <c r="BI869" s="5"/>
      <c r="BJ869" s="5"/>
      <c r="BK869" s="5"/>
      <c r="BL869" s="5"/>
      <c r="BM869" s="5"/>
      <c r="BN869" s="5"/>
    </row>
    <row r="870">
      <c r="A870" s="5"/>
      <c r="B870" s="150"/>
      <c r="C870" s="151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6"/>
      <c r="BE870" s="5"/>
      <c r="BF870" s="7"/>
      <c r="BH870" s="5"/>
      <c r="BI870" s="5"/>
      <c r="BJ870" s="5"/>
      <c r="BK870" s="5"/>
      <c r="BL870" s="5"/>
      <c r="BM870" s="5"/>
      <c r="BN870" s="5"/>
    </row>
    <row r="871">
      <c r="A871" s="5"/>
      <c r="B871" s="150"/>
      <c r="C871" s="151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6"/>
      <c r="BE871" s="5"/>
      <c r="BF871" s="7"/>
      <c r="BH871" s="5"/>
      <c r="BI871" s="5"/>
      <c r="BJ871" s="5"/>
      <c r="BK871" s="5"/>
      <c r="BL871" s="5"/>
      <c r="BM871" s="5"/>
      <c r="BN871" s="5"/>
    </row>
    <row r="872">
      <c r="A872" s="5"/>
      <c r="B872" s="150"/>
      <c r="C872" s="151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6"/>
      <c r="BE872" s="5"/>
      <c r="BF872" s="7"/>
      <c r="BH872" s="5"/>
      <c r="BI872" s="5"/>
      <c r="BJ872" s="5"/>
      <c r="BK872" s="5"/>
      <c r="BL872" s="5"/>
      <c r="BM872" s="5"/>
      <c r="BN872" s="5"/>
    </row>
    <row r="873">
      <c r="A873" s="5"/>
      <c r="B873" s="150"/>
      <c r="C873" s="151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6"/>
      <c r="BE873" s="5"/>
      <c r="BF873" s="7"/>
      <c r="BH873" s="5"/>
      <c r="BI873" s="5"/>
      <c r="BJ873" s="5"/>
      <c r="BK873" s="5"/>
      <c r="BL873" s="5"/>
      <c r="BM873" s="5"/>
      <c r="BN873" s="5"/>
    </row>
    <row r="874">
      <c r="A874" s="5"/>
      <c r="B874" s="150"/>
      <c r="C874" s="151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6"/>
      <c r="BE874" s="5"/>
      <c r="BF874" s="7"/>
      <c r="BH874" s="5"/>
      <c r="BI874" s="5"/>
      <c r="BJ874" s="5"/>
      <c r="BK874" s="5"/>
      <c r="BL874" s="5"/>
      <c r="BM874" s="5"/>
      <c r="BN874" s="5"/>
    </row>
    <row r="875">
      <c r="A875" s="5"/>
      <c r="B875" s="150"/>
      <c r="C875" s="151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6"/>
      <c r="BE875" s="5"/>
      <c r="BF875" s="7"/>
      <c r="BH875" s="5"/>
      <c r="BI875" s="5"/>
      <c r="BJ875" s="5"/>
      <c r="BK875" s="5"/>
      <c r="BL875" s="5"/>
      <c r="BM875" s="5"/>
      <c r="BN875" s="5"/>
    </row>
    <row r="876">
      <c r="A876" s="5"/>
      <c r="B876" s="150"/>
      <c r="C876" s="151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6"/>
      <c r="BE876" s="5"/>
      <c r="BF876" s="7"/>
      <c r="BH876" s="5"/>
      <c r="BI876" s="5"/>
      <c r="BJ876" s="5"/>
      <c r="BK876" s="5"/>
      <c r="BL876" s="5"/>
      <c r="BM876" s="5"/>
      <c r="BN876" s="5"/>
    </row>
    <row r="877">
      <c r="A877" s="5"/>
      <c r="B877" s="150"/>
      <c r="C877" s="151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6"/>
      <c r="BE877" s="5"/>
      <c r="BF877" s="7"/>
      <c r="BH877" s="5"/>
      <c r="BI877" s="5"/>
      <c r="BJ877" s="5"/>
      <c r="BK877" s="5"/>
      <c r="BL877" s="5"/>
      <c r="BM877" s="5"/>
      <c r="BN877" s="5"/>
    </row>
    <row r="878">
      <c r="A878" s="5"/>
      <c r="B878" s="150"/>
      <c r="C878" s="151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6"/>
      <c r="BE878" s="5"/>
      <c r="BF878" s="7"/>
      <c r="BH878" s="5"/>
      <c r="BI878" s="5"/>
      <c r="BJ878" s="5"/>
      <c r="BK878" s="5"/>
      <c r="BL878" s="5"/>
      <c r="BM878" s="5"/>
      <c r="BN878" s="5"/>
    </row>
    <row r="879">
      <c r="A879" s="5"/>
      <c r="B879" s="150"/>
      <c r="C879" s="151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6"/>
      <c r="BE879" s="5"/>
      <c r="BF879" s="7"/>
      <c r="BH879" s="5"/>
      <c r="BI879" s="5"/>
      <c r="BJ879" s="5"/>
      <c r="BK879" s="5"/>
      <c r="BL879" s="5"/>
      <c r="BM879" s="5"/>
      <c r="BN879" s="5"/>
    </row>
    <row r="880">
      <c r="A880" s="5"/>
      <c r="B880" s="150"/>
      <c r="C880" s="151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6"/>
      <c r="BE880" s="5"/>
      <c r="BF880" s="7"/>
      <c r="BH880" s="5"/>
      <c r="BI880" s="5"/>
      <c r="BJ880" s="5"/>
      <c r="BK880" s="5"/>
      <c r="BL880" s="5"/>
      <c r="BM880" s="5"/>
      <c r="BN880" s="5"/>
    </row>
    <row r="881">
      <c r="A881" s="5"/>
      <c r="B881" s="150"/>
      <c r="C881" s="151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6"/>
      <c r="BE881" s="5"/>
      <c r="BF881" s="7"/>
      <c r="BH881" s="5"/>
      <c r="BI881" s="5"/>
      <c r="BJ881" s="5"/>
      <c r="BK881" s="5"/>
      <c r="BL881" s="5"/>
      <c r="BM881" s="5"/>
      <c r="BN881" s="5"/>
    </row>
    <row r="882">
      <c r="A882" s="5"/>
      <c r="B882" s="150"/>
      <c r="C882" s="151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6"/>
      <c r="BE882" s="5"/>
      <c r="BF882" s="7"/>
      <c r="BH882" s="5"/>
      <c r="BI882" s="5"/>
      <c r="BJ882" s="5"/>
      <c r="BK882" s="5"/>
      <c r="BL882" s="5"/>
      <c r="BM882" s="5"/>
      <c r="BN882" s="5"/>
    </row>
    <row r="883">
      <c r="A883" s="5"/>
      <c r="B883" s="150"/>
      <c r="C883" s="151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6"/>
      <c r="BE883" s="5"/>
      <c r="BF883" s="7"/>
      <c r="BH883" s="5"/>
      <c r="BI883" s="5"/>
      <c r="BJ883" s="5"/>
      <c r="BK883" s="5"/>
      <c r="BL883" s="5"/>
      <c r="BM883" s="5"/>
      <c r="BN883" s="5"/>
    </row>
    <row r="884">
      <c r="A884" s="5"/>
      <c r="B884" s="150"/>
      <c r="C884" s="151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6"/>
      <c r="BE884" s="5"/>
      <c r="BF884" s="7"/>
      <c r="BH884" s="5"/>
      <c r="BI884" s="5"/>
      <c r="BJ884" s="5"/>
      <c r="BK884" s="5"/>
      <c r="BL884" s="5"/>
      <c r="BM884" s="5"/>
      <c r="BN884" s="5"/>
    </row>
    <row r="885">
      <c r="A885" s="5"/>
      <c r="B885" s="150"/>
      <c r="C885" s="151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6"/>
      <c r="BE885" s="5"/>
      <c r="BF885" s="7"/>
      <c r="BH885" s="5"/>
      <c r="BI885" s="5"/>
      <c r="BJ885" s="5"/>
      <c r="BK885" s="5"/>
      <c r="BL885" s="5"/>
      <c r="BM885" s="5"/>
      <c r="BN885" s="5"/>
    </row>
    <row r="886">
      <c r="A886" s="5"/>
      <c r="B886" s="150"/>
      <c r="C886" s="151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6"/>
      <c r="BE886" s="5"/>
      <c r="BF886" s="7"/>
      <c r="BH886" s="5"/>
      <c r="BI886" s="5"/>
      <c r="BJ886" s="5"/>
      <c r="BK886" s="5"/>
      <c r="BL886" s="5"/>
      <c r="BM886" s="5"/>
      <c r="BN886" s="5"/>
    </row>
    <row r="887">
      <c r="A887" s="5"/>
      <c r="B887" s="150"/>
      <c r="C887" s="151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6"/>
      <c r="BE887" s="5"/>
      <c r="BF887" s="7"/>
      <c r="BH887" s="5"/>
      <c r="BI887" s="5"/>
      <c r="BJ887" s="5"/>
      <c r="BK887" s="5"/>
      <c r="BL887" s="5"/>
      <c r="BM887" s="5"/>
      <c r="BN887" s="5"/>
    </row>
    <row r="888">
      <c r="A888" s="5"/>
      <c r="B888" s="150"/>
      <c r="C888" s="151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6"/>
      <c r="BE888" s="5"/>
      <c r="BF888" s="7"/>
      <c r="BH888" s="5"/>
      <c r="BI888" s="5"/>
      <c r="BJ888" s="5"/>
      <c r="BK888" s="5"/>
      <c r="BL888" s="5"/>
      <c r="BM888" s="5"/>
      <c r="BN888" s="5"/>
    </row>
    <row r="889">
      <c r="A889" s="5"/>
      <c r="B889" s="150"/>
      <c r="C889" s="151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6"/>
      <c r="BE889" s="5"/>
      <c r="BF889" s="7"/>
      <c r="BH889" s="5"/>
      <c r="BI889" s="5"/>
      <c r="BJ889" s="5"/>
      <c r="BK889" s="5"/>
      <c r="BL889" s="5"/>
      <c r="BM889" s="5"/>
      <c r="BN889" s="5"/>
    </row>
    <row r="890">
      <c r="A890" s="5"/>
      <c r="B890" s="150"/>
      <c r="C890" s="151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6"/>
      <c r="BE890" s="5"/>
      <c r="BF890" s="7"/>
      <c r="BH890" s="5"/>
      <c r="BI890" s="5"/>
      <c r="BJ890" s="5"/>
      <c r="BK890" s="5"/>
      <c r="BL890" s="5"/>
      <c r="BM890" s="5"/>
      <c r="BN890" s="5"/>
    </row>
    <row r="891">
      <c r="A891" s="5"/>
      <c r="B891" s="150"/>
      <c r="C891" s="151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6"/>
      <c r="BE891" s="5"/>
      <c r="BF891" s="7"/>
      <c r="BH891" s="5"/>
      <c r="BI891" s="5"/>
      <c r="BJ891" s="5"/>
      <c r="BK891" s="5"/>
      <c r="BL891" s="5"/>
      <c r="BM891" s="5"/>
      <c r="BN891" s="5"/>
    </row>
    <row r="892">
      <c r="A892" s="5"/>
      <c r="B892" s="150"/>
      <c r="C892" s="151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6"/>
      <c r="BE892" s="5"/>
      <c r="BF892" s="7"/>
      <c r="BH892" s="5"/>
      <c r="BI892" s="5"/>
      <c r="BJ892" s="5"/>
      <c r="BK892" s="5"/>
      <c r="BL892" s="5"/>
      <c r="BM892" s="5"/>
      <c r="BN892" s="5"/>
    </row>
    <row r="893">
      <c r="A893" s="5"/>
      <c r="B893" s="150"/>
      <c r="C893" s="151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6"/>
      <c r="BE893" s="5"/>
      <c r="BF893" s="7"/>
      <c r="BH893" s="5"/>
      <c r="BI893" s="5"/>
      <c r="BJ893" s="5"/>
      <c r="BK893" s="5"/>
      <c r="BL893" s="5"/>
      <c r="BM893" s="5"/>
      <c r="BN893" s="5"/>
    </row>
    <row r="894">
      <c r="A894" s="5"/>
      <c r="B894" s="150"/>
      <c r="C894" s="151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6"/>
      <c r="BE894" s="5"/>
      <c r="BF894" s="7"/>
      <c r="BH894" s="5"/>
      <c r="BI894" s="5"/>
      <c r="BJ894" s="5"/>
      <c r="BK894" s="5"/>
      <c r="BL894" s="5"/>
      <c r="BM894" s="5"/>
      <c r="BN894" s="5"/>
    </row>
    <row r="895">
      <c r="A895" s="5"/>
      <c r="B895" s="150"/>
      <c r="C895" s="151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6"/>
      <c r="BE895" s="5"/>
      <c r="BF895" s="7"/>
      <c r="BH895" s="5"/>
      <c r="BI895" s="5"/>
      <c r="BJ895" s="5"/>
      <c r="BK895" s="5"/>
      <c r="BL895" s="5"/>
      <c r="BM895" s="5"/>
      <c r="BN895" s="5"/>
    </row>
    <row r="896">
      <c r="A896" s="5"/>
      <c r="B896" s="150"/>
      <c r="C896" s="151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6"/>
      <c r="BE896" s="5"/>
      <c r="BF896" s="7"/>
      <c r="BH896" s="5"/>
      <c r="BI896" s="5"/>
      <c r="BJ896" s="5"/>
      <c r="BK896" s="5"/>
      <c r="BL896" s="5"/>
      <c r="BM896" s="5"/>
      <c r="BN896" s="5"/>
    </row>
    <row r="897">
      <c r="A897" s="5"/>
      <c r="B897" s="150"/>
      <c r="C897" s="151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6"/>
      <c r="BE897" s="5"/>
      <c r="BF897" s="7"/>
      <c r="BH897" s="5"/>
      <c r="BI897" s="5"/>
      <c r="BJ897" s="5"/>
      <c r="BK897" s="5"/>
      <c r="BL897" s="5"/>
      <c r="BM897" s="5"/>
      <c r="BN897" s="5"/>
    </row>
    <row r="898">
      <c r="A898" s="5"/>
      <c r="B898" s="150"/>
      <c r="C898" s="151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6"/>
      <c r="BE898" s="5"/>
      <c r="BF898" s="7"/>
      <c r="BH898" s="5"/>
      <c r="BI898" s="5"/>
      <c r="BJ898" s="5"/>
      <c r="BK898" s="5"/>
      <c r="BL898" s="5"/>
      <c r="BM898" s="5"/>
      <c r="BN898" s="5"/>
    </row>
    <row r="899">
      <c r="A899" s="5"/>
      <c r="B899" s="150"/>
      <c r="C899" s="151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6"/>
      <c r="BE899" s="5"/>
      <c r="BF899" s="7"/>
      <c r="BH899" s="5"/>
      <c r="BI899" s="5"/>
      <c r="BJ899" s="5"/>
      <c r="BK899" s="5"/>
      <c r="BL899" s="5"/>
      <c r="BM899" s="5"/>
      <c r="BN899" s="5"/>
    </row>
    <row r="900">
      <c r="A900" s="5"/>
      <c r="B900" s="150"/>
      <c r="C900" s="151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6"/>
      <c r="BE900" s="5"/>
      <c r="BF900" s="7"/>
      <c r="BH900" s="5"/>
      <c r="BI900" s="5"/>
      <c r="BJ900" s="5"/>
      <c r="BK900" s="5"/>
      <c r="BL900" s="5"/>
      <c r="BM900" s="5"/>
      <c r="BN900" s="5"/>
    </row>
    <row r="901">
      <c r="A901" s="5"/>
      <c r="B901" s="150"/>
      <c r="C901" s="151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6"/>
      <c r="BE901" s="5"/>
      <c r="BF901" s="7"/>
      <c r="BH901" s="5"/>
      <c r="BI901" s="5"/>
      <c r="BJ901" s="5"/>
      <c r="BK901" s="5"/>
      <c r="BL901" s="5"/>
      <c r="BM901" s="5"/>
      <c r="BN901" s="5"/>
    </row>
    <row r="902">
      <c r="A902" s="5"/>
      <c r="B902" s="150"/>
      <c r="C902" s="151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6"/>
      <c r="BE902" s="5"/>
      <c r="BF902" s="7"/>
      <c r="BH902" s="5"/>
      <c r="BI902" s="5"/>
      <c r="BJ902" s="5"/>
      <c r="BK902" s="5"/>
      <c r="BL902" s="5"/>
      <c r="BM902" s="5"/>
      <c r="BN902" s="5"/>
    </row>
    <row r="903">
      <c r="A903" s="5"/>
      <c r="B903" s="150"/>
      <c r="C903" s="151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6"/>
      <c r="BE903" s="5"/>
      <c r="BF903" s="7"/>
      <c r="BH903" s="5"/>
      <c r="BI903" s="5"/>
      <c r="BJ903" s="5"/>
      <c r="BK903" s="5"/>
      <c r="BL903" s="5"/>
      <c r="BM903" s="5"/>
      <c r="BN903" s="5"/>
    </row>
    <row r="904">
      <c r="A904" s="5"/>
      <c r="B904" s="150"/>
      <c r="C904" s="151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6"/>
      <c r="BE904" s="5"/>
      <c r="BF904" s="7"/>
      <c r="BH904" s="5"/>
      <c r="BI904" s="5"/>
      <c r="BJ904" s="5"/>
      <c r="BK904" s="5"/>
      <c r="BL904" s="5"/>
      <c r="BM904" s="5"/>
      <c r="BN904" s="5"/>
    </row>
    <row r="905">
      <c r="A905" s="5"/>
      <c r="B905" s="150"/>
      <c r="C905" s="151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6"/>
      <c r="BE905" s="5"/>
      <c r="BF905" s="7"/>
      <c r="BH905" s="5"/>
      <c r="BI905" s="5"/>
      <c r="BJ905" s="5"/>
      <c r="BK905" s="5"/>
      <c r="BL905" s="5"/>
      <c r="BM905" s="5"/>
      <c r="BN905" s="5"/>
    </row>
    <row r="906">
      <c r="A906" s="5"/>
      <c r="B906" s="150"/>
      <c r="C906" s="151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6"/>
      <c r="BE906" s="5"/>
      <c r="BF906" s="7"/>
      <c r="BH906" s="5"/>
      <c r="BI906" s="5"/>
      <c r="BJ906" s="5"/>
      <c r="BK906" s="5"/>
      <c r="BL906" s="5"/>
      <c r="BM906" s="5"/>
      <c r="BN906" s="5"/>
    </row>
    <row r="907">
      <c r="A907" s="5"/>
      <c r="B907" s="150"/>
      <c r="C907" s="151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6"/>
      <c r="BE907" s="5"/>
      <c r="BF907" s="7"/>
      <c r="BH907" s="5"/>
      <c r="BI907" s="5"/>
      <c r="BJ907" s="5"/>
      <c r="BK907" s="5"/>
      <c r="BL907" s="5"/>
      <c r="BM907" s="5"/>
      <c r="BN907" s="5"/>
    </row>
    <row r="908">
      <c r="A908" s="5"/>
      <c r="B908" s="150"/>
      <c r="C908" s="151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6"/>
      <c r="BE908" s="5"/>
      <c r="BF908" s="7"/>
      <c r="BH908" s="5"/>
      <c r="BI908" s="5"/>
      <c r="BJ908" s="5"/>
      <c r="BK908" s="5"/>
      <c r="BL908" s="5"/>
      <c r="BM908" s="5"/>
      <c r="BN908" s="5"/>
    </row>
    <row r="909">
      <c r="A909" s="5"/>
      <c r="B909" s="150"/>
      <c r="C909" s="151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6"/>
      <c r="BE909" s="5"/>
      <c r="BF909" s="7"/>
      <c r="BH909" s="5"/>
      <c r="BI909" s="5"/>
      <c r="BJ909" s="5"/>
      <c r="BK909" s="5"/>
      <c r="BL909" s="5"/>
      <c r="BM909" s="5"/>
      <c r="BN909" s="5"/>
    </row>
    <row r="910">
      <c r="A910" s="5"/>
      <c r="B910" s="150"/>
      <c r="C910" s="151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6"/>
      <c r="BE910" s="5"/>
      <c r="BF910" s="7"/>
      <c r="BH910" s="5"/>
      <c r="BI910" s="5"/>
      <c r="BJ910" s="5"/>
      <c r="BK910" s="5"/>
      <c r="BL910" s="5"/>
      <c r="BM910" s="5"/>
      <c r="BN910" s="5"/>
    </row>
    <row r="911">
      <c r="A911" s="5"/>
      <c r="B911" s="150"/>
      <c r="C911" s="151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6"/>
      <c r="BE911" s="5"/>
      <c r="BF911" s="7"/>
      <c r="BH911" s="5"/>
      <c r="BI911" s="5"/>
      <c r="BJ911" s="5"/>
      <c r="BK911" s="5"/>
      <c r="BL911" s="5"/>
      <c r="BM911" s="5"/>
      <c r="BN911" s="5"/>
    </row>
    <row r="912">
      <c r="A912" s="5"/>
      <c r="B912" s="150"/>
      <c r="C912" s="151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6"/>
      <c r="BE912" s="5"/>
      <c r="BF912" s="7"/>
      <c r="BH912" s="5"/>
      <c r="BI912" s="5"/>
      <c r="BJ912" s="5"/>
      <c r="BK912" s="5"/>
      <c r="BL912" s="5"/>
      <c r="BM912" s="5"/>
      <c r="BN912" s="5"/>
    </row>
    <row r="913">
      <c r="A913" s="5"/>
      <c r="B913" s="150"/>
      <c r="C913" s="151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6"/>
      <c r="BE913" s="5"/>
      <c r="BF913" s="7"/>
      <c r="BH913" s="5"/>
      <c r="BI913" s="5"/>
      <c r="BJ913" s="5"/>
      <c r="BK913" s="5"/>
      <c r="BL913" s="5"/>
      <c r="BM913" s="5"/>
      <c r="BN913" s="5"/>
    </row>
    <row r="914">
      <c r="A914" s="5"/>
      <c r="B914" s="150"/>
      <c r="C914" s="151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6"/>
      <c r="BE914" s="5"/>
      <c r="BF914" s="7"/>
      <c r="BH914" s="5"/>
      <c r="BI914" s="5"/>
      <c r="BJ914" s="5"/>
      <c r="BK914" s="5"/>
      <c r="BL914" s="5"/>
      <c r="BM914" s="5"/>
      <c r="BN914" s="5"/>
    </row>
    <row r="915">
      <c r="A915" s="5"/>
      <c r="B915" s="150"/>
      <c r="C915" s="151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6"/>
      <c r="BE915" s="5"/>
      <c r="BF915" s="7"/>
      <c r="BH915" s="5"/>
      <c r="BI915" s="5"/>
      <c r="BJ915" s="5"/>
      <c r="BK915" s="5"/>
      <c r="BL915" s="5"/>
      <c r="BM915" s="5"/>
      <c r="BN915" s="5"/>
    </row>
    <row r="916">
      <c r="A916" s="5"/>
      <c r="B916" s="150"/>
      <c r="C916" s="151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6"/>
      <c r="BE916" s="5"/>
      <c r="BF916" s="7"/>
      <c r="BH916" s="5"/>
      <c r="BI916" s="5"/>
      <c r="BJ916" s="5"/>
      <c r="BK916" s="5"/>
      <c r="BL916" s="5"/>
      <c r="BM916" s="5"/>
      <c r="BN916" s="5"/>
    </row>
    <row r="917">
      <c r="A917" s="5"/>
      <c r="B917" s="150"/>
      <c r="C917" s="151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6"/>
      <c r="BE917" s="5"/>
      <c r="BF917" s="7"/>
      <c r="BH917" s="5"/>
      <c r="BI917" s="5"/>
      <c r="BJ917" s="5"/>
      <c r="BK917" s="5"/>
      <c r="BL917" s="5"/>
      <c r="BM917" s="5"/>
      <c r="BN917" s="5"/>
    </row>
    <row r="918">
      <c r="A918" s="5"/>
      <c r="B918" s="150"/>
      <c r="C918" s="151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6"/>
      <c r="BE918" s="5"/>
      <c r="BF918" s="7"/>
      <c r="BH918" s="5"/>
      <c r="BI918" s="5"/>
      <c r="BJ918" s="5"/>
      <c r="BK918" s="5"/>
      <c r="BL918" s="5"/>
      <c r="BM918" s="5"/>
      <c r="BN918" s="5"/>
    </row>
    <row r="919">
      <c r="A919" s="5"/>
      <c r="B919" s="150"/>
      <c r="C919" s="151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6"/>
      <c r="BE919" s="5"/>
      <c r="BF919" s="7"/>
      <c r="BH919" s="5"/>
      <c r="BI919" s="5"/>
      <c r="BJ919" s="5"/>
      <c r="BK919" s="5"/>
      <c r="BL919" s="5"/>
      <c r="BM919" s="5"/>
      <c r="BN919" s="5"/>
    </row>
    <row r="920">
      <c r="A920" s="5"/>
      <c r="B920" s="150"/>
      <c r="C920" s="151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6"/>
      <c r="BE920" s="5"/>
      <c r="BF920" s="7"/>
      <c r="BH920" s="5"/>
      <c r="BI920" s="5"/>
      <c r="BJ920" s="5"/>
      <c r="BK920" s="5"/>
      <c r="BL920" s="5"/>
      <c r="BM920" s="5"/>
      <c r="BN920" s="5"/>
    </row>
    <row r="921">
      <c r="A921" s="5"/>
      <c r="B921" s="150"/>
      <c r="C921" s="151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6"/>
      <c r="BE921" s="5"/>
      <c r="BF921" s="7"/>
      <c r="BH921" s="5"/>
      <c r="BI921" s="5"/>
      <c r="BJ921" s="5"/>
      <c r="BK921" s="5"/>
      <c r="BL921" s="5"/>
      <c r="BM921" s="5"/>
      <c r="BN921" s="5"/>
    </row>
    <row r="922">
      <c r="A922" s="5"/>
      <c r="B922" s="150"/>
      <c r="C922" s="151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6"/>
      <c r="BE922" s="5"/>
      <c r="BF922" s="7"/>
      <c r="BH922" s="5"/>
      <c r="BI922" s="5"/>
      <c r="BJ922" s="5"/>
      <c r="BK922" s="5"/>
      <c r="BL922" s="5"/>
      <c r="BM922" s="5"/>
      <c r="BN922" s="5"/>
    </row>
    <row r="923">
      <c r="A923" s="5"/>
      <c r="B923" s="150"/>
      <c r="C923" s="151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6"/>
      <c r="BE923" s="5"/>
      <c r="BF923" s="7"/>
      <c r="BH923" s="5"/>
      <c r="BI923" s="5"/>
      <c r="BJ923" s="5"/>
      <c r="BK923" s="5"/>
      <c r="BL923" s="5"/>
      <c r="BM923" s="5"/>
      <c r="BN923" s="5"/>
    </row>
    <row r="924">
      <c r="A924" s="5"/>
      <c r="B924" s="150"/>
      <c r="C924" s="151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6"/>
      <c r="BE924" s="5"/>
      <c r="BF924" s="7"/>
      <c r="BH924" s="5"/>
      <c r="BI924" s="5"/>
      <c r="BJ924" s="5"/>
      <c r="BK924" s="5"/>
      <c r="BL924" s="5"/>
      <c r="BM924" s="5"/>
      <c r="BN924" s="5"/>
    </row>
    <row r="925">
      <c r="A925" s="5"/>
      <c r="B925" s="150"/>
      <c r="C925" s="151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6"/>
      <c r="BE925" s="5"/>
      <c r="BF925" s="7"/>
      <c r="BH925" s="5"/>
      <c r="BI925" s="5"/>
      <c r="BJ925" s="5"/>
      <c r="BK925" s="5"/>
      <c r="BL925" s="5"/>
      <c r="BM925" s="5"/>
      <c r="BN925" s="5"/>
    </row>
    <row r="926">
      <c r="A926" s="5"/>
      <c r="B926" s="150"/>
      <c r="C926" s="151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6"/>
      <c r="BE926" s="5"/>
      <c r="BF926" s="7"/>
      <c r="BH926" s="5"/>
      <c r="BI926" s="5"/>
      <c r="BJ926" s="5"/>
      <c r="BK926" s="5"/>
      <c r="BL926" s="5"/>
      <c r="BM926" s="5"/>
      <c r="BN926" s="5"/>
    </row>
    <row r="927">
      <c r="A927" s="5"/>
      <c r="B927" s="150"/>
      <c r="C927" s="151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6"/>
      <c r="BE927" s="5"/>
      <c r="BF927" s="7"/>
      <c r="BH927" s="5"/>
      <c r="BI927" s="5"/>
      <c r="BJ927" s="5"/>
      <c r="BK927" s="5"/>
      <c r="BL927" s="5"/>
      <c r="BM927" s="5"/>
      <c r="BN927" s="5"/>
    </row>
    <row r="928">
      <c r="A928" s="5"/>
      <c r="B928" s="150"/>
      <c r="C928" s="151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6"/>
      <c r="BE928" s="5"/>
      <c r="BF928" s="7"/>
      <c r="BH928" s="5"/>
      <c r="BI928" s="5"/>
      <c r="BJ928" s="5"/>
      <c r="BK928" s="5"/>
      <c r="BL928" s="5"/>
      <c r="BM928" s="5"/>
      <c r="BN928" s="5"/>
    </row>
    <row r="929">
      <c r="A929" s="5"/>
      <c r="B929" s="150"/>
      <c r="C929" s="151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6"/>
      <c r="BE929" s="5"/>
      <c r="BF929" s="7"/>
      <c r="BH929" s="5"/>
      <c r="BI929" s="5"/>
      <c r="BJ929" s="5"/>
      <c r="BK929" s="5"/>
      <c r="BL929" s="5"/>
      <c r="BM929" s="5"/>
      <c r="BN929" s="5"/>
    </row>
    <row r="930">
      <c r="A930" s="5"/>
      <c r="B930" s="150"/>
      <c r="C930" s="151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6"/>
      <c r="BE930" s="5"/>
      <c r="BF930" s="7"/>
      <c r="BH930" s="5"/>
      <c r="BI930" s="5"/>
      <c r="BJ930" s="5"/>
      <c r="BK930" s="5"/>
      <c r="BL930" s="5"/>
      <c r="BM930" s="5"/>
      <c r="BN930" s="5"/>
    </row>
    <row r="931">
      <c r="A931" s="5"/>
      <c r="B931" s="150"/>
      <c r="C931" s="151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6"/>
      <c r="BE931" s="5"/>
      <c r="BF931" s="7"/>
      <c r="BH931" s="5"/>
      <c r="BI931" s="5"/>
      <c r="BJ931" s="5"/>
      <c r="BK931" s="5"/>
      <c r="BL931" s="5"/>
      <c r="BM931" s="5"/>
      <c r="BN931" s="5"/>
    </row>
    <row r="932">
      <c r="A932" s="5"/>
      <c r="B932" s="150"/>
      <c r="C932" s="151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6"/>
      <c r="BE932" s="5"/>
      <c r="BF932" s="7"/>
      <c r="BH932" s="5"/>
      <c r="BI932" s="5"/>
      <c r="BJ932" s="5"/>
      <c r="BK932" s="5"/>
      <c r="BL932" s="5"/>
      <c r="BM932" s="5"/>
      <c r="BN932" s="5"/>
    </row>
    <row r="933">
      <c r="A933" s="5"/>
      <c r="B933" s="150"/>
      <c r="C933" s="151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6"/>
      <c r="BE933" s="5"/>
      <c r="BF933" s="7"/>
      <c r="BH933" s="5"/>
      <c r="BI933" s="5"/>
      <c r="BJ933" s="5"/>
      <c r="BK933" s="5"/>
      <c r="BL933" s="5"/>
      <c r="BM933" s="5"/>
      <c r="BN933" s="5"/>
    </row>
    <row r="934">
      <c r="A934" s="5"/>
      <c r="B934" s="150"/>
      <c r="C934" s="151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6"/>
      <c r="BE934" s="5"/>
      <c r="BF934" s="7"/>
      <c r="BH934" s="5"/>
      <c r="BI934" s="5"/>
      <c r="BJ934" s="5"/>
      <c r="BK934" s="5"/>
      <c r="BL934" s="5"/>
      <c r="BM934" s="5"/>
      <c r="BN934" s="5"/>
    </row>
    <row r="935">
      <c r="A935" s="5"/>
      <c r="B935" s="150"/>
      <c r="C935" s="151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6"/>
      <c r="BE935" s="5"/>
      <c r="BF935" s="7"/>
      <c r="BH935" s="5"/>
      <c r="BI935" s="5"/>
      <c r="BJ935" s="5"/>
      <c r="BK935" s="5"/>
      <c r="BL935" s="5"/>
      <c r="BM935" s="5"/>
      <c r="BN935" s="5"/>
    </row>
    <row r="936">
      <c r="A936" s="5"/>
      <c r="B936" s="150"/>
      <c r="C936" s="151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6"/>
      <c r="BE936" s="5"/>
      <c r="BF936" s="7"/>
      <c r="BH936" s="5"/>
      <c r="BI936" s="5"/>
      <c r="BJ936" s="5"/>
      <c r="BK936" s="5"/>
      <c r="BL936" s="5"/>
      <c r="BM936" s="5"/>
      <c r="BN936" s="5"/>
    </row>
    <row r="937">
      <c r="A937" s="5"/>
      <c r="B937" s="150"/>
      <c r="C937" s="151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6"/>
      <c r="BE937" s="5"/>
      <c r="BF937" s="7"/>
      <c r="BH937" s="5"/>
      <c r="BI937" s="5"/>
      <c r="BJ937" s="5"/>
      <c r="BK937" s="5"/>
      <c r="BL937" s="5"/>
      <c r="BM937" s="5"/>
      <c r="BN937" s="5"/>
    </row>
    <row r="938">
      <c r="A938" s="5"/>
      <c r="B938" s="150"/>
      <c r="C938" s="151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6"/>
      <c r="BE938" s="5"/>
      <c r="BF938" s="7"/>
      <c r="BH938" s="5"/>
      <c r="BI938" s="5"/>
      <c r="BJ938" s="5"/>
      <c r="BK938" s="5"/>
      <c r="BL938" s="5"/>
      <c r="BM938" s="5"/>
      <c r="BN938" s="5"/>
    </row>
    <row r="939">
      <c r="A939" s="5"/>
      <c r="B939" s="150"/>
      <c r="C939" s="151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6"/>
      <c r="BE939" s="5"/>
      <c r="BF939" s="7"/>
      <c r="BH939" s="5"/>
      <c r="BI939" s="5"/>
      <c r="BJ939" s="5"/>
      <c r="BK939" s="5"/>
      <c r="BL939" s="5"/>
      <c r="BM939" s="5"/>
      <c r="BN939" s="5"/>
    </row>
    <row r="940">
      <c r="A940" s="5"/>
      <c r="B940" s="150"/>
      <c r="C940" s="151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6"/>
      <c r="BE940" s="5"/>
      <c r="BF940" s="7"/>
      <c r="BH940" s="5"/>
      <c r="BI940" s="5"/>
      <c r="BJ940" s="5"/>
      <c r="BK940" s="5"/>
      <c r="BL940" s="5"/>
      <c r="BM940" s="5"/>
      <c r="BN940" s="5"/>
    </row>
    <row r="941">
      <c r="A941" s="5"/>
      <c r="B941" s="150"/>
      <c r="C941" s="151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6"/>
      <c r="BE941" s="5"/>
      <c r="BF941" s="7"/>
      <c r="BH941" s="5"/>
      <c r="BI941" s="5"/>
      <c r="BJ941" s="5"/>
      <c r="BK941" s="5"/>
      <c r="BL941" s="5"/>
      <c r="BM941" s="5"/>
      <c r="BN941" s="5"/>
    </row>
    <row r="942">
      <c r="A942" s="5"/>
      <c r="B942" s="150"/>
      <c r="C942" s="151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6"/>
      <c r="BE942" s="5"/>
      <c r="BF942" s="7"/>
      <c r="BH942" s="5"/>
      <c r="BI942" s="5"/>
      <c r="BJ942" s="5"/>
      <c r="BK942" s="5"/>
      <c r="BL942" s="5"/>
      <c r="BM942" s="5"/>
      <c r="BN942" s="5"/>
    </row>
    <row r="943">
      <c r="A943" s="5"/>
      <c r="B943" s="150"/>
      <c r="C943" s="151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6"/>
      <c r="BE943" s="5"/>
      <c r="BF943" s="7"/>
      <c r="BH943" s="5"/>
      <c r="BI943" s="5"/>
      <c r="BJ943" s="5"/>
      <c r="BK943" s="5"/>
      <c r="BL943" s="5"/>
      <c r="BM943" s="5"/>
      <c r="BN943" s="5"/>
    </row>
    <row r="944">
      <c r="A944" s="5"/>
      <c r="B944" s="150"/>
      <c r="C944" s="151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6"/>
      <c r="BE944" s="5"/>
      <c r="BF944" s="7"/>
      <c r="BH944" s="5"/>
      <c r="BI944" s="5"/>
      <c r="BJ944" s="5"/>
      <c r="BK944" s="5"/>
      <c r="BL944" s="5"/>
      <c r="BM944" s="5"/>
      <c r="BN944" s="5"/>
    </row>
    <row r="945">
      <c r="A945" s="5"/>
      <c r="B945" s="150"/>
      <c r="C945" s="151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6"/>
      <c r="BE945" s="5"/>
      <c r="BF945" s="7"/>
      <c r="BH945" s="5"/>
      <c r="BI945" s="5"/>
      <c r="BJ945" s="5"/>
      <c r="BK945" s="5"/>
      <c r="BL945" s="5"/>
      <c r="BM945" s="5"/>
      <c r="BN945" s="5"/>
    </row>
    <row r="946">
      <c r="A946" s="5"/>
      <c r="B946" s="150"/>
      <c r="C946" s="151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6"/>
      <c r="BE946" s="5"/>
      <c r="BF946" s="7"/>
      <c r="BH946" s="5"/>
      <c r="BI946" s="5"/>
      <c r="BJ946" s="5"/>
      <c r="BK946" s="5"/>
      <c r="BL946" s="5"/>
      <c r="BM946" s="5"/>
      <c r="BN946" s="5"/>
    </row>
    <row r="947">
      <c r="A947" s="5"/>
      <c r="B947" s="150"/>
      <c r="C947" s="151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6"/>
      <c r="BE947" s="5"/>
      <c r="BF947" s="7"/>
      <c r="BH947" s="5"/>
      <c r="BI947" s="5"/>
      <c r="BJ947" s="5"/>
      <c r="BK947" s="5"/>
      <c r="BL947" s="5"/>
      <c r="BM947" s="5"/>
      <c r="BN947" s="5"/>
    </row>
    <row r="948">
      <c r="A948" s="5"/>
      <c r="B948" s="150"/>
      <c r="C948" s="151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6"/>
      <c r="BE948" s="5"/>
      <c r="BF948" s="7"/>
      <c r="BH948" s="5"/>
      <c r="BI948" s="5"/>
      <c r="BJ948" s="5"/>
      <c r="BK948" s="5"/>
      <c r="BL948" s="5"/>
      <c r="BM948" s="5"/>
      <c r="BN948" s="5"/>
    </row>
    <row r="949">
      <c r="A949" s="5"/>
      <c r="B949" s="150"/>
      <c r="C949" s="151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6"/>
      <c r="BE949" s="5"/>
      <c r="BF949" s="7"/>
      <c r="BH949" s="5"/>
      <c r="BI949" s="5"/>
      <c r="BJ949" s="5"/>
      <c r="BK949" s="5"/>
      <c r="BL949" s="5"/>
      <c r="BM949" s="5"/>
      <c r="BN949" s="5"/>
    </row>
    <row r="950">
      <c r="A950" s="5"/>
      <c r="B950" s="150"/>
      <c r="C950" s="151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6"/>
      <c r="BE950" s="5"/>
      <c r="BF950" s="7"/>
      <c r="BH950" s="5"/>
      <c r="BI950" s="5"/>
      <c r="BJ950" s="5"/>
      <c r="BK950" s="5"/>
      <c r="BL950" s="5"/>
      <c r="BM950" s="5"/>
      <c r="BN950" s="5"/>
    </row>
    <row r="951">
      <c r="A951" s="5"/>
      <c r="B951" s="150"/>
      <c r="C951" s="151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6"/>
      <c r="BE951" s="5"/>
      <c r="BF951" s="7"/>
      <c r="BH951" s="5"/>
      <c r="BI951" s="5"/>
      <c r="BJ951" s="5"/>
      <c r="BK951" s="5"/>
      <c r="BL951" s="5"/>
      <c r="BM951" s="5"/>
      <c r="BN951" s="5"/>
    </row>
    <row r="952">
      <c r="A952" s="5"/>
      <c r="B952" s="150"/>
      <c r="C952" s="151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6"/>
      <c r="BE952" s="5"/>
      <c r="BF952" s="7"/>
      <c r="BH952" s="5"/>
      <c r="BI952" s="5"/>
      <c r="BJ952" s="5"/>
      <c r="BK952" s="5"/>
      <c r="BL952" s="5"/>
      <c r="BM952" s="5"/>
      <c r="BN952" s="5"/>
    </row>
    <row r="953">
      <c r="A953" s="5"/>
      <c r="B953" s="150"/>
      <c r="C953" s="151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6"/>
      <c r="BE953" s="5"/>
      <c r="BF953" s="7"/>
      <c r="BH953" s="5"/>
      <c r="BI953" s="5"/>
      <c r="BJ953" s="5"/>
      <c r="BK953" s="5"/>
      <c r="BL953" s="5"/>
      <c r="BM953" s="5"/>
      <c r="BN953" s="5"/>
    </row>
    <row r="954">
      <c r="A954" s="5"/>
      <c r="B954" s="150"/>
      <c r="C954" s="151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6"/>
      <c r="BE954" s="5"/>
      <c r="BF954" s="7"/>
      <c r="BH954" s="5"/>
      <c r="BI954" s="5"/>
      <c r="BJ954" s="5"/>
      <c r="BK954" s="5"/>
      <c r="BL954" s="5"/>
      <c r="BM954" s="5"/>
      <c r="BN954" s="5"/>
    </row>
    <row r="955">
      <c r="A955" s="5"/>
      <c r="B955" s="150"/>
      <c r="C955" s="151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6"/>
      <c r="BE955" s="5"/>
      <c r="BF955" s="7"/>
      <c r="BH955" s="5"/>
      <c r="BI955" s="5"/>
      <c r="BJ955" s="5"/>
      <c r="BK955" s="5"/>
      <c r="BL955" s="5"/>
      <c r="BM955" s="5"/>
      <c r="BN955" s="5"/>
    </row>
    <row r="956">
      <c r="A956" s="5"/>
      <c r="B956" s="150"/>
      <c r="C956" s="151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6"/>
      <c r="BE956" s="5"/>
      <c r="BF956" s="7"/>
      <c r="BH956" s="5"/>
      <c r="BI956" s="5"/>
      <c r="BJ956" s="5"/>
      <c r="BK956" s="5"/>
      <c r="BL956" s="5"/>
      <c r="BM956" s="5"/>
      <c r="BN956" s="5"/>
    </row>
    <row r="957">
      <c r="A957" s="5"/>
      <c r="B957" s="150"/>
      <c r="C957" s="151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6"/>
      <c r="BE957" s="5"/>
      <c r="BF957" s="7"/>
      <c r="BH957" s="5"/>
      <c r="BI957" s="5"/>
      <c r="BJ957" s="5"/>
      <c r="BK957" s="5"/>
      <c r="BL957" s="5"/>
      <c r="BM957" s="5"/>
      <c r="BN957" s="5"/>
    </row>
    <row r="958">
      <c r="A958" s="5"/>
      <c r="B958" s="150"/>
      <c r="C958" s="151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6"/>
      <c r="BE958" s="5"/>
      <c r="BF958" s="7"/>
      <c r="BH958" s="5"/>
      <c r="BI958" s="5"/>
      <c r="BJ958" s="5"/>
      <c r="BK958" s="5"/>
      <c r="BL958" s="5"/>
      <c r="BM958" s="5"/>
      <c r="BN958" s="5"/>
    </row>
  </sheetData>
  <mergeCells count="27">
    <mergeCell ref="S2:W2"/>
    <mergeCell ref="Y2:AC2"/>
    <mergeCell ref="AG2:AK2"/>
    <mergeCell ref="AW2:BC2"/>
    <mergeCell ref="D3:Q3"/>
    <mergeCell ref="S3:W3"/>
    <mergeCell ref="Y3:AE3"/>
    <mergeCell ref="AG3:AM3"/>
    <mergeCell ref="AO3:AU3"/>
    <mergeCell ref="AW3:BC3"/>
    <mergeCell ref="BH3:BO3"/>
    <mergeCell ref="BP3:BR3"/>
    <mergeCell ref="R5:R241"/>
    <mergeCell ref="X5:X241"/>
    <mergeCell ref="AF5:AF241"/>
    <mergeCell ref="AN5:AN241"/>
    <mergeCell ref="AV5:AV241"/>
    <mergeCell ref="BE5:BE241"/>
    <mergeCell ref="BF5:BF241"/>
    <mergeCell ref="BG5:BG241"/>
    <mergeCell ref="A1:C3"/>
    <mergeCell ref="D1:I1"/>
    <mergeCell ref="J1:O1"/>
    <mergeCell ref="P1:Q1"/>
    <mergeCell ref="D2:I2"/>
    <mergeCell ref="J2:O2"/>
    <mergeCell ref="P2:Q2"/>
  </mergeCells>
  <hyperlinks>
    <hyperlink r:id="rId1" ref="BF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/>
  <cols>
    <col customWidth="1" min="1" max="1" width="5.57"/>
    <col customWidth="1" min="2" max="2" width="32.0"/>
    <col customWidth="1" min="3" max="3" width="5.57"/>
    <col customWidth="1" min="4" max="4" width="4.86"/>
    <col customWidth="1" min="5" max="7" width="5.71"/>
    <col customWidth="1" min="8" max="8" width="5.57"/>
    <col customWidth="1" min="9" max="9" width="6.29"/>
    <col customWidth="1" min="10" max="15" width="5.43"/>
    <col customWidth="1" min="16" max="16" width="8.29"/>
    <col customWidth="1" min="17" max="17" width="7.86"/>
    <col customWidth="1" min="18" max="18" width="3.14"/>
    <col customWidth="1" min="19" max="19" width="5.43"/>
    <col customWidth="1" min="20" max="20" width="5.57"/>
    <col customWidth="1" min="21" max="21" width="5.29"/>
    <col customWidth="1" min="22" max="22" width="6.0"/>
    <col customWidth="1" min="23" max="23" width="3.29"/>
    <col customWidth="1" min="24" max="24" width="6.29"/>
    <col customWidth="1" min="25" max="25" width="6.14"/>
    <col customWidth="1" min="26" max="26" width="5.57"/>
    <col customWidth="1" min="27" max="28" width="5.71"/>
    <col customWidth="1" min="29" max="29" width="6.57"/>
    <col customWidth="1" min="30" max="30" width="2.86"/>
    <col customWidth="1" min="31" max="31" width="6.43"/>
    <col customWidth="1" min="32" max="32" width="5.57"/>
    <col customWidth="1" min="33" max="33" width="5.43"/>
    <col customWidth="1" min="34" max="34" width="5.71"/>
    <col customWidth="1" min="35" max="36" width="6.86"/>
    <col customWidth="1" min="37" max="37" width="0.43"/>
    <col customWidth="1" min="38" max="38" width="7.29"/>
    <col customWidth="1" min="39" max="40" width="5.57"/>
    <col customWidth="1" min="41" max="41" width="7.43"/>
    <col customWidth="1" min="42" max="43" width="5.86"/>
    <col customWidth="1" min="44" max="44" width="7.71"/>
    <col customWidth="1" min="45" max="45" width="3.43"/>
    <col customWidth="1" min="46" max="47" width="5.71"/>
    <col customWidth="1" min="48" max="48" width="5.14"/>
    <col customWidth="1" min="49" max="49" width="5.0"/>
    <col customWidth="1" min="50" max="50" width="5.29"/>
    <col customWidth="1" min="51" max="52" width="6.14"/>
    <col customWidth="1" min="53" max="53" width="34.57"/>
    <col customWidth="1" min="54" max="54" width="3.43"/>
    <col customWidth="1" min="55" max="55" width="49.57"/>
    <col customWidth="1" min="56" max="56" width="3.43"/>
    <col customWidth="1" min="57" max="57" width="14.0"/>
    <col customWidth="1" min="58" max="58" width="5.43"/>
    <col customWidth="1" min="59" max="59" width="5.71"/>
    <col customWidth="1" min="60" max="60" width="6.29"/>
    <col customWidth="1" min="61" max="61" width="6.57"/>
    <col customWidth="1" min="62" max="62" width="8.86"/>
    <col customWidth="1" min="63" max="63" width="12.71"/>
    <col customWidth="1" min="65" max="65" width="18.0"/>
    <col customWidth="1" min="66" max="66" width="23.29"/>
  </cols>
  <sheetData>
    <row r="1" ht="13.5" customHeight="1">
      <c r="A1" s="1" t="s">
        <v>1591</v>
      </c>
      <c r="D1" s="2" t="s">
        <v>1592</v>
      </c>
      <c r="J1" s="3" t="s">
        <v>1593</v>
      </c>
      <c r="P1" s="4" t="s">
        <v>1594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6"/>
      <c r="BB1" s="5"/>
      <c r="BC1" s="7"/>
      <c r="BE1" s="5"/>
      <c r="BF1" s="5"/>
      <c r="BG1" s="5"/>
      <c r="BH1" s="5"/>
      <c r="BI1" s="5"/>
      <c r="BJ1" s="5"/>
    </row>
    <row r="2">
      <c r="D2" s="11" t="s">
        <v>1595</v>
      </c>
      <c r="J2" s="12" t="s">
        <v>1596</v>
      </c>
      <c r="P2" s="13" t="s">
        <v>1597</v>
      </c>
      <c r="R2" s="5"/>
      <c r="S2" s="172" t="s">
        <v>1598</v>
      </c>
      <c r="W2" s="14"/>
      <c r="X2" s="14"/>
      <c r="AB2" s="14"/>
      <c r="AC2" s="14"/>
      <c r="AD2" s="14"/>
      <c r="AE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5" t="s">
        <v>7</v>
      </c>
      <c r="BA2" s="16"/>
      <c r="BB2" s="5"/>
      <c r="BC2" s="16" t="s">
        <v>1599</v>
      </c>
      <c r="BE2" s="5"/>
      <c r="BF2" s="5"/>
      <c r="BG2" s="5"/>
      <c r="BH2" s="5"/>
      <c r="BI2" s="5"/>
      <c r="BJ2" s="5"/>
    </row>
    <row r="3">
      <c r="D3" s="20" t="s">
        <v>9</v>
      </c>
      <c r="R3" s="21"/>
      <c r="S3" s="173" t="s">
        <v>1144</v>
      </c>
      <c r="W3" s="34"/>
      <c r="X3" s="174" t="s">
        <v>1145</v>
      </c>
      <c r="AD3" s="34"/>
      <c r="AE3" s="22" t="s">
        <v>10</v>
      </c>
      <c r="AK3" s="34"/>
      <c r="AL3" s="284" t="s">
        <v>1600</v>
      </c>
      <c r="AS3" s="34"/>
      <c r="AT3" s="24" t="s">
        <v>12</v>
      </c>
      <c r="BA3" s="25"/>
      <c r="BB3" s="5"/>
      <c r="BC3" s="26" t="s">
        <v>13</v>
      </c>
      <c r="BD3" s="27"/>
      <c r="BE3" s="28" t="s">
        <v>14</v>
      </c>
      <c r="BL3" s="29" t="s">
        <v>15</v>
      </c>
      <c r="BM3" s="30"/>
      <c r="BN3" s="31"/>
    </row>
    <row r="4">
      <c r="A4" s="35" t="s">
        <v>16</v>
      </c>
      <c r="B4" s="36" t="s">
        <v>17</v>
      </c>
      <c r="C4" s="37" t="s">
        <v>18</v>
      </c>
      <c r="D4" s="38" t="s">
        <v>19</v>
      </c>
      <c r="E4" s="38" t="s">
        <v>20</v>
      </c>
      <c r="F4" s="38" t="s">
        <v>21</v>
      </c>
      <c r="G4" s="38" t="s">
        <v>22</v>
      </c>
      <c r="H4" s="38" t="s">
        <v>23</v>
      </c>
      <c r="I4" s="38" t="s">
        <v>24</v>
      </c>
      <c r="J4" s="39" t="s">
        <v>19</v>
      </c>
      <c r="K4" s="39" t="s">
        <v>20</v>
      </c>
      <c r="L4" s="39" t="s">
        <v>21</v>
      </c>
      <c r="M4" s="39" t="s">
        <v>22</v>
      </c>
      <c r="N4" s="39" t="s">
        <v>23</v>
      </c>
      <c r="O4" s="39" t="s">
        <v>24</v>
      </c>
      <c r="P4" s="40" t="s">
        <v>25</v>
      </c>
      <c r="Q4" s="40" t="s">
        <v>26</v>
      </c>
      <c r="R4" s="32"/>
      <c r="S4" s="38" t="s">
        <v>1601</v>
      </c>
      <c r="T4" s="38" t="s">
        <v>21</v>
      </c>
      <c r="U4" s="38" t="s">
        <v>23</v>
      </c>
      <c r="V4" s="38" t="s">
        <v>24</v>
      </c>
      <c r="W4" s="32"/>
      <c r="X4" s="38" t="s">
        <v>1601</v>
      </c>
      <c r="Y4" s="38" t="s">
        <v>21</v>
      </c>
      <c r="Z4" s="38" t="s">
        <v>23</v>
      </c>
      <c r="AA4" s="38" t="s">
        <v>24</v>
      </c>
      <c r="AB4" s="41" t="s">
        <v>27</v>
      </c>
      <c r="AC4" s="41" t="s">
        <v>28</v>
      </c>
      <c r="AD4" s="32"/>
      <c r="AE4" s="38" t="s">
        <v>1601</v>
      </c>
      <c r="AF4" s="38" t="s">
        <v>21</v>
      </c>
      <c r="AG4" s="38" t="s">
        <v>23</v>
      </c>
      <c r="AH4" s="38" t="s">
        <v>24</v>
      </c>
      <c r="AI4" s="41" t="s">
        <v>27</v>
      </c>
      <c r="AJ4" s="41" t="s">
        <v>28</v>
      </c>
      <c r="AK4" s="32"/>
      <c r="AL4" s="38" t="s">
        <v>20</v>
      </c>
      <c r="AM4" s="38" t="s">
        <v>21</v>
      </c>
      <c r="AN4" s="38" t="s">
        <v>22</v>
      </c>
      <c r="AO4" s="38" t="s">
        <v>23</v>
      </c>
      <c r="AP4" s="38" t="s">
        <v>24</v>
      </c>
      <c r="AQ4" s="41" t="s">
        <v>27</v>
      </c>
      <c r="AR4" s="41" t="s">
        <v>28</v>
      </c>
      <c r="AS4" s="32"/>
      <c r="AT4" s="42" t="s">
        <v>20</v>
      </c>
      <c r="AU4" s="42" t="s">
        <v>21</v>
      </c>
      <c r="AV4" s="42" t="s">
        <v>22</v>
      </c>
      <c r="AW4" s="42" t="s">
        <v>23</v>
      </c>
      <c r="AX4" s="42" t="s">
        <v>24</v>
      </c>
      <c r="AY4" s="43" t="s">
        <v>29</v>
      </c>
      <c r="AZ4" s="43" t="s">
        <v>30</v>
      </c>
      <c r="BA4" s="43" t="s">
        <v>31</v>
      </c>
      <c r="BB4" s="5"/>
      <c r="BC4" s="285" t="s">
        <v>1602</v>
      </c>
      <c r="BD4" s="5"/>
      <c r="BE4" s="42" t="s">
        <v>1601</v>
      </c>
      <c r="BF4" s="42" t="s">
        <v>21</v>
      </c>
      <c r="BG4" s="42" t="s">
        <v>23</v>
      </c>
      <c r="BH4" s="42" t="s">
        <v>24</v>
      </c>
      <c r="BI4" s="43" t="s">
        <v>29</v>
      </c>
      <c r="BJ4" s="43" t="s">
        <v>26</v>
      </c>
      <c r="BK4" s="43" t="s">
        <v>31</v>
      </c>
      <c r="BL4" s="45" t="s">
        <v>32</v>
      </c>
      <c r="BM4" s="45" t="s">
        <v>33</v>
      </c>
      <c r="BN4" s="45" t="s">
        <v>34</v>
      </c>
    </row>
    <row r="5">
      <c r="A5" s="176">
        <v>1.0</v>
      </c>
      <c r="B5" s="286" t="s">
        <v>1603</v>
      </c>
      <c r="C5" s="287" t="s">
        <v>41</v>
      </c>
      <c r="D5" s="50">
        <v>0.0</v>
      </c>
      <c r="E5" s="288">
        <v>2.0182</v>
      </c>
      <c r="F5" s="289">
        <v>0.19</v>
      </c>
      <c r="G5" s="179">
        <v>0.2</v>
      </c>
      <c r="H5" s="179"/>
      <c r="I5" s="179">
        <v>0.0918</v>
      </c>
      <c r="J5" s="200">
        <v>3.67</v>
      </c>
      <c r="K5" s="200">
        <v>0.0</v>
      </c>
      <c r="L5" s="200">
        <v>0.27</v>
      </c>
      <c r="M5" s="200">
        <v>0.0</v>
      </c>
      <c r="N5" s="200">
        <v>0.0</v>
      </c>
      <c r="O5" s="200">
        <v>0.06</v>
      </c>
      <c r="P5" s="180">
        <v>1.0</v>
      </c>
      <c r="Q5" s="180">
        <v>1.0</v>
      </c>
      <c r="R5" s="5"/>
      <c r="S5" s="176">
        <v>0.35</v>
      </c>
      <c r="T5" s="176">
        <v>0.07</v>
      </c>
      <c r="U5" s="176">
        <v>0.0</v>
      </c>
      <c r="V5" s="176">
        <v>0.0</v>
      </c>
      <c r="W5" s="5"/>
      <c r="X5" s="176">
        <v>1.9</v>
      </c>
      <c r="Y5" s="176">
        <v>0.43</v>
      </c>
      <c r="Z5" s="184"/>
      <c r="AA5" s="184"/>
      <c r="AB5" s="184"/>
      <c r="AC5" s="184"/>
      <c r="AD5" s="5"/>
      <c r="AE5" s="184"/>
      <c r="AF5" s="184"/>
      <c r="AG5" s="184"/>
      <c r="AH5" s="184"/>
      <c r="AI5" s="184"/>
      <c r="AJ5" s="184"/>
      <c r="AK5" s="5"/>
      <c r="AL5" s="184">
        <f t="shared" ref="AL5:AM5" si="1">ROUND(E5*(5/12)+K5*(5/12)+S5+X5-AE5,2)</f>
        <v>3.09</v>
      </c>
      <c r="AM5" s="184">
        <f t="shared" si="1"/>
        <v>0.69</v>
      </c>
      <c r="AN5" s="184">
        <f t="shared" ref="AN5:AN115" si="5">ROUND(G5*(5/12)+M5*(5/12),2)</f>
        <v>0.08</v>
      </c>
      <c r="AO5" s="184">
        <f t="shared" ref="AO5:AP5" si="2">ROUND(H5*(5/12)+N5*(5/12)+U5+Z5-AG5,2)</f>
        <v>0</v>
      </c>
      <c r="AP5" s="184">
        <f t="shared" si="2"/>
        <v>0.06</v>
      </c>
      <c r="AQ5" s="184">
        <f t="shared" ref="AQ5:AR5" si="3">P5+AB5-AI5</f>
        <v>1</v>
      </c>
      <c r="AR5" s="184">
        <f t="shared" si="3"/>
        <v>1</v>
      </c>
      <c r="AS5" s="5"/>
      <c r="AT5" s="176">
        <v>1.25</v>
      </c>
      <c r="AU5" s="176">
        <v>0.65</v>
      </c>
      <c r="AV5" s="176">
        <v>0.0</v>
      </c>
      <c r="AW5" s="176">
        <v>0.0</v>
      </c>
      <c r="AX5" s="176">
        <v>0.0</v>
      </c>
      <c r="AY5" s="176">
        <v>0.0</v>
      </c>
      <c r="AZ5" s="176">
        <v>1.0</v>
      </c>
      <c r="BA5" s="180" t="s">
        <v>1604</v>
      </c>
      <c r="BB5" s="5"/>
      <c r="BC5" s="290"/>
      <c r="BE5" s="184"/>
      <c r="BF5" s="184"/>
      <c r="BG5" s="184"/>
      <c r="BH5" s="184"/>
      <c r="BI5" s="184"/>
      <c r="BJ5" s="184"/>
      <c r="BK5" s="81"/>
      <c r="BL5" s="81"/>
      <c r="BM5" s="81"/>
      <c r="BN5" s="81"/>
    </row>
    <row r="6">
      <c r="A6" s="176">
        <v>2.0</v>
      </c>
      <c r="B6" s="286" t="s">
        <v>44</v>
      </c>
      <c r="C6" s="287" t="s">
        <v>41</v>
      </c>
      <c r="D6" s="50">
        <v>2.67</v>
      </c>
      <c r="E6" s="291">
        <v>0.775</v>
      </c>
      <c r="F6" s="292">
        <v>0.19</v>
      </c>
      <c r="G6" s="292">
        <v>0.2</v>
      </c>
      <c r="H6" s="293"/>
      <c r="I6" s="292">
        <v>0.165</v>
      </c>
      <c r="J6" s="294">
        <v>2.0</v>
      </c>
      <c r="K6" s="294">
        <v>0.53</v>
      </c>
      <c r="L6" s="294">
        <v>0.5</v>
      </c>
      <c r="M6" s="294">
        <v>0.8</v>
      </c>
      <c r="N6" s="294">
        <v>0.0</v>
      </c>
      <c r="O6" s="294">
        <v>0.17</v>
      </c>
      <c r="P6" s="180">
        <v>1.0</v>
      </c>
      <c r="Q6" s="180">
        <v>1.0</v>
      </c>
      <c r="R6" s="5"/>
      <c r="S6" s="176">
        <v>0.43</v>
      </c>
      <c r="T6" s="176">
        <v>0.07</v>
      </c>
      <c r="U6" s="176">
        <v>0.0</v>
      </c>
      <c r="V6" s="176">
        <v>0.0</v>
      </c>
      <c r="W6" s="5"/>
      <c r="X6" s="176">
        <v>1.078</v>
      </c>
      <c r="Y6" s="176">
        <v>0.16</v>
      </c>
      <c r="Z6" s="184"/>
      <c r="AA6" s="184"/>
      <c r="AB6" s="184"/>
      <c r="AC6" s="184"/>
      <c r="AD6" s="5"/>
      <c r="AE6" s="176"/>
      <c r="AF6" s="184"/>
      <c r="AG6" s="184"/>
      <c r="AH6" s="213">
        <v>0.165</v>
      </c>
      <c r="AI6" s="184"/>
      <c r="AJ6" s="184"/>
      <c r="AK6" s="5"/>
      <c r="AL6" s="184">
        <f t="shared" ref="AL6:AM6" si="4">ROUND(E6*(5/12)+K6*(5/12)+S6+X6-AE6,2)</f>
        <v>2.05</v>
      </c>
      <c r="AM6" s="184">
        <f t="shared" si="4"/>
        <v>0.52</v>
      </c>
      <c r="AN6" s="184">
        <f t="shared" si="5"/>
        <v>0.42</v>
      </c>
      <c r="AO6" s="184">
        <f t="shared" ref="AO6:AP6" si="6">ROUND(H6*(5/12)+N6*(5/12)+U6+Z6-AG6,2)</f>
        <v>0</v>
      </c>
      <c r="AP6" s="184">
        <f t="shared" si="6"/>
        <v>-0.03</v>
      </c>
      <c r="AQ6" s="184">
        <f t="shared" ref="AQ6:AR6" si="7">P6+AB6-AI6</f>
        <v>1</v>
      </c>
      <c r="AR6" s="184">
        <f t="shared" si="7"/>
        <v>1</v>
      </c>
      <c r="AS6" s="5"/>
      <c r="AT6" s="180">
        <v>2.05</v>
      </c>
      <c r="AU6" s="180">
        <v>0.717</v>
      </c>
      <c r="AV6" s="176">
        <v>0.44</v>
      </c>
      <c r="AW6" s="176">
        <v>0.0</v>
      </c>
      <c r="AX6" s="176">
        <v>0.03</v>
      </c>
      <c r="AY6" s="295">
        <v>1.0</v>
      </c>
      <c r="AZ6" s="176">
        <v>1.0</v>
      </c>
      <c r="BA6" s="196" t="s">
        <v>1605</v>
      </c>
      <c r="BB6" s="5"/>
      <c r="BC6" s="62"/>
      <c r="BE6" s="184"/>
      <c r="BF6" s="184"/>
      <c r="BG6" s="184"/>
      <c r="BH6" s="184"/>
      <c r="BI6" s="184"/>
      <c r="BJ6" s="184"/>
      <c r="BK6" s="81"/>
      <c r="BL6" s="280" t="s">
        <v>1561</v>
      </c>
      <c r="BM6" s="81"/>
      <c r="BN6" s="81"/>
    </row>
    <row r="7">
      <c r="A7" s="176">
        <v>3.0</v>
      </c>
      <c r="B7" s="286" t="s">
        <v>45</v>
      </c>
      <c r="C7" s="287" t="s">
        <v>41</v>
      </c>
      <c r="D7" s="50">
        <v>3.0</v>
      </c>
      <c r="E7" s="291">
        <v>0.0182</v>
      </c>
      <c r="F7" s="292">
        <v>0.19</v>
      </c>
      <c r="G7" s="292">
        <v>0.2</v>
      </c>
      <c r="H7" s="292">
        <v>0.5</v>
      </c>
      <c r="I7" s="292">
        <v>0.0918</v>
      </c>
      <c r="J7" s="294">
        <v>2.0</v>
      </c>
      <c r="K7" s="294">
        <v>0.63</v>
      </c>
      <c r="L7" s="294">
        <v>0.17</v>
      </c>
      <c r="M7" s="294">
        <v>0.2</v>
      </c>
      <c r="N7" s="294">
        <v>0.5</v>
      </c>
      <c r="O7" s="294">
        <v>0.5</v>
      </c>
      <c r="P7" s="180">
        <v>1.0</v>
      </c>
      <c r="Q7" s="180">
        <v>1.0</v>
      </c>
      <c r="R7" s="5"/>
      <c r="S7" s="176">
        <v>0.35</v>
      </c>
      <c r="T7" s="176">
        <v>0.07</v>
      </c>
      <c r="U7" s="176">
        <v>0.08</v>
      </c>
      <c r="V7" s="176">
        <v>0.0</v>
      </c>
      <c r="W7" s="5"/>
      <c r="X7" s="176">
        <v>0.76</v>
      </c>
      <c r="Y7" s="176">
        <v>0.457</v>
      </c>
      <c r="Z7" s="81"/>
      <c r="AA7" s="81"/>
      <c r="AB7" s="81"/>
      <c r="AC7" s="81"/>
      <c r="AD7" s="5"/>
      <c r="AE7" s="184"/>
      <c r="AF7" s="184"/>
      <c r="AG7" s="176">
        <v>0.24</v>
      </c>
      <c r="AH7" s="184"/>
      <c r="AI7" s="184"/>
      <c r="AJ7" s="176">
        <v>0.25</v>
      </c>
      <c r="AK7" s="5"/>
      <c r="AL7" s="184">
        <f t="shared" ref="AL7:AM7" si="8">ROUND(E7*(5/12)+K7*(5/12)+S7+X7-AE7,2)</f>
        <v>1.38</v>
      </c>
      <c r="AM7" s="184">
        <f t="shared" si="8"/>
        <v>0.68</v>
      </c>
      <c r="AN7" s="184">
        <f t="shared" si="5"/>
        <v>0.17</v>
      </c>
      <c r="AO7" s="184">
        <f t="shared" ref="AO7:AP7" si="9">ROUND(H7*(5/12)+N7*(5/12)+U7+Z7-AG7,2)</f>
        <v>0.26</v>
      </c>
      <c r="AP7" s="184">
        <f t="shared" si="9"/>
        <v>0.25</v>
      </c>
      <c r="AQ7" s="184">
        <f t="shared" ref="AQ7:AR7" si="10">P7+AB7-AI7</f>
        <v>1</v>
      </c>
      <c r="AR7" s="184">
        <f t="shared" si="10"/>
        <v>0.75</v>
      </c>
      <c r="AS7" s="5"/>
      <c r="AT7" s="176">
        <v>1.5</v>
      </c>
      <c r="AU7" s="176">
        <v>0.68</v>
      </c>
      <c r="AV7" s="176">
        <v>0.2</v>
      </c>
      <c r="AW7" s="176">
        <v>0.33</v>
      </c>
      <c r="AX7" s="176">
        <v>0.25</v>
      </c>
      <c r="AY7" s="176">
        <v>1.0</v>
      </c>
      <c r="AZ7" s="176">
        <v>1.0</v>
      </c>
      <c r="BA7" s="180" t="s">
        <v>1606</v>
      </c>
      <c r="BB7" s="5"/>
      <c r="BC7" s="62"/>
      <c r="BE7" s="296">
        <v>0.753</v>
      </c>
      <c r="BF7" s="184"/>
      <c r="BG7" s="184"/>
      <c r="BH7" s="184"/>
      <c r="BI7" s="184"/>
      <c r="BJ7" s="184"/>
      <c r="BK7" s="280" t="s">
        <v>1607</v>
      </c>
      <c r="BL7" s="280" t="s">
        <v>1152</v>
      </c>
      <c r="BM7" s="280" t="s">
        <v>1608</v>
      </c>
      <c r="BN7" s="81"/>
    </row>
    <row r="8">
      <c r="A8" s="176">
        <v>4.0</v>
      </c>
      <c r="B8" s="286" t="s">
        <v>46</v>
      </c>
      <c r="C8" s="287" t="s">
        <v>41</v>
      </c>
      <c r="D8" s="50">
        <v>2.67</v>
      </c>
      <c r="E8" s="291">
        <v>0.2482</v>
      </c>
      <c r="F8" s="292">
        <v>0.19</v>
      </c>
      <c r="G8" s="292">
        <v>0.3</v>
      </c>
      <c r="H8" s="292">
        <v>0.5</v>
      </c>
      <c r="I8" s="292">
        <v>0.0918</v>
      </c>
      <c r="J8" s="294">
        <v>2.67</v>
      </c>
      <c r="K8" s="294">
        <v>0.3</v>
      </c>
      <c r="L8" s="294">
        <v>0.17</v>
      </c>
      <c r="M8" s="294">
        <v>0.3</v>
      </c>
      <c r="N8" s="294">
        <v>0.5</v>
      </c>
      <c r="O8" s="294">
        <v>0.06</v>
      </c>
      <c r="P8" s="180">
        <v>1.0</v>
      </c>
      <c r="Q8" s="180">
        <v>1.0</v>
      </c>
      <c r="R8" s="5"/>
      <c r="S8" s="176">
        <v>0.26</v>
      </c>
      <c r="T8" s="176">
        <v>0.07</v>
      </c>
      <c r="U8" s="176">
        <v>0.0</v>
      </c>
      <c r="V8" s="176">
        <v>0.0</v>
      </c>
      <c r="W8" s="5"/>
      <c r="X8" s="176">
        <v>0.023</v>
      </c>
      <c r="Y8" s="176">
        <v>0.644</v>
      </c>
      <c r="Z8" s="184"/>
      <c r="AA8" s="184"/>
      <c r="AB8" s="184"/>
      <c r="AC8" s="184"/>
      <c r="AD8" s="5"/>
      <c r="AE8" s="176"/>
      <c r="AF8" s="184"/>
      <c r="AG8" s="184"/>
      <c r="AH8" s="184"/>
      <c r="AI8" s="184"/>
      <c r="AJ8" s="184"/>
      <c r="AK8" s="5"/>
      <c r="AL8" s="184">
        <f t="shared" ref="AL8:AM8" si="11">ROUND(E8*(5/12)+K8*(5/12)+S8+X8-AE8,2)</f>
        <v>0.51</v>
      </c>
      <c r="AM8" s="184">
        <f t="shared" si="11"/>
        <v>0.86</v>
      </c>
      <c r="AN8" s="184">
        <f t="shared" si="5"/>
        <v>0.25</v>
      </c>
      <c r="AO8" s="184">
        <f t="shared" ref="AO8:AP8" si="12">ROUND(H8*(5/12)+N8*(5/12)+U8+Z8-AG8,2)</f>
        <v>0.42</v>
      </c>
      <c r="AP8" s="184">
        <f t="shared" si="12"/>
        <v>0.06</v>
      </c>
      <c r="AQ8" s="184">
        <f t="shared" ref="AQ8:AR8" si="13">P8+AB8-AI8</f>
        <v>1</v>
      </c>
      <c r="AR8" s="184">
        <f t="shared" si="13"/>
        <v>1</v>
      </c>
      <c r="AS8" s="5"/>
      <c r="AT8" s="176">
        <v>0.75</v>
      </c>
      <c r="AU8" s="176">
        <v>1.122</v>
      </c>
      <c r="AV8" s="176">
        <v>0.22</v>
      </c>
      <c r="AW8" s="176">
        <v>0.33</v>
      </c>
      <c r="AX8" s="176">
        <v>0.033</v>
      </c>
      <c r="AY8" s="176">
        <v>1.0</v>
      </c>
      <c r="AZ8" s="176">
        <v>1.0</v>
      </c>
      <c r="BA8" s="180" t="s">
        <v>1609</v>
      </c>
      <c r="BB8" s="5"/>
      <c r="BC8" s="62"/>
      <c r="BE8" s="184"/>
      <c r="BF8" s="184"/>
      <c r="BG8" s="184"/>
      <c r="BH8" s="184"/>
      <c r="BI8" s="184"/>
      <c r="BJ8" s="184"/>
      <c r="BK8" s="81"/>
      <c r="BL8" s="280" t="s">
        <v>1152</v>
      </c>
      <c r="BM8" s="81"/>
      <c r="BN8" s="280" t="s">
        <v>1610</v>
      </c>
    </row>
    <row r="9">
      <c r="A9" s="176">
        <v>5.0</v>
      </c>
      <c r="B9" s="286" t="s">
        <v>48</v>
      </c>
      <c r="C9" s="287" t="s">
        <v>41</v>
      </c>
      <c r="D9" s="50">
        <v>2.66</v>
      </c>
      <c r="E9" s="291">
        <v>0.9991</v>
      </c>
      <c r="F9" s="292">
        <v>0.095</v>
      </c>
      <c r="G9" s="292">
        <v>0.2</v>
      </c>
      <c r="H9" s="297"/>
      <c r="I9" s="292">
        <v>0.0459</v>
      </c>
      <c r="J9" s="294">
        <v>3.0</v>
      </c>
      <c r="K9" s="294">
        <v>0.63</v>
      </c>
      <c r="L9" s="294">
        <v>0.13</v>
      </c>
      <c r="M9" s="294">
        <v>0.2</v>
      </c>
      <c r="N9" s="294">
        <v>0.0</v>
      </c>
      <c r="O9" s="294">
        <v>0.04</v>
      </c>
      <c r="P9" s="180">
        <v>1.0</v>
      </c>
      <c r="Q9" s="180">
        <v>1.0</v>
      </c>
      <c r="R9" s="5"/>
      <c r="S9" s="176">
        <v>0.13</v>
      </c>
      <c r="T9" s="176">
        <v>0.03</v>
      </c>
      <c r="U9" s="176">
        <v>0.0</v>
      </c>
      <c r="V9" s="176">
        <v>0.0</v>
      </c>
      <c r="W9" s="5"/>
      <c r="X9" s="184"/>
      <c r="Y9" s="176">
        <v>0.434</v>
      </c>
      <c r="Z9" s="184"/>
      <c r="AA9" s="184"/>
      <c r="AB9" s="184"/>
      <c r="AC9" s="184"/>
      <c r="AD9" s="5"/>
      <c r="AE9" s="176">
        <v>0.86</v>
      </c>
      <c r="AF9" s="184"/>
      <c r="AG9" s="184"/>
      <c r="AH9" s="184"/>
      <c r="AI9" s="184"/>
      <c r="AJ9" s="184"/>
      <c r="AK9" s="5"/>
      <c r="AL9" s="184">
        <f t="shared" ref="AL9:AM9" si="14">ROUND(E9*(5/12)+K9*(5/12)+S9+X9-AE9,2)</f>
        <v>-0.05</v>
      </c>
      <c r="AM9" s="184">
        <f t="shared" si="14"/>
        <v>0.56</v>
      </c>
      <c r="AN9" s="184">
        <f t="shared" si="5"/>
        <v>0.17</v>
      </c>
      <c r="AO9" s="184">
        <f t="shared" ref="AO9:AP9" si="15">ROUND(H9*(5/12)+N9*(5/12)+U9+Z9-AG9,2)</f>
        <v>0</v>
      </c>
      <c r="AP9" s="184">
        <f t="shared" si="15"/>
        <v>0.04</v>
      </c>
      <c r="AQ9" s="184">
        <f t="shared" ref="AQ9:AR9" si="16">P9+AB9-AI9</f>
        <v>1</v>
      </c>
      <c r="AR9" s="184">
        <f t="shared" si="16"/>
        <v>1</v>
      </c>
      <c r="AS9" s="5"/>
      <c r="AT9" s="176">
        <v>0.5</v>
      </c>
      <c r="AU9" s="176">
        <v>0.655</v>
      </c>
      <c r="AV9" s="176">
        <v>0.2</v>
      </c>
      <c r="AW9" s="176">
        <v>0.0</v>
      </c>
      <c r="AX9" s="176">
        <v>0.046</v>
      </c>
      <c r="AY9" s="176">
        <v>1.0</v>
      </c>
      <c r="AZ9" s="176">
        <v>1.0</v>
      </c>
      <c r="BA9" s="196" t="s">
        <v>1611</v>
      </c>
      <c r="BB9" s="5"/>
      <c r="BC9" s="62"/>
      <c r="BE9" s="184"/>
      <c r="BF9" s="184"/>
      <c r="BG9" s="184"/>
      <c r="BH9" s="184"/>
      <c r="BI9" s="184"/>
      <c r="BJ9" s="184"/>
      <c r="BK9" s="81"/>
      <c r="BL9" s="280" t="s">
        <v>1152</v>
      </c>
      <c r="BM9" s="81"/>
      <c r="BN9" s="81"/>
    </row>
    <row r="10">
      <c r="A10" s="176">
        <v>6.0</v>
      </c>
      <c r="B10" s="286" t="s">
        <v>47</v>
      </c>
      <c r="C10" s="287" t="s">
        <v>41</v>
      </c>
      <c r="D10" s="50">
        <v>3.67</v>
      </c>
      <c r="E10" s="291">
        <v>0.0891</v>
      </c>
      <c r="F10" s="292">
        <v>0.095</v>
      </c>
      <c r="G10" s="292">
        <v>0.1</v>
      </c>
      <c r="H10" s="297"/>
      <c r="I10" s="292">
        <v>0.0459</v>
      </c>
      <c r="J10" s="294">
        <v>3.66</v>
      </c>
      <c r="K10" s="294">
        <v>0.12</v>
      </c>
      <c r="L10" s="294">
        <v>0.09</v>
      </c>
      <c r="M10" s="294">
        <v>0.1</v>
      </c>
      <c r="N10" s="294">
        <v>0.0</v>
      </c>
      <c r="O10" s="294">
        <v>0.03</v>
      </c>
      <c r="P10" s="180">
        <v>1.0</v>
      </c>
      <c r="Q10" s="180">
        <v>1.0</v>
      </c>
      <c r="R10" s="5"/>
      <c r="S10" s="176">
        <v>0.08</v>
      </c>
      <c r="T10" s="176">
        <v>0.0</v>
      </c>
      <c r="U10" s="176">
        <v>0.0</v>
      </c>
      <c r="V10" s="176">
        <v>0.08</v>
      </c>
      <c r="W10" s="5"/>
      <c r="X10" s="176">
        <v>0.22</v>
      </c>
      <c r="Y10" s="176">
        <v>0.567</v>
      </c>
      <c r="Z10" s="184"/>
      <c r="AA10" s="184"/>
      <c r="AB10" s="176">
        <v>1.0</v>
      </c>
      <c r="AC10" s="184"/>
      <c r="AD10" s="5"/>
      <c r="AE10" s="176"/>
      <c r="AF10" s="184"/>
      <c r="AG10" s="184"/>
      <c r="AH10" s="184"/>
      <c r="AI10" s="184"/>
      <c r="AJ10" s="184"/>
      <c r="AK10" s="5"/>
      <c r="AL10" s="184">
        <f t="shared" ref="AL10:AM10" si="17">ROUND(E10*(5/12)+K10*(5/12)+S10+X10-AE10,2)</f>
        <v>0.39</v>
      </c>
      <c r="AM10" s="184">
        <f t="shared" si="17"/>
        <v>0.64</v>
      </c>
      <c r="AN10" s="184">
        <f t="shared" si="5"/>
        <v>0.08</v>
      </c>
      <c r="AO10" s="184">
        <f t="shared" ref="AO10:AP10" si="18">ROUND(H10*(5/12)+N10*(5/12)+U10+Z10-AG10,2)</f>
        <v>0</v>
      </c>
      <c r="AP10" s="184">
        <f t="shared" si="18"/>
        <v>0.11</v>
      </c>
      <c r="AQ10" s="184">
        <f t="shared" ref="AQ10:AR10" si="19">P10+AB10-AI10</f>
        <v>2</v>
      </c>
      <c r="AR10" s="184">
        <f t="shared" si="19"/>
        <v>1</v>
      </c>
      <c r="AS10" s="5"/>
      <c r="AT10" s="176">
        <v>0.5</v>
      </c>
      <c r="AU10" s="176">
        <v>0.64</v>
      </c>
      <c r="AV10" s="176">
        <v>0.1</v>
      </c>
      <c r="AW10" s="176">
        <v>0.0</v>
      </c>
      <c r="AX10" s="176">
        <v>0.11</v>
      </c>
      <c r="AY10" s="176">
        <v>2.0</v>
      </c>
      <c r="AZ10" s="176">
        <v>1.0</v>
      </c>
      <c r="BA10" s="196" t="s">
        <v>1612</v>
      </c>
      <c r="BB10" s="5"/>
      <c r="BC10" s="62"/>
      <c r="BE10" s="198">
        <v>0.45</v>
      </c>
      <c r="BF10" s="184"/>
      <c r="BG10" s="184"/>
      <c r="BH10" s="184"/>
      <c r="BI10" s="184"/>
      <c r="BJ10" s="184"/>
      <c r="BK10" s="81"/>
      <c r="BL10" s="280" t="s">
        <v>1152</v>
      </c>
      <c r="BM10" s="81"/>
      <c r="BN10" s="81"/>
    </row>
    <row r="11">
      <c r="A11" s="176">
        <v>7.0</v>
      </c>
      <c r="B11" s="286" t="s">
        <v>1613</v>
      </c>
      <c r="C11" s="287" t="s">
        <v>41</v>
      </c>
      <c r="D11" s="50">
        <v>2.67</v>
      </c>
      <c r="E11" s="291">
        <v>0.4186</v>
      </c>
      <c r="F11" s="292">
        <v>0.1425</v>
      </c>
      <c r="G11" s="292">
        <v>0.2</v>
      </c>
      <c r="H11" s="297"/>
      <c r="I11" s="292">
        <v>0.0689</v>
      </c>
      <c r="J11" s="294">
        <v>2.0</v>
      </c>
      <c r="K11" s="294">
        <v>0.27</v>
      </c>
      <c r="L11" s="294">
        <v>0.17</v>
      </c>
      <c r="M11" s="294">
        <v>0.0</v>
      </c>
      <c r="N11" s="294">
        <v>0.0</v>
      </c>
      <c r="O11" s="294">
        <v>0.06</v>
      </c>
      <c r="P11" s="180">
        <v>1.0</v>
      </c>
      <c r="Q11" s="180">
        <v>1.0</v>
      </c>
      <c r="R11" s="5"/>
      <c r="S11" s="176">
        <v>0.2</v>
      </c>
      <c r="T11" s="176">
        <v>0.05</v>
      </c>
      <c r="U11" s="176">
        <v>0.0</v>
      </c>
      <c r="V11" s="176">
        <v>0.0</v>
      </c>
      <c r="W11" s="5"/>
      <c r="X11" s="184"/>
      <c r="Y11" s="176">
        <v>0.129</v>
      </c>
      <c r="Z11" s="184"/>
      <c r="AA11" s="184"/>
      <c r="AB11" s="184"/>
      <c r="AC11" s="184"/>
      <c r="AD11" s="5"/>
      <c r="AE11" s="176">
        <v>0.456</v>
      </c>
      <c r="AF11" s="184"/>
      <c r="AG11" s="176"/>
      <c r="AH11" s="184"/>
      <c r="AI11" s="184"/>
      <c r="AJ11" s="184"/>
      <c r="AK11" s="5"/>
      <c r="AL11" s="184">
        <f t="shared" ref="AL11:AM11" si="20">ROUND(E11*(5/12)+K11*(5/12)+S11+X11-AE11,2)</f>
        <v>0.03</v>
      </c>
      <c r="AM11" s="184">
        <f t="shared" si="20"/>
        <v>0.31</v>
      </c>
      <c r="AN11" s="184">
        <f t="shared" si="5"/>
        <v>0.08</v>
      </c>
      <c r="AO11" s="184">
        <f t="shared" ref="AO11:AP11" si="21">ROUND(H11*(5/12)+N11*(5/12)+U11+Z11-AG11,2)</f>
        <v>0</v>
      </c>
      <c r="AP11" s="184">
        <f t="shared" si="21"/>
        <v>0.05</v>
      </c>
      <c r="AQ11" s="184">
        <f t="shared" ref="AQ11:AR11" si="22">P11+AB11-AI11</f>
        <v>1</v>
      </c>
      <c r="AR11" s="184">
        <f t="shared" si="22"/>
        <v>1</v>
      </c>
      <c r="AS11" s="5"/>
      <c r="AT11" s="180">
        <v>0.55</v>
      </c>
      <c r="AU11" s="180">
        <v>0.318</v>
      </c>
      <c r="AV11" s="176">
        <v>0.117</v>
      </c>
      <c r="AW11" s="176">
        <v>0.11</v>
      </c>
      <c r="AX11" s="176">
        <v>0.05</v>
      </c>
      <c r="AY11" s="176">
        <v>1.0</v>
      </c>
      <c r="AZ11" s="176">
        <v>1.0</v>
      </c>
      <c r="BA11" s="196" t="s">
        <v>1614</v>
      </c>
      <c r="BB11" s="5"/>
      <c r="BC11" s="62"/>
      <c r="BE11" s="184"/>
      <c r="BF11" s="184"/>
      <c r="BG11" s="184"/>
      <c r="BH11" s="184"/>
      <c r="BI11" s="184"/>
      <c r="BJ11" s="184"/>
      <c r="BK11" s="81"/>
      <c r="BL11" s="280" t="s">
        <v>1561</v>
      </c>
      <c r="BM11" s="81"/>
      <c r="BN11" s="81"/>
    </row>
    <row r="12">
      <c r="A12" s="176">
        <v>8.0</v>
      </c>
      <c r="B12" s="286" t="s">
        <v>49</v>
      </c>
      <c r="C12" s="287" t="s">
        <v>41</v>
      </c>
      <c r="D12" s="50">
        <v>3.33</v>
      </c>
      <c r="E12" s="291">
        <v>0.3291</v>
      </c>
      <c r="F12" s="292">
        <v>0.095</v>
      </c>
      <c r="G12" s="292">
        <v>0.2</v>
      </c>
      <c r="H12" s="297"/>
      <c r="I12" s="292">
        <v>0.0459</v>
      </c>
      <c r="J12" s="294">
        <v>4.0</v>
      </c>
      <c r="K12" s="294">
        <v>0.83</v>
      </c>
      <c r="L12" s="294">
        <v>0.13</v>
      </c>
      <c r="M12" s="294">
        <v>0.0</v>
      </c>
      <c r="N12" s="294">
        <v>0.0</v>
      </c>
      <c r="O12" s="294">
        <v>0.04</v>
      </c>
      <c r="P12" s="180">
        <v>1.0</v>
      </c>
      <c r="Q12" s="180">
        <v>1.0</v>
      </c>
      <c r="R12" s="5"/>
      <c r="S12" s="176">
        <v>0.3</v>
      </c>
      <c r="T12" s="176">
        <v>0.03</v>
      </c>
      <c r="U12" s="176">
        <v>0.0</v>
      </c>
      <c r="V12" s="176">
        <v>0.0</v>
      </c>
      <c r="W12" s="5"/>
      <c r="X12" s="184"/>
      <c r="Y12" s="176">
        <v>0.084</v>
      </c>
      <c r="Z12" s="184"/>
      <c r="AA12" s="184"/>
      <c r="AB12" s="184"/>
      <c r="AC12" s="184"/>
      <c r="AD12" s="5"/>
      <c r="AE12" s="176"/>
      <c r="AF12" s="184"/>
      <c r="AG12" s="176">
        <v>0.55</v>
      </c>
      <c r="AH12" s="184"/>
      <c r="AI12" s="184"/>
      <c r="AJ12" s="184"/>
      <c r="AK12" s="5"/>
      <c r="AL12" s="184">
        <f t="shared" ref="AL12:AM12" si="23">ROUND(E12*(5/12)+K12*(5/12)+S12+X12-AE12,2)</f>
        <v>0.78</v>
      </c>
      <c r="AM12" s="184">
        <f t="shared" si="23"/>
        <v>0.21</v>
      </c>
      <c r="AN12" s="184">
        <f t="shared" si="5"/>
        <v>0.08</v>
      </c>
      <c r="AO12" s="184">
        <f t="shared" ref="AO12:AP12" si="24">ROUND(H12*(5/12)+N12*(5/12)+U12+Z12-AG12,2)</f>
        <v>-0.55</v>
      </c>
      <c r="AP12" s="184">
        <f t="shared" si="24"/>
        <v>0.04</v>
      </c>
      <c r="AQ12" s="184">
        <f t="shared" ref="AQ12:AR12" si="25">P12+AB12-AI12</f>
        <v>1</v>
      </c>
      <c r="AR12" s="184">
        <f t="shared" si="25"/>
        <v>1</v>
      </c>
      <c r="AS12" s="5"/>
      <c r="AT12" s="180">
        <v>1.0</v>
      </c>
      <c r="AU12" s="180">
        <v>0.565</v>
      </c>
      <c r="AV12" s="298">
        <v>0.15</v>
      </c>
      <c r="AW12" s="176">
        <v>0.55</v>
      </c>
      <c r="AX12" s="176">
        <v>0.0</v>
      </c>
      <c r="AY12" s="176">
        <v>1.0</v>
      </c>
      <c r="AZ12" s="176">
        <v>1.0</v>
      </c>
      <c r="BA12" s="180" t="s">
        <v>1615</v>
      </c>
      <c r="BB12" s="5"/>
      <c r="BC12" s="62"/>
      <c r="BE12" s="184"/>
      <c r="BF12" s="184"/>
      <c r="BG12" s="184"/>
      <c r="BH12" s="184"/>
      <c r="BI12" s="184"/>
      <c r="BJ12" s="184"/>
      <c r="BK12" s="81"/>
      <c r="BL12" s="280" t="s">
        <v>1152</v>
      </c>
      <c r="BM12" s="81"/>
      <c r="BN12" s="81"/>
    </row>
    <row r="13">
      <c r="A13" s="176">
        <v>9.0</v>
      </c>
      <c r="B13" s="286" t="s">
        <v>1616</v>
      </c>
      <c r="C13" s="287" t="s">
        <v>41</v>
      </c>
      <c r="D13" s="50">
        <v>3.33</v>
      </c>
      <c r="E13" s="291">
        <v>0.4291</v>
      </c>
      <c r="F13" s="292">
        <v>0.095</v>
      </c>
      <c r="G13" s="292">
        <v>0.1</v>
      </c>
      <c r="H13" s="292"/>
      <c r="I13" s="292">
        <v>0.0459</v>
      </c>
      <c r="J13" s="294">
        <v>3.33</v>
      </c>
      <c r="K13" s="294">
        <v>0.45</v>
      </c>
      <c r="L13" s="294">
        <v>0.09</v>
      </c>
      <c r="M13" s="294">
        <v>0.1</v>
      </c>
      <c r="N13" s="294">
        <v>0.0</v>
      </c>
      <c r="O13" s="294">
        <v>0.03</v>
      </c>
      <c r="P13" s="180">
        <v>1.0</v>
      </c>
      <c r="Q13" s="180">
        <v>1.0</v>
      </c>
      <c r="R13" s="5"/>
      <c r="S13" s="176">
        <v>0.02</v>
      </c>
      <c r="T13" s="176">
        <v>0.0</v>
      </c>
      <c r="U13" s="176">
        <v>0.08</v>
      </c>
      <c r="V13" s="176">
        <v>0.0</v>
      </c>
      <c r="W13" s="5"/>
      <c r="X13" s="176">
        <v>0.933</v>
      </c>
      <c r="Y13" s="176"/>
      <c r="Z13" s="176">
        <v>0.37</v>
      </c>
      <c r="AA13" s="184"/>
      <c r="AB13" s="184"/>
      <c r="AC13" s="176">
        <v>0.75</v>
      </c>
      <c r="AD13" s="5"/>
      <c r="AE13" s="184"/>
      <c r="AF13" s="184"/>
      <c r="AG13" s="184"/>
      <c r="AH13" s="184"/>
      <c r="AI13" s="176">
        <v>0.25</v>
      </c>
      <c r="AJ13" s="184"/>
      <c r="AK13" s="5"/>
      <c r="AL13" s="184">
        <f t="shared" ref="AL13:AM13" si="26">ROUND(E13*(5/12)+K13*(5/12)+S13+X13-AE13,2)</f>
        <v>1.32</v>
      </c>
      <c r="AM13" s="184">
        <f t="shared" si="26"/>
        <v>0.08</v>
      </c>
      <c r="AN13" s="184">
        <f t="shared" si="5"/>
        <v>0.08</v>
      </c>
      <c r="AO13" s="184">
        <f t="shared" ref="AO13:AP13" si="27">ROUND(H13*(5/12)+N13*(5/12)+U13+Z13-AG13,2)</f>
        <v>0.45</v>
      </c>
      <c r="AP13" s="184">
        <f t="shared" si="27"/>
        <v>0.03</v>
      </c>
      <c r="AQ13" s="184">
        <f t="shared" ref="AQ13:AR13" si="28">P13+AB13-AI13</f>
        <v>0.75</v>
      </c>
      <c r="AR13" s="184">
        <f t="shared" si="28"/>
        <v>1.75</v>
      </c>
      <c r="AS13" s="5"/>
      <c r="AT13" s="176">
        <v>0.25</v>
      </c>
      <c r="AU13" s="176">
        <v>0.085</v>
      </c>
      <c r="AV13" s="176">
        <v>0.1</v>
      </c>
      <c r="AW13" s="176">
        <v>0.66</v>
      </c>
      <c r="AX13" s="176">
        <v>0.03</v>
      </c>
      <c r="AY13" s="176">
        <v>1.0</v>
      </c>
      <c r="AZ13" s="176">
        <v>2.0</v>
      </c>
      <c r="BA13" s="180" t="s">
        <v>1617</v>
      </c>
      <c r="BB13" s="5"/>
      <c r="BC13" s="62"/>
      <c r="BE13" s="184"/>
      <c r="BF13" s="184"/>
      <c r="BG13" s="184"/>
      <c r="BH13" s="184"/>
      <c r="BI13" s="184"/>
      <c r="BJ13" s="184"/>
      <c r="BK13" s="81"/>
      <c r="BL13" s="280" t="s">
        <v>1561</v>
      </c>
      <c r="BM13" s="81"/>
      <c r="BN13" s="81"/>
    </row>
    <row r="14">
      <c r="A14" s="176">
        <v>10.0</v>
      </c>
      <c r="B14" s="286" t="s">
        <v>55</v>
      </c>
      <c r="C14" s="287" t="s">
        <v>41</v>
      </c>
      <c r="D14" s="50">
        <v>3.33</v>
      </c>
      <c r="E14" s="291">
        <v>0.5291</v>
      </c>
      <c r="F14" s="292">
        <v>0.095</v>
      </c>
      <c r="G14" s="297"/>
      <c r="H14" s="292"/>
      <c r="I14" s="292">
        <v>0.0459</v>
      </c>
      <c r="J14" s="294">
        <v>3.0</v>
      </c>
      <c r="K14" s="294">
        <v>0.88</v>
      </c>
      <c r="L14" s="294">
        <v>0.09</v>
      </c>
      <c r="M14" s="294">
        <v>0.0</v>
      </c>
      <c r="N14" s="294">
        <v>0.0</v>
      </c>
      <c r="O14" s="294">
        <v>0.03</v>
      </c>
      <c r="P14" s="180">
        <v>1.0</v>
      </c>
      <c r="Q14" s="180">
        <v>1.0</v>
      </c>
      <c r="R14" s="5"/>
      <c r="S14" s="176">
        <v>0.03</v>
      </c>
      <c r="T14" s="176">
        <v>0.0</v>
      </c>
      <c r="U14" s="176">
        <v>0.08</v>
      </c>
      <c r="V14" s="176">
        <v>0.0</v>
      </c>
      <c r="W14" s="5"/>
      <c r="X14" s="176">
        <v>0.89</v>
      </c>
      <c r="Y14" s="184"/>
      <c r="Z14" s="176">
        <v>0.92</v>
      </c>
      <c r="AA14" s="184"/>
      <c r="AB14" s="176">
        <v>3.0</v>
      </c>
      <c r="AC14" s="176">
        <v>2.0</v>
      </c>
      <c r="AD14" s="5"/>
      <c r="AE14" s="184"/>
      <c r="AF14" s="184"/>
      <c r="AG14" s="184"/>
      <c r="AH14" s="184"/>
      <c r="AI14" s="184"/>
      <c r="AJ14" s="184"/>
      <c r="AK14" s="5"/>
      <c r="AL14" s="184">
        <f t="shared" ref="AL14:AM14" si="29">ROUND(E14*(5/12)+K14*(5/12)+S14+X14-AE14,2)</f>
        <v>1.51</v>
      </c>
      <c r="AM14" s="184">
        <f t="shared" si="29"/>
        <v>0.08</v>
      </c>
      <c r="AN14" s="184">
        <f t="shared" si="5"/>
        <v>0</v>
      </c>
      <c r="AO14" s="184">
        <f t="shared" ref="AO14:AP14" si="30">ROUND(H14*(5/12)+N14*(5/12)+U14+Z14-AG14,2)</f>
        <v>1</v>
      </c>
      <c r="AP14" s="184">
        <f t="shared" si="30"/>
        <v>0.03</v>
      </c>
      <c r="AQ14" s="184">
        <f t="shared" ref="AQ14:AR14" si="31">P14+AB14-AI14</f>
        <v>4</v>
      </c>
      <c r="AR14" s="184">
        <f t="shared" si="31"/>
        <v>3</v>
      </c>
      <c r="AS14" s="5"/>
      <c r="AT14" s="176">
        <v>0.0</v>
      </c>
      <c r="AU14" s="176">
        <v>0.0</v>
      </c>
      <c r="AV14" s="176">
        <v>0.0</v>
      </c>
      <c r="AW14" s="176">
        <v>0.0</v>
      </c>
      <c r="AX14" s="176">
        <v>0.03</v>
      </c>
      <c r="AY14" s="176">
        <v>0.0</v>
      </c>
      <c r="AZ14" s="176">
        <v>0.0</v>
      </c>
      <c r="BA14" s="195" t="s">
        <v>1618</v>
      </c>
      <c r="BB14" s="5"/>
      <c r="BC14" s="62"/>
      <c r="BE14" s="184"/>
      <c r="BF14" s="184"/>
      <c r="BG14" s="184"/>
      <c r="BH14" s="184"/>
      <c r="BI14" s="184"/>
      <c r="BJ14" s="184"/>
      <c r="BK14" s="81"/>
      <c r="BL14" s="81"/>
      <c r="BM14" s="81"/>
      <c r="BN14" s="81"/>
    </row>
    <row r="15">
      <c r="A15" s="176">
        <v>11.0</v>
      </c>
      <c r="B15" s="299" t="s">
        <v>1619</v>
      </c>
      <c r="C15" s="287" t="s">
        <v>41</v>
      </c>
      <c r="D15" s="50">
        <v>3.66</v>
      </c>
      <c r="E15" s="291">
        <v>0.1991</v>
      </c>
      <c r="F15" s="292">
        <v>0.095</v>
      </c>
      <c r="G15" s="297"/>
      <c r="H15" s="297"/>
      <c r="I15" s="292">
        <v>0.0459</v>
      </c>
      <c r="J15" s="300"/>
      <c r="K15" s="300"/>
      <c r="L15" s="300"/>
      <c r="M15" s="300"/>
      <c r="N15" s="300"/>
      <c r="O15" s="300"/>
      <c r="P15" s="180">
        <v>1.0</v>
      </c>
      <c r="Q15" s="180">
        <v>1.0</v>
      </c>
      <c r="R15" s="5"/>
      <c r="S15" s="176">
        <v>0.17</v>
      </c>
      <c r="T15" s="176">
        <v>0.0</v>
      </c>
      <c r="U15" s="176">
        <v>0.0</v>
      </c>
      <c r="V15" s="176">
        <v>0.0</v>
      </c>
      <c r="W15" s="5"/>
      <c r="X15" s="184"/>
      <c r="Y15" s="184"/>
      <c r="Z15" s="184"/>
      <c r="AA15" s="184"/>
      <c r="AB15" s="184"/>
      <c r="AC15" s="184"/>
      <c r="AD15" s="5"/>
      <c r="AE15" s="176">
        <v>0.125</v>
      </c>
      <c r="AF15" s="184"/>
      <c r="AG15" s="184"/>
      <c r="AH15" s="184"/>
      <c r="AI15" s="184"/>
      <c r="AJ15" s="184"/>
      <c r="AK15" s="5"/>
      <c r="AL15" s="184">
        <f t="shared" ref="AL15:AM15" si="32">ROUND(E15*(5/12)+K15*(5/12)+S15+X15-AE15,2)</f>
        <v>0.13</v>
      </c>
      <c r="AM15" s="184">
        <f t="shared" si="32"/>
        <v>0.04</v>
      </c>
      <c r="AN15" s="184">
        <f t="shared" si="5"/>
        <v>0</v>
      </c>
      <c r="AO15" s="184">
        <f t="shared" ref="AO15:AP15" si="33">ROUND(H15*(5/12)+N15*(5/12)+U15+Z15-AG15,2)</f>
        <v>0</v>
      </c>
      <c r="AP15" s="184">
        <f t="shared" si="33"/>
        <v>0.02</v>
      </c>
      <c r="AQ15" s="184">
        <f t="shared" ref="AQ15:AR15" si="34">P15+AB15-AI15</f>
        <v>1</v>
      </c>
      <c r="AR15" s="184">
        <f t="shared" si="34"/>
        <v>1</v>
      </c>
      <c r="AS15" s="5"/>
      <c r="AT15" s="176"/>
      <c r="AU15" s="176"/>
      <c r="AV15" s="176"/>
      <c r="AW15" s="176"/>
      <c r="AX15" s="176"/>
      <c r="AY15" s="176"/>
      <c r="AZ15" s="176"/>
      <c r="BA15" s="180"/>
      <c r="BB15" s="5"/>
      <c r="BC15" s="62"/>
      <c r="BE15" s="184"/>
      <c r="BF15" s="184"/>
      <c r="BG15" s="184"/>
      <c r="BH15" s="184"/>
      <c r="BI15" s="184"/>
      <c r="BJ15" s="184"/>
      <c r="BK15" s="81"/>
      <c r="BL15" s="81"/>
      <c r="BM15" s="81"/>
      <c r="BN15" s="81"/>
    </row>
    <row r="16">
      <c r="A16" s="176">
        <v>12.0</v>
      </c>
      <c r="B16" s="286" t="s">
        <v>1620</v>
      </c>
      <c r="C16" s="287" t="s">
        <v>41</v>
      </c>
      <c r="D16" s="50">
        <v>3.67</v>
      </c>
      <c r="E16" s="291">
        <v>0.1891</v>
      </c>
      <c r="F16" s="292">
        <v>0.095</v>
      </c>
      <c r="G16" s="297"/>
      <c r="H16" s="297"/>
      <c r="I16" s="292">
        <v>0.0459</v>
      </c>
      <c r="J16" s="294">
        <v>3.67</v>
      </c>
      <c r="K16" s="294">
        <v>0.21</v>
      </c>
      <c r="L16" s="294">
        <v>0.09</v>
      </c>
      <c r="M16" s="294">
        <v>0.0</v>
      </c>
      <c r="N16" s="294">
        <v>0.0</v>
      </c>
      <c r="O16" s="294">
        <v>0.03</v>
      </c>
      <c r="P16" s="180">
        <v>1.0</v>
      </c>
      <c r="Q16" s="180">
        <v>1.0</v>
      </c>
      <c r="R16" s="5"/>
      <c r="S16" s="176">
        <v>0.17</v>
      </c>
      <c r="T16" s="176">
        <v>0.0</v>
      </c>
      <c r="U16" s="176">
        <v>0.0</v>
      </c>
      <c r="V16" s="176">
        <v>0.0</v>
      </c>
      <c r="W16" s="5"/>
      <c r="X16" s="184"/>
      <c r="Y16" s="184"/>
      <c r="Z16" s="184"/>
      <c r="AA16" s="184"/>
      <c r="AB16" s="184"/>
      <c r="AC16" s="184"/>
      <c r="AD16" s="5"/>
      <c r="AE16" s="176">
        <v>0.04</v>
      </c>
      <c r="AF16" s="184"/>
      <c r="AG16" s="184"/>
      <c r="AH16" s="184"/>
      <c r="AI16" s="184"/>
      <c r="AJ16" s="184"/>
      <c r="AK16" s="5"/>
      <c r="AL16" s="184">
        <f t="shared" ref="AL16:AM16" si="35">ROUND(E16*(5/12)+K16*(5/12)+S16+X16-AE16,2)</f>
        <v>0.3</v>
      </c>
      <c r="AM16" s="184">
        <f t="shared" si="35"/>
        <v>0.08</v>
      </c>
      <c r="AN16" s="184">
        <f t="shared" si="5"/>
        <v>0</v>
      </c>
      <c r="AO16" s="184">
        <f t="shared" ref="AO16:AP16" si="36">ROUND(H16*(5/12)+N16*(5/12)+U16+Z16-AG16,2)</f>
        <v>0</v>
      </c>
      <c r="AP16" s="184">
        <f t="shared" si="36"/>
        <v>0.03</v>
      </c>
      <c r="AQ16" s="184">
        <f t="shared" ref="AQ16:AR16" si="37">P16+AB16-AI16</f>
        <v>1</v>
      </c>
      <c r="AR16" s="184">
        <f t="shared" si="37"/>
        <v>1</v>
      </c>
      <c r="AS16" s="5"/>
      <c r="AT16" s="176">
        <v>0.0</v>
      </c>
      <c r="AU16" s="176">
        <v>0.03</v>
      </c>
      <c r="AV16" s="176">
        <v>0.0</v>
      </c>
      <c r="AW16" s="176">
        <v>0.0</v>
      </c>
      <c r="AX16" s="176">
        <v>0.036</v>
      </c>
      <c r="AY16" s="176">
        <v>1.0</v>
      </c>
      <c r="AZ16" s="176">
        <v>1.0</v>
      </c>
      <c r="BA16" s="195" t="s">
        <v>1621</v>
      </c>
      <c r="BB16" s="5"/>
      <c r="BC16" s="62"/>
      <c r="BE16" s="184"/>
      <c r="BF16" s="184"/>
      <c r="BG16" s="184"/>
      <c r="BH16" s="184"/>
      <c r="BI16" s="184"/>
      <c r="BJ16" s="184"/>
      <c r="BK16" s="81"/>
      <c r="BL16" s="280" t="s">
        <v>1561</v>
      </c>
      <c r="BM16" s="81"/>
      <c r="BN16" s="81"/>
    </row>
    <row r="17">
      <c r="A17" s="176">
        <v>13.0</v>
      </c>
      <c r="B17" s="286" t="s">
        <v>57</v>
      </c>
      <c r="C17" s="287" t="s">
        <v>41</v>
      </c>
      <c r="D17" s="50">
        <v>3.67</v>
      </c>
      <c r="E17" s="291">
        <v>0.1891</v>
      </c>
      <c r="F17" s="292">
        <v>0.095</v>
      </c>
      <c r="G17" s="297"/>
      <c r="H17" s="297"/>
      <c r="I17" s="292">
        <v>0.0459</v>
      </c>
      <c r="J17" s="294">
        <v>3.67</v>
      </c>
      <c r="K17" s="294">
        <v>0.21</v>
      </c>
      <c r="L17" s="294">
        <v>0.09</v>
      </c>
      <c r="M17" s="294">
        <v>0.0</v>
      </c>
      <c r="N17" s="294">
        <v>0.0</v>
      </c>
      <c r="O17" s="294">
        <v>0.03</v>
      </c>
      <c r="P17" s="180">
        <v>1.0</v>
      </c>
      <c r="Q17" s="180">
        <v>1.0</v>
      </c>
      <c r="R17" s="5"/>
      <c r="S17" s="176">
        <v>0.0</v>
      </c>
      <c r="T17" s="176">
        <v>0.0</v>
      </c>
      <c r="U17" s="176">
        <v>0.0</v>
      </c>
      <c r="V17" s="176">
        <v>0.0</v>
      </c>
      <c r="W17" s="5"/>
      <c r="X17" s="176">
        <v>0.17</v>
      </c>
      <c r="Y17" s="184"/>
      <c r="Z17" s="184"/>
      <c r="AA17" s="184"/>
      <c r="AB17" s="176">
        <v>0.5</v>
      </c>
      <c r="AC17" s="184"/>
      <c r="AD17" s="5"/>
      <c r="AE17" s="184"/>
      <c r="AF17" s="184"/>
      <c r="AG17" s="184"/>
      <c r="AH17" s="184"/>
      <c r="AI17" s="184"/>
      <c r="AJ17" s="184"/>
      <c r="AK17" s="5"/>
      <c r="AL17" s="184">
        <f t="shared" ref="AL17:AM17" si="38">ROUND(E17*(5/12)+K17*(5/12)+S17+X17-AE17,2)</f>
        <v>0.34</v>
      </c>
      <c r="AM17" s="184">
        <f t="shared" si="38"/>
        <v>0.08</v>
      </c>
      <c r="AN17" s="184">
        <f t="shared" si="5"/>
        <v>0</v>
      </c>
      <c r="AO17" s="184">
        <f t="shared" ref="AO17:AP17" si="39">ROUND(H17*(5/12)+N17*(5/12)+U17+Z17-AG17,2)</f>
        <v>0</v>
      </c>
      <c r="AP17" s="184">
        <f t="shared" si="39"/>
        <v>0.03</v>
      </c>
      <c r="AQ17" s="184">
        <f t="shared" ref="AQ17:AR17" si="40">P17+AB17-AI17</f>
        <v>1.5</v>
      </c>
      <c r="AR17" s="184">
        <f t="shared" si="40"/>
        <v>1</v>
      </c>
      <c r="AS17" s="5"/>
      <c r="AT17" s="176">
        <v>0.0</v>
      </c>
      <c r="AU17" s="176">
        <v>0.013</v>
      </c>
      <c r="AV17" s="176">
        <v>0.0</v>
      </c>
      <c r="AW17" s="176">
        <v>0.0</v>
      </c>
      <c r="AX17" s="176">
        <v>0.0</v>
      </c>
      <c r="AY17" s="176">
        <v>1.0</v>
      </c>
      <c r="AZ17" s="176">
        <v>0.0</v>
      </c>
      <c r="BA17" s="195" t="s">
        <v>1622</v>
      </c>
      <c r="BB17" s="5"/>
      <c r="BC17" s="62"/>
      <c r="BE17" s="184"/>
      <c r="BF17" s="184"/>
      <c r="BG17" s="184"/>
      <c r="BH17" s="184"/>
      <c r="BI17" s="184"/>
      <c r="BJ17" s="184"/>
      <c r="BK17" s="81"/>
      <c r="BL17" s="280" t="s">
        <v>1561</v>
      </c>
      <c r="BM17" s="81"/>
      <c r="BN17" s="81"/>
    </row>
    <row r="18">
      <c r="A18" s="176">
        <v>14.0</v>
      </c>
      <c r="B18" s="286" t="s">
        <v>1623</v>
      </c>
      <c r="C18" s="287" t="s">
        <v>41</v>
      </c>
      <c r="D18" s="50">
        <v>3.67</v>
      </c>
      <c r="E18" s="291">
        <v>0.1891</v>
      </c>
      <c r="F18" s="292">
        <v>0.095</v>
      </c>
      <c r="G18" s="297"/>
      <c r="H18" s="297"/>
      <c r="I18" s="292">
        <v>0.0459</v>
      </c>
      <c r="J18" s="294">
        <v>3.67</v>
      </c>
      <c r="K18" s="294">
        <v>0.21</v>
      </c>
      <c r="L18" s="294">
        <v>0.09</v>
      </c>
      <c r="M18" s="294">
        <v>0.0</v>
      </c>
      <c r="N18" s="294">
        <v>0.0</v>
      </c>
      <c r="O18" s="294">
        <v>0.03</v>
      </c>
      <c r="P18" s="180">
        <v>1.0</v>
      </c>
      <c r="Q18" s="180">
        <v>1.0</v>
      </c>
      <c r="R18" s="5"/>
      <c r="S18" s="176">
        <v>0.0</v>
      </c>
      <c r="T18" s="176">
        <v>0.0</v>
      </c>
      <c r="U18" s="176">
        <v>0.0</v>
      </c>
      <c r="V18" s="176">
        <v>0.0</v>
      </c>
      <c r="W18" s="5"/>
      <c r="X18" s="184"/>
      <c r="Y18" s="184"/>
      <c r="Z18" s="184"/>
      <c r="AA18" s="184"/>
      <c r="AB18" s="184"/>
      <c r="AC18" s="184"/>
      <c r="AD18" s="5"/>
      <c r="AE18" s="184"/>
      <c r="AF18" s="184"/>
      <c r="AG18" s="184"/>
      <c r="AH18" s="184"/>
      <c r="AI18" s="184"/>
      <c r="AJ18" s="301"/>
      <c r="AK18" s="5"/>
      <c r="AL18" s="184">
        <f t="shared" ref="AL18:AM18" si="41">ROUND(E18*(5/12)+K18*(5/12)+S18+X18-AE18,2)</f>
        <v>0.17</v>
      </c>
      <c r="AM18" s="184">
        <f t="shared" si="41"/>
        <v>0.08</v>
      </c>
      <c r="AN18" s="184">
        <f t="shared" si="5"/>
        <v>0</v>
      </c>
      <c r="AO18" s="184">
        <f t="shared" ref="AO18:AP18" si="42">ROUND(H18*(5/12)+N18*(5/12)+U18+Z18-AG18,2)</f>
        <v>0</v>
      </c>
      <c r="AP18" s="184">
        <f t="shared" si="42"/>
        <v>0.03</v>
      </c>
      <c r="AQ18" s="184">
        <f t="shared" ref="AQ18:AR18" si="43">P18+AB18-AI18</f>
        <v>1</v>
      </c>
      <c r="AR18" s="184">
        <f t="shared" si="43"/>
        <v>1</v>
      </c>
      <c r="AS18" s="5"/>
      <c r="AT18" s="176">
        <v>0.5</v>
      </c>
      <c r="AU18" s="176">
        <v>0.03</v>
      </c>
      <c r="AV18" s="176">
        <v>0.0</v>
      </c>
      <c r="AW18" s="176">
        <v>0.0</v>
      </c>
      <c r="AX18" s="176">
        <v>0.036</v>
      </c>
      <c r="AY18" s="176">
        <v>1.0</v>
      </c>
      <c r="AZ18" s="176">
        <v>1.0</v>
      </c>
      <c r="BA18" s="191" t="s">
        <v>1624</v>
      </c>
      <c r="BB18" s="5"/>
      <c r="BC18" s="62"/>
      <c r="BE18" s="302">
        <v>0.571</v>
      </c>
      <c r="BF18" s="303"/>
      <c r="BG18" s="303"/>
      <c r="BH18" s="303"/>
      <c r="BI18" s="302">
        <v>1.0</v>
      </c>
      <c r="BJ18" s="304"/>
      <c r="BK18" s="305"/>
      <c r="BL18" s="280" t="s">
        <v>1152</v>
      </c>
      <c r="BM18" s="81"/>
      <c r="BN18" s="280" t="s">
        <v>1625</v>
      </c>
    </row>
    <row r="19">
      <c r="A19" s="176">
        <v>15.0</v>
      </c>
      <c r="B19" s="286" t="s">
        <v>58</v>
      </c>
      <c r="C19" s="287" t="s">
        <v>41</v>
      </c>
      <c r="D19" s="50">
        <v>3.67</v>
      </c>
      <c r="E19" s="291">
        <v>0.1891</v>
      </c>
      <c r="F19" s="292">
        <v>0.095</v>
      </c>
      <c r="G19" s="297"/>
      <c r="H19" s="297"/>
      <c r="I19" s="292">
        <v>0.0459</v>
      </c>
      <c r="J19" s="294">
        <v>3.56</v>
      </c>
      <c r="K19" s="294">
        <v>0.88</v>
      </c>
      <c r="L19" s="294">
        <v>0.09</v>
      </c>
      <c r="M19" s="294">
        <v>0.0</v>
      </c>
      <c r="N19" s="294">
        <v>0.0</v>
      </c>
      <c r="O19" s="294">
        <v>0.03</v>
      </c>
      <c r="P19" s="180">
        <v>1.0</v>
      </c>
      <c r="Q19" s="180">
        <v>1.0</v>
      </c>
      <c r="R19" s="5"/>
      <c r="S19" s="176">
        <v>0.0</v>
      </c>
      <c r="T19" s="176">
        <v>0.0</v>
      </c>
      <c r="U19" s="176">
        <v>0.0</v>
      </c>
      <c r="V19" s="176">
        <v>0.0</v>
      </c>
      <c r="W19" s="5"/>
      <c r="X19" s="176">
        <v>0.05</v>
      </c>
      <c r="Y19" s="184"/>
      <c r="Z19" s="184"/>
      <c r="AA19" s="184"/>
      <c r="AB19" s="184"/>
      <c r="AC19" s="184"/>
      <c r="AD19" s="5"/>
      <c r="AE19" s="176"/>
      <c r="AF19" s="184"/>
      <c r="AG19" s="184"/>
      <c r="AH19" s="184"/>
      <c r="AI19" s="184"/>
      <c r="AJ19" s="184"/>
      <c r="AK19" s="5"/>
      <c r="AL19" s="184">
        <f t="shared" ref="AL19:AM19" si="44">ROUND(E19*(5/12)+K19*(5/12)+S19+X19-AE19,2)</f>
        <v>0.5</v>
      </c>
      <c r="AM19" s="184">
        <f t="shared" si="44"/>
        <v>0.08</v>
      </c>
      <c r="AN19" s="184">
        <f t="shared" si="5"/>
        <v>0</v>
      </c>
      <c r="AO19" s="184">
        <f t="shared" ref="AO19:AP19" si="45">ROUND(H19*(5/12)+N19*(5/12)+U19+Z19-AG19,2)</f>
        <v>0</v>
      </c>
      <c r="AP19" s="184">
        <f t="shared" si="45"/>
        <v>0.03</v>
      </c>
      <c r="AQ19" s="184">
        <f t="shared" ref="AQ19:AR19" si="46">P19+AB19-AI19</f>
        <v>1</v>
      </c>
      <c r="AR19" s="184">
        <f t="shared" si="46"/>
        <v>1</v>
      </c>
      <c r="AS19" s="5"/>
      <c r="AT19" s="176">
        <v>1.132</v>
      </c>
      <c r="AU19" s="176">
        <v>0.08</v>
      </c>
      <c r="AV19" s="176">
        <v>0.0</v>
      </c>
      <c r="AW19" s="176">
        <v>0.0</v>
      </c>
      <c r="AX19" s="176">
        <v>0.0</v>
      </c>
      <c r="AY19" s="176">
        <v>1.0</v>
      </c>
      <c r="AZ19" s="176">
        <v>1.0</v>
      </c>
      <c r="BA19" s="180" t="s">
        <v>1626</v>
      </c>
      <c r="BB19" s="5"/>
      <c r="BC19" s="62"/>
      <c r="BE19" s="184"/>
      <c r="BF19" s="184"/>
      <c r="BG19" s="184"/>
      <c r="BH19" s="184"/>
      <c r="BI19" s="184"/>
      <c r="BJ19" s="184"/>
      <c r="BK19" s="81"/>
      <c r="BL19" s="280" t="s">
        <v>1561</v>
      </c>
      <c r="BM19" s="81"/>
      <c r="BN19" s="81"/>
    </row>
    <row r="20">
      <c r="A20" s="176">
        <v>16.0</v>
      </c>
      <c r="B20" s="286" t="s">
        <v>59</v>
      </c>
      <c r="C20" s="287" t="s">
        <v>41</v>
      </c>
      <c r="D20" s="50">
        <v>3.66</v>
      </c>
      <c r="E20" s="291">
        <v>0.1991</v>
      </c>
      <c r="F20" s="292">
        <v>0.095</v>
      </c>
      <c r="G20" s="297"/>
      <c r="H20" s="297"/>
      <c r="I20" s="292">
        <v>0.0459</v>
      </c>
      <c r="J20" s="294">
        <v>4.0</v>
      </c>
      <c r="K20" s="294">
        <v>0.88</v>
      </c>
      <c r="L20" s="294">
        <v>0.09</v>
      </c>
      <c r="M20" s="294">
        <v>0.0</v>
      </c>
      <c r="N20" s="294">
        <v>0.0</v>
      </c>
      <c r="O20" s="294">
        <v>0.03</v>
      </c>
      <c r="P20" s="180">
        <v>1.0</v>
      </c>
      <c r="Q20" s="180">
        <v>1.0</v>
      </c>
      <c r="R20" s="5"/>
      <c r="S20" s="176">
        <v>0.0</v>
      </c>
      <c r="T20" s="176">
        <v>0.0</v>
      </c>
      <c r="U20" s="176">
        <v>0.0</v>
      </c>
      <c r="V20" s="176">
        <v>0.0</v>
      </c>
      <c r="W20" s="5"/>
      <c r="X20" s="176">
        <v>0.08</v>
      </c>
      <c r="Y20" s="184"/>
      <c r="Z20" s="184"/>
      <c r="AA20" s="184"/>
      <c r="AB20" s="184"/>
      <c r="AC20" s="184"/>
      <c r="AD20" s="5"/>
      <c r="AE20" s="184"/>
      <c r="AF20" s="184"/>
      <c r="AG20" s="184"/>
      <c r="AH20" s="184"/>
      <c r="AI20" s="184"/>
      <c r="AJ20" s="184"/>
      <c r="AK20" s="5"/>
      <c r="AL20" s="184">
        <f t="shared" ref="AL20:AM20" si="47">ROUND(E20*(5/12)+K20*(5/12)+S20+X20-AE20,2)</f>
        <v>0.53</v>
      </c>
      <c r="AM20" s="184">
        <f t="shared" si="47"/>
        <v>0.08</v>
      </c>
      <c r="AN20" s="184">
        <f t="shared" si="5"/>
        <v>0</v>
      </c>
      <c r="AO20" s="184">
        <f t="shared" ref="AO20:AP20" si="48">ROUND(H20*(5/12)+N20*(5/12)+U20+Z20-AG20,2)</f>
        <v>0</v>
      </c>
      <c r="AP20" s="184">
        <f t="shared" si="48"/>
        <v>0.03</v>
      </c>
      <c r="AQ20" s="184">
        <f t="shared" ref="AQ20:AR20" si="49">P20+AB20-AI20</f>
        <v>1</v>
      </c>
      <c r="AR20" s="184">
        <f t="shared" si="49"/>
        <v>1</v>
      </c>
      <c r="AS20" s="5"/>
      <c r="AT20" s="176">
        <v>0.0</v>
      </c>
      <c r="AU20" s="176">
        <v>0.042</v>
      </c>
      <c r="AV20" s="176">
        <v>0.0</v>
      </c>
      <c r="AW20" s="176">
        <v>0.0</v>
      </c>
      <c r="AX20" s="176">
        <v>0.008</v>
      </c>
      <c r="AY20" s="176">
        <v>1.0</v>
      </c>
      <c r="AZ20" s="176">
        <v>1.0</v>
      </c>
      <c r="BA20" s="180" t="s">
        <v>1627</v>
      </c>
      <c r="BB20" s="5"/>
      <c r="BC20" s="62"/>
      <c r="BE20" s="184"/>
      <c r="BF20" s="184"/>
      <c r="BG20" s="184"/>
      <c r="BH20" s="184"/>
      <c r="BI20" s="184"/>
      <c r="BJ20" s="184"/>
      <c r="BK20" s="81"/>
      <c r="BL20" s="280" t="s">
        <v>1561</v>
      </c>
      <c r="BM20" s="81"/>
      <c r="BN20" s="81"/>
    </row>
    <row r="21">
      <c r="A21" s="176">
        <v>17.0</v>
      </c>
      <c r="B21" s="286" t="s">
        <v>60</v>
      </c>
      <c r="C21" s="287" t="s">
        <v>41</v>
      </c>
      <c r="D21" s="50">
        <v>3.67</v>
      </c>
      <c r="E21" s="291">
        <v>0.1891</v>
      </c>
      <c r="F21" s="292">
        <v>0.095</v>
      </c>
      <c r="G21" s="297"/>
      <c r="H21" s="297"/>
      <c r="I21" s="292">
        <v>0.0459</v>
      </c>
      <c r="J21" s="294">
        <v>3.67</v>
      </c>
      <c r="K21" s="294">
        <v>0.21</v>
      </c>
      <c r="L21" s="294">
        <v>0.09</v>
      </c>
      <c r="M21" s="294">
        <v>0.0</v>
      </c>
      <c r="N21" s="294">
        <v>0.0</v>
      </c>
      <c r="O21" s="294">
        <v>0.03</v>
      </c>
      <c r="P21" s="180">
        <v>1.0</v>
      </c>
      <c r="Q21" s="180">
        <v>1.0</v>
      </c>
      <c r="R21" s="5"/>
      <c r="S21" s="176">
        <v>0.0</v>
      </c>
      <c r="T21" s="176">
        <v>0.0</v>
      </c>
      <c r="U21" s="176">
        <v>0.0</v>
      </c>
      <c r="V21" s="176">
        <v>0.0</v>
      </c>
      <c r="W21" s="5"/>
      <c r="X21" s="184"/>
      <c r="Y21" s="184"/>
      <c r="Z21" s="184"/>
      <c r="AA21" s="184"/>
      <c r="AB21" s="184"/>
      <c r="AC21" s="184"/>
      <c r="AD21" s="5"/>
      <c r="AE21" s="176">
        <v>0.12</v>
      </c>
      <c r="AF21" s="184"/>
      <c r="AG21" s="184"/>
      <c r="AH21" s="184"/>
      <c r="AI21" s="184"/>
      <c r="AJ21" s="184"/>
      <c r="AK21" s="5"/>
      <c r="AL21" s="184">
        <f t="shared" ref="AL21:AM21" si="50">ROUND(E21*(5/12)+K21*(5/12)+S21+X21-AE21,2)</f>
        <v>0.05</v>
      </c>
      <c r="AM21" s="184">
        <f t="shared" si="50"/>
        <v>0.08</v>
      </c>
      <c r="AN21" s="184">
        <f t="shared" si="5"/>
        <v>0</v>
      </c>
      <c r="AO21" s="184">
        <f t="shared" ref="AO21:AP21" si="51">ROUND(H21*(5/12)+N21*(5/12)+U21+Z21-AG21,2)</f>
        <v>0</v>
      </c>
      <c r="AP21" s="184">
        <f t="shared" si="51"/>
        <v>0.03</v>
      </c>
      <c r="AQ21" s="184">
        <f t="shared" ref="AQ21:AR21" si="52">P21+AB21-AI21</f>
        <v>1</v>
      </c>
      <c r="AR21" s="184">
        <f t="shared" si="52"/>
        <v>1</v>
      </c>
      <c r="AS21" s="5"/>
      <c r="AT21" s="176">
        <v>0.0</v>
      </c>
      <c r="AU21" s="176">
        <v>0.029</v>
      </c>
      <c r="AV21" s="176">
        <v>0.0</v>
      </c>
      <c r="AW21" s="176">
        <v>0.0</v>
      </c>
      <c r="AX21" s="176">
        <v>0.008</v>
      </c>
      <c r="AY21" s="176">
        <v>1.0</v>
      </c>
      <c r="AZ21" s="176">
        <v>2.0</v>
      </c>
      <c r="BA21" s="95" t="s">
        <v>1628</v>
      </c>
      <c r="BB21" s="5"/>
      <c r="BC21" s="62"/>
      <c r="BE21" s="184"/>
      <c r="BF21" s="184"/>
      <c r="BG21" s="184"/>
      <c r="BH21" s="184"/>
      <c r="BI21" s="184"/>
      <c r="BJ21" s="184"/>
      <c r="BK21" s="81"/>
      <c r="BL21" s="280" t="s">
        <v>1561</v>
      </c>
      <c r="BM21" s="81"/>
      <c r="BN21" s="81"/>
    </row>
    <row r="22">
      <c r="A22" s="176">
        <v>18.0</v>
      </c>
      <c r="B22" s="286" t="s">
        <v>61</v>
      </c>
      <c r="C22" s="287" t="s">
        <v>41</v>
      </c>
      <c r="D22" s="50">
        <v>3.33</v>
      </c>
      <c r="E22" s="291">
        <v>0.5291</v>
      </c>
      <c r="F22" s="292">
        <v>0.095</v>
      </c>
      <c r="G22" s="297"/>
      <c r="H22" s="297"/>
      <c r="I22" s="292">
        <v>0.0459</v>
      </c>
      <c r="J22" s="294">
        <v>3.33</v>
      </c>
      <c r="K22" s="294">
        <v>0.55</v>
      </c>
      <c r="L22" s="294">
        <v>0.09</v>
      </c>
      <c r="M22" s="294">
        <v>0.0</v>
      </c>
      <c r="N22" s="294">
        <v>0.0</v>
      </c>
      <c r="O22" s="294">
        <v>0.03</v>
      </c>
      <c r="P22" s="180">
        <v>1.0</v>
      </c>
      <c r="Q22" s="180">
        <v>1.0</v>
      </c>
      <c r="R22" s="5"/>
      <c r="S22" s="176">
        <v>0.33</v>
      </c>
      <c r="T22" s="176">
        <v>0.0</v>
      </c>
      <c r="U22" s="176">
        <v>0.0</v>
      </c>
      <c r="V22" s="176">
        <v>0.0</v>
      </c>
      <c r="W22" s="5"/>
      <c r="X22" s="176">
        <v>0.5</v>
      </c>
      <c r="Y22" s="184"/>
      <c r="Z22" s="184"/>
      <c r="AA22" s="184"/>
      <c r="AB22" s="184"/>
      <c r="AC22" s="184"/>
      <c r="AD22" s="5"/>
      <c r="AE22" s="184"/>
      <c r="AF22" s="184"/>
      <c r="AG22" s="184"/>
      <c r="AH22" s="184"/>
      <c r="AI22" s="184"/>
      <c r="AJ22" s="184"/>
      <c r="AK22" s="5"/>
      <c r="AL22" s="184">
        <f t="shared" ref="AL22:AM22" si="53">ROUND(E22*(5/12)+K22*(5/12)+S22+X22-AE22,2)</f>
        <v>1.28</v>
      </c>
      <c r="AM22" s="184">
        <f t="shared" si="53"/>
        <v>0.08</v>
      </c>
      <c r="AN22" s="184">
        <f t="shared" si="5"/>
        <v>0</v>
      </c>
      <c r="AO22" s="184">
        <f t="shared" ref="AO22:AP22" si="54">ROUND(H22*(5/12)+N22*(5/12)+U22+Z22-AG22,2)</f>
        <v>0</v>
      </c>
      <c r="AP22" s="184">
        <f t="shared" si="54"/>
        <v>0.03</v>
      </c>
      <c r="AQ22" s="184">
        <f t="shared" ref="AQ22:AR22" si="55">P22+AB22-AI22</f>
        <v>1</v>
      </c>
      <c r="AR22" s="184">
        <f t="shared" si="55"/>
        <v>1</v>
      </c>
      <c r="AS22" s="5"/>
      <c r="AT22" s="176">
        <v>1.0</v>
      </c>
      <c r="AU22" s="176">
        <v>0.08</v>
      </c>
      <c r="AV22" s="176">
        <v>0.0</v>
      </c>
      <c r="AW22" s="176">
        <v>0.0</v>
      </c>
      <c r="AX22" s="176">
        <v>0.03</v>
      </c>
      <c r="AY22" s="176">
        <v>1.0</v>
      </c>
      <c r="AZ22" s="176">
        <v>1.0</v>
      </c>
      <c r="BA22" s="126" t="s">
        <v>1629</v>
      </c>
      <c r="BB22" s="5"/>
      <c r="BC22" s="62"/>
      <c r="BE22" s="184"/>
      <c r="BF22" s="184"/>
      <c r="BG22" s="184"/>
      <c r="BH22" s="184"/>
      <c r="BI22" s="184"/>
      <c r="BJ22" s="184"/>
      <c r="BK22" s="81"/>
      <c r="BL22" s="280" t="s">
        <v>1561</v>
      </c>
      <c r="BM22" s="81"/>
      <c r="BN22" s="81"/>
    </row>
    <row r="23">
      <c r="A23" s="176">
        <v>19.0</v>
      </c>
      <c r="B23" s="286" t="s">
        <v>62</v>
      </c>
      <c r="C23" s="287" t="s">
        <v>41</v>
      </c>
      <c r="D23" s="50">
        <v>3.67</v>
      </c>
      <c r="E23" s="291">
        <v>0.1891</v>
      </c>
      <c r="F23" s="292">
        <v>0.095</v>
      </c>
      <c r="G23" s="297"/>
      <c r="H23" s="297"/>
      <c r="I23" s="292">
        <v>0.0459</v>
      </c>
      <c r="J23" s="294">
        <v>3.67</v>
      </c>
      <c r="K23" s="294">
        <v>0.21</v>
      </c>
      <c r="L23" s="294">
        <v>0.09</v>
      </c>
      <c r="M23" s="294">
        <v>0.0</v>
      </c>
      <c r="N23" s="294">
        <v>0.0</v>
      </c>
      <c r="O23" s="294">
        <v>0.03</v>
      </c>
      <c r="P23" s="180">
        <v>1.0</v>
      </c>
      <c r="Q23" s="180">
        <v>1.0</v>
      </c>
      <c r="R23" s="5"/>
      <c r="S23" s="176">
        <v>0.2</v>
      </c>
      <c r="T23" s="176">
        <v>0.0</v>
      </c>
      <c r="U23" s="176">
        <v>0.0</v>
      </c>
      <c r="V23" s="176">
        <v>0.08</v>
      </c>
      <c r="W23" s="5"/>
      <c r="X23" s="176">
        <v>0.783</v>
      </c>
      <c r="Y23" s="184"/>
      <c r="Z23" s="176">
        <v>0.08</v>
      </c>
      <c r="AA23" s="176">
        <v>0.42</v>
      </c>
      <c r="AB23" s="184"/>
      <c r="AC23" s="184"/>
      <c r="AD23" s="5"/>
      <c r="AE23" s="184"/>
      <c r="AF23" s="184"/>
      <c r="AG23" s="184"/>
      <c r="AH23" s="184"/>
      <c r="AI23" s="184"/>
      <c r="AJ23" s="184"/>
      <c r="AK23" s="5"/>
      <c r="AL23" s="184">
        <f t="shared" ref="AL23:AM23" si="56">ROUND(E23*(5/12)+K23*(5/12)+S23+X23-AE23,2)</f>
        <v>1.15</v>
      </c>
      <c r="AM23" s="184">
        <f t="shared" si="56"/>
        <v>0.08</v>
      </c>
      <c r="AN23" s="184">
        <f t="shared" si="5"/>
        <v>0</v>
      </c>
      <c r="AO23" s="184">
        <f t="shared" ref="AO23:AP23" si="57">ROUND(H23*(5/12)+N23*(5/12)+U23+Z23-AG23,2)</f>
        <v>0.08</v>
      </c>
      <c r="AP23" s="184">
        <f t="shared" si="57"/>
        <v>0.53</v>
      </c>
      <c r="AQ23" s="184">
        <f t="shared" ref="AQ23:AR23" si="58">P23+AB23-AI23</f>
        <v>1</v>
      </c>
      <c r="AR23" s="184">
        <f t="shared" si="58"/>
        <v>1</v>
      </c>
      <c r="AS23" s="5"/>
      <c r="AT23" s="176">
        <v>0.425</v>
      </c>
      <c r="AU23" s="176">
        <v>0.1</v>
      </c>
      <c r="AV23" s="176">
        <v>0.0</v>
      </c>
      <c r="AW23" s="176">
        <v>0.11</v>
      </c>
      <c r="AX23" s="176">
        <v>0.0</v>
      </c>
      <c r="AY23" s="176">
        <v>1.0</v>
      </c>
      <c r="AZ23" s="176">
        <v>1.0</v>
      </c>
      <c r="BA23" s="180" t="s">
        <v>1630</v>
      </c>
      <c r="BB23" s="5"/>
      <c r="BC23" s="62"/>
      <c r="BE23" s="184"/>
      <c r="BF23" s="184"/>
      <c r="BG23" s="184"/>
      <c r="BH23" s="184"/>
      <c r="BI23" s="184"/>
      <c r="BJ23" s="184"/>
      <c r="BK23" s="81"/>
      <c r="BL23" s="81"/>
      <c r="BM23" s="81"/>
      <c r="BN23" s="81"/>
    </row>
    <row r="24">
      <c r="A24" s="176">
        <v>20.0</v>
      </c>
      <c r="B24" s="286" t="s">
        <v>64</v>
      </c>
      <c r="C24" s="287" t="s">
        <v>41</v>
      </c>
      <c r="D24" s="50">
        <v>3.33</v>
      </c>
      <c r="E24" s="291">
        <v>0.538</v>
      </c>
      <c r="F24" s="292">
        <v>0.095</v>
      </c>
      <c r="G24" s="297"/>
      <c r="H24" s="297"/>
      <c r="I24" s="292">
        <v>0.037</v>
      </c>
      <c r="J24" s="294">
        <v>3.33</v>
      </c>
      <c r="K24" s="294">
        <v>0.55</v>
      </c>
      <c r="L24" s="294">
        <v>0.09</v>
      </c>
      <c r="M24" s="294">
        <v>0.0</v>
      </c>
      <c r="N24" s="294">
        <v>0.0</v>
      </c>
      <c r="O24" s="294">
        <v>0.03</v>
      </c>
      <c r="P24" s="180">
        <v>1.0</v>
      </c>
      <c r="Q24" s="180">
        <v>1.0</v>
      </c>
      <c r="R24" s="5"/>
      <c r="S24" s="176">
        <v>0.08</v>
      </c>
      <c r="T24" s="176">
        <v>0.0</v>
      </c>
      <c r="U24" s="176">
        <v>0.0</v>
      </c>
      <c r="V24" s="176">
        <v>0.08</v>
      </c>
      <c r="W24" s="5"/>
      <c r="X24" s="184"/>
      <c r="Y24" s="184"/>
      <c r="Z24" s="184"/>
      <c r="AA24" s="184"/>
      <c r="AB24" s="184"/>
      <c r="AC24" s="184"/>
      <c r="AD24" s="5"/>
      <c r="AE24" s="176">
        <v>0.41</v>
      </c>
      <c r="AF24" s="184"/>
      <c r="AG24" s="184"/>
      <c r="AH24" s="213">
        <v>0.12</v>
      </c>
      <c r="AI24" s="184"/>
      <c r="AJ24" s="184"/>
      <c r="AK24" s="5"/>
      <c r="AL24" s="184">
        <f t="shared" ref="AL24:AM24" si="59">ROUND(E24*(5/12)+K24*(5/12)+S24+X24-AE24,2)</f>
        <v>0.12</v>
      </c>
      <c r="AM24" s="184">
        <f t="shared" si="59"/>
        <v>0.08</v>
      </c>
      <c r="AN24" s="184">
        <f t="shared" si="5"/>
        <v>0</v>
      </c>
      <c r="AO24" s="184">
        <f t="shared" ref="AO24:AP24" si="60">ROUND(H24*(5/12)+N24*(5/12)+U24+Z24-AG24,2)</f>
        <v>0</v>
      </c>
      <c r="AP24" s="184">
        <f t="shared" si="60"/>
        <v>-0.01</v>
      </c>
      <c r="AQ24" s="184">
        <f t="shared" ref="AQ24:AR24" si="61">P24+AB24-AI24</f>
        <v>1</v>
      </c>
      <c r="AR24" s="184">
        <f t="shared" si="61"/>
        <v>1</v>
      </c>
      <c r="AS24" s="5"/>
      <c r="AT24" s="176">
        <v>0.25</v>
      </c>
      <c r="AU24" s="176">
        <v>0.08</v>
      </c>
      <c r="AV24" s="176">
        <v>0.0</v>
      </c>
      <c r="AW24" s="176">
        <v>0.0</v>
      </c>
      <c r="AX24" s="176">
        <v>0.008</v>
      </c>
      <c r="AY24" s="176">
        <v>1.0</v>
      </c>
      <c r="AZ24" s="176">
        <v>1.0</v>
      </c>
      <c r="BA24" s="95" t="s">
        <v>1631</v>
      </c>
      <c r="BB24" s="5"/>
      <c r="BC24" s="62"/>
      <c r="BE24" s="184"/>
      <c r="BF24" s="184"/>
      <c r="BG24" s="184"/>
      <c r="BH24" s="184"/>
      <c r="BI24" s="184"/>
      <c r="BJ24" s="184"/>
      <c r="BK24" s="81"/>
      <c r="BL24" s="280" t="s">
        <v>1152</v>
      </c>
      <c r="BM24" s="81"/>
      <c r="BN24" s="81"/>
    </row>
    <row r="25">
      <c r="A25" s="176">
        <v>21.0</v>
      </c>
      <c r="B25" s="286" t="s">
        <v>1632</v>
      </c>
      <c r="C25" s="287" t="s">
        <v>41</v>
      </c>
      <c r="D25" s="50">
        <v>3.0</v>
      </c>
      <c r="E25" s="306">
        <v>0.0</v>
      </c>
      <c r="F25" s="307">
        <v>0.0</v>
      </c>
      <c r="G25" s="307">
        <v>0.0</v>
      </c>
      <c r="H25" s="308"/>
      <c r="I25" s="307">
        <v>0.0</v>
      </c>
      <c r="J25" s="294">
        <v>1.0</v>
      </c>
      <c r="K25" s="294">
        <v>1.0</v>
      </c>
      <c r="L25" s="294">
        <v>0.0</v>
      </c>
      <c r="M25" s="294">
        <v>0.0</v>
      </c>
      <c r="N25" s="294">
        <v>0.0</v>
      </c>
      <c r="O25" s="294">
        <v>0.0</v>
      </c>
      <c r="P25" s="180">
        <v>1.0</v>
      </c>
      <c r="Q25" s="180">
        <v>1.0</v>
      </c>
      <c r="R25" s="5"/>
      <c r="S25" s="176">
        <v>0.17</v>
      </c>
      <c r="T25" s="176">
        <v>0.0</v>
      </c>
      <c r="U25" s="176">
        <v>0.0</v>
      </c>
      <c r="V25" s="176">
        <v>0.0</v>
      </c>
      <c r="W25" s="5"/>
      <c r="X25" s="184"/>
      <c r="Y25" s="184"/>
      <c r="Z25" s="184"/>
      <c r="AA25" s="184"/>
      <c r="AB25" s="184"/>
      <c r="AC25" s="184"/>
      <c r="AD25" s="5"/>
      <c r="AE25" s="176">
        <v>0.18</v>
      </c>
      <c r="AF25" s="184"/>
      <c r="AG25" s="184"/>
      <c r="AH25" s="184"/>
      <c r="AI25" s="184"/>
      <c r="AJ25" s="184"/>
      <c r="AK25" s="5"/>
      <c r="AL25" s="184">
        <f t="shared" ref="AL25:AM25" si="62">ROUND(E25*(5/12)+K25*(5/12)+S25+X25-AE25,2)</f>
        <v>0.41</v>
      </c>
      <c r="AM25" s="184">
        <f t="shared" si="62"/>
        <v>0</v>
      </c>
      <c r="AN25" s="184">
        <f t="shared" si="5"/>
        <v>0</v>
      </c>
      <c r="AO25" s="184">
        <f t="shared" ref="AO25:AP25" si="63">ROUND(H25*(5/12)+N25*(5/12)+U25+Z25-AG25,2)</f>
        <v>0</v>
      </c>
      <c r="AP25" s="184">
        <f t="shared" si="63"/>
        <v>0</v>
      </c>
      <c r="AQ25" s="184">
        <f t="shared" ref="AQ25:AR25" si="64">P25+AB25-AI25</f>
        <v>1</v>
      </c>
      <c r="AR25" s="184">
        <f t="shared" si="64"/>
        <v>1</v>
      </c>
      <c r="AS25" s="5"/>
      <c r="AT25" s="176">
        <v>0.5</v>
      </c>
      <c r="AU25" s="176">
        <v>0.0</v>
      </c>
      <c r="AV25" s="176">
        <v>0.1</v>
      </c>
      <c r="AW25" s="176">
        <v>0.0</v>
      </c>
      <c r="AX25" s="176">
        <v>0.0</v>
      </c>
      <c r="AY25" s="176">
        <v>1.0</v>
      </c>
      <c r="AZ25" s="176">
        <v>1.0</v>
      </c>
      <c r="BA25" s="196" t="s">
        <v>1633</v>
      </c>
      <c r="BB25" s="5"/>
      <c r="BC25" s="62"/>
      <c r="BE25" s="184"/>
      <c r="BF25" s="184"/>
      <c r="BG25" s="184"/>
      <c r="BH25" s="184"/>
      <c r="BI25" s="184"/>
      <c r="BJ25" s="184"/>
      <c r="BK25" s="81"/>
      <c r="BL25" s="280" t="s">
        <v>1561</v>
      </c>
      <c r="BM25" s="81"/>
      <c r="BN25" s="280" t="s">
        <v>1634</v>
      </c>
    </row>
    <row r="26">
      <c r="A26" s="176">
        <v>22.0</v>
      </c>
      <c r="B26" s="309" t="s">
        <v>65</v>
      </c>
      <c r="C26" s="287" t="s">
        <v>41</v>
      </c>
      <c r="D26" s="50">
        <v>3.67</v>
      </c>
      <c r="E26" s="291">
        <v>0.1891</v>
      </c>
      <c r="F26" s="292">
        <v>0.095</v>
      </c>
      <c r="G26" s="297"/>
      <c r="H26" s="297"/>
      <c r="I26" s="292">
        <v>0.0459</v>
      </c>
      <c r="J26" s="294">
        <v>3.33</v>
      </c>
      <c r="K26" s="294">
        <v>0.55</v>
      </c>
      <c r="L26" s="294">
        <v>0.09</v>
      </c>
      <c r="M26" s="294">
        <v>0.0</v>
      </c>
      <c r="N26" s="294">
        <v>0.0</v>
      </c>
      <c r="O26" s="294">
        <v>0.03</v>
      </c>
      <c r="P26" s="180">
        <v>1.0</v>
      </c>
      <c r="Q26" s="180">
        <v>1.0</v>
      </c>
      <c r="R26" s="5"/>
      <c r="S26" s="176">
        <v>0.0</v>
      </c>
      <c r="T26" s="176">
        <v>0.0</v>
      </c>
      <c r="U26" s="176">
        <v>0.0</v>
      </c>
      <c r="V26" s="176">
        <v>0.0</v>
      </c>
      <c r="W26" s="5"/>
      <c r="X26" s="184"/>
      <c r="Y26" s="184"/>
      <c r="Z26" s="184"/>
      <c r="AA26" s="184"/>
      <c r="AB26" s="184"/>
      <c r="AC26" s="184"/>
      <c r="AD26" s="5"/>
      <c r="AE26" s="176">
        <v>0.05</v>
      </c>
      <c r="AF26" s="184"/>
      <c r="AG26" s="184"/>
      <c r="AH26" s="184"/>
      <c r="AI26" s="184"/>
      <c r="AJ26" s="184"/>
      <c r="AK26" s="5"/>
      <c r="AL26" s="184">
        <f t="shared" ref="AL26:AM26" si="65">ROUND(E26*(5/12)+K26*(5/12)+S26+X26-AE26,2)</f>
        <v>0.26</v>
      </c>
      <c r="AM26" s="184">
        <f t="shared" si="65"/>
        <v>0.08</v>
      </c>
      <c r="AN26" s="184">
        <f t="shared" si="5"/>
        <v>0</v>
      </c>
      <c r="AO26" s="184">
        <f t="shared" ref="AO26:AP26" si="66">ROUND(H26*(5/12)+N26*(5/12)+U26+Z26-AG26,2)</f>
        <v>0</v>
      </c>
      <c r="AP26" s="184">
        <f t="shared" si="66"/>
        <v>0.03</v>
      </c>
      <c r="AQ26" s="184">
        <f t="shared" ref="AQ26:AR26" si="67">P26+AB26-AI26</f>
        <v>1</v>
      </c>
      <c r="AR26" s="184">
        <f t="shared" si="67"/>
        <v>1</v>
      </c>
      <c r="AS26" s="5"/>
      <c r="AT26" s="176">
        <v>1.0</v>
      </c>
      <c r="AU26" s="176">
        <v>0.1</v>
      </c>
      <c r="AV26" s="176">
        <v>0.0</v>
      </c>
      <c r="AW26" s="176">
        <v>0.0</v>
      </c>
      <c r="AX26" s="176">
        <v>0.036</v>
      </c>
      <c r="AY26" s="176">
        <v>1.0</v>
      </c>
      <c r="AZ26" s="176">
        <v>1.0</v>
      </c>
      <c r="BA26" s="310" t="s">
        <v>1635</v>
      </c>
      <c r="BB26" s="5"/>
      <c r="BC26" s="62"/>
      <c r="BE26" s="184"/>
      <c r="BF26" s="184"/>
      <c r="BG26" s="184"/>
      <c r="BH26" s="184"/>
      <c r="BI26" s="184"/>
      <c r="BJ26" s="184"/>
      <c r="BK26" s="81"/>
      <c r="BL26" s="280" t="s">
        <v>1152</v>
      </c>
      <c r="BM26" s="81"/>
      <c r="BN26" s="81"/>
    </row>
    <row r="27">
      <c r="A27" s="176">
        <v>23.0</v>
      </c>
      <c r="B27" s="309" t="s">
        <v>66</v>
      </c>
      <c r="C27" s="287" t="s">
        <v>41</v>
      </c>
      <c r="D27" s="50">
        <v>3.67</v>
      </c>
      <c r="E27" s="291">
        <v>0.0891</v>
      </c>
      <c r="F27" s="292">
        <v>0.095</v>
      </c>
      <c r="G27" s="292">
        <v>0.1</v>
      </c>
      <c r="H27" s="297"/>
      <c r="I27" s="292">
        <v>0.0459</v>
      </c>
      <c r="J27" s="294">
        <v>3.67</v>
      </c>
      <c r="K27" s="294">
        <v>0.21</v>
      </c>
      <c r="L27" s="294">
        <v>0.09</v>
      </c>
      <c r="M27" s="294">
        <v>0.0</v>
      </c>
      <c r="N27" s="294">
        <v>0.0</v>
      </c>
      <c r="O27" s="294">
        <v>0.03</v>
      </c>
      <c r="P27" s="180">
        <v>1.0</v>
      </c>
      <c r="Q27" s="180">
        <v>1.0</v>
      </c>
      <c r="R27" s="5"/>
      <c r="S27" s="176">
        <v>0.17</v>
      </c>
      <c r="T27" s="176">
        <v>0.0</v>
      </c>
      <c r="U27" s="176">
        <v>0.0</v>
      </c>
      <c r="V27" s="176">
        <v>0.0</v>
      </c>
      <c r="W27" s="5"/>
      <c r="X27" s="176">
        <v>0.04</v>
      </c>
      <c r="Y27" s="184"/>
      <c r="Z27" s="176">
        <v>0.08</v>
      </c>
      <c r="AA27" s="184"/>
      <c r="AB27" s="176"/>
      <c r="AC27" s="184"/>
      <c r="AD27" s="5"/>
      <c r="AE27" s="184"/>
      <c r="AF27" s="184"/>
      <c r="AG27" s="184"/>
      <c r="AH27" s="184"/>
      <c r="AI27" s="184"/>
      <c r="AJ27" s="184"/>
      <c r="AK27" s="5"/>
      <c r="AL27" s="184">
        <f t="shared" ref="AL27:AM27" si="68">ROUND(E27*(5/12)+K27*(5/12)+S27+X27-AE27,2)</f>
        <v>0.33</v>
      </c>
      <c r="AM27" s="184">
        <f t="shared" si="68"/>
        <v>0.08</v>
      </c>
      <c r="AN27" s="184">
        <f t="shared" si="5"/>
        <v>0.04</v>
      </c>
      <c r="AO27" s="184">
        <f t="shared" ref="AO27:AP27" si="69">ROUND(H27*(5/12)+N27*(5/12)+U27+Z27-AG27,2)</f>
        <v>0.08</v>
      </c>
      <c r="AP27" s="184">
        <f t="shared" si="69"/>
        <v>0.03</v>
      </c>
      <c r="AQ27" s="184">
        <f t="shared" ref="AQ27:AR27" si="70">P27+AB27-AI27</f>
        <v>1</v>
      </c>
      <c r="AR27" s="184">
        <f t="shared" si="70"/>
        <v>1</v>
      </c>
      <c r="AS27" s="5"/>
      <c r="AT27" s="176">
        <v>0.5</v>
      </c>
      <c r="AU27" s="176">
        <v>0.0</v>
      </c>
      <c r="AV27" s="176">
        <v>0.0</v>
      </c>
      <c r="AW27" s="176">
        <v>0.11</v>
      </c>
      <c r="AX27" s="176">
        <v>0.033</v>
      </c>
      <c r="AY27" s="176">
        <v>1.0</v>
      </c>
      <c r="AZ27" s="176">
        <v>1.0</v>
      </c>
      <c r="BA27" s="180" t="s">
        <v>1636</v>
      </c>
      <c r="BB27" s="5"/>
      <c r="BC27" s="62"/>
      <c r="BE27" s="184"/>
      <c r="BF27" s="184"/>
      <c r="BG27" s="184"/>
      <c r="BH27" s="184"/>
      <c r="BI27" s="184"/>
      <c r="BJ27" s="184"/>
      <c r="BK27" s="81"/>
      <c r="BL27" s="280" t="s">
        <v>1152</v>
      </c>
      <c r="BM27" s="81"/>
      <c r="BN27" s="81"/>
    </row>
    <row r="28">
      <c r="A28" s="176">
        <v>24.0</v>
      </c>
      <c r="B28" s="309" t="s">
        <v>1637</v>
      </c>
      <c r="C28" s="287" t="s">
        <v>41</v>
      </c>
      <c r="D28" s="50">
        <v>3.67</v>
      </c>
      <c r="E28" s="291">
        <v>0.1891</v>
      </c>
      <c r="F28" s="292">
        <v>0.095</v>
      </c>
      <c r="G28" s="297"/>
      <c r="H28" s="297"/>
      <c r="I28" s="292">
        <v>0.0459</v>
      </c>
      <c r="J28" s="294">
        <v>3.33</v>
      </c>
      <c r="K28" s="294">
        <v>0.55</v>
      </c>
      <c r="L28" s="294">
        <v>0.09</v>
      </c>
      <c r="M28" s="294">
        <v>0.0</v>
      </c>
      <c r="N28" s="294">
        <v>0.0</v>
      </c>
      <c r="O28" s="294">
        <v>0.03</v>
      </c>
      <c r="P28" s="180">
        <v>1.0</v>
      </c>
      <c r="Q28" s="180">
        <v>1.0</v>
      </c>
      <c r="R28" s="5"/>
      <c r="S28" s="176">
        <v>0.06</v>
      </c>
      <c r="T28" s="176">
        <v>0.0</v>
      </c>
      <c r="U28" s="176">
        <v>0.0</v>
      </c>
      <c r="V28" s="176">
        <v>0.0</v>
      </c>
      <c r="W28" s="5"/>
      <c r="X28" s="184"/>
      <c r="Y28" s="184"/>
      <c r="Z28" s="184"/>
      <c r="AA28" s="184"/>
      <c r="AB28" s="184"/>
      <c r="AC28" s="184"/>
      <c r="AD28" s="5"/>
      <c r="AE28" s="176">
        <v>0.11</v>
      </c>
      <c r="AF28" s="184"/>
      <c r="AG28" s="184"/>
      <c r="AH28" s="184"/>
      <c r="AI28" s="184"/>
      <c r="AJ28" s="176">
        <v>0.2</v>
      </c>
      <c r="AK28" s="5"/>
      <c r="AL28" s="184">
        <f t="shared" ref="AL28:AM28" si="71">ROUND(E28*(5/12)+K28*(5/12)+S28+X28-AE28,2)</f>
        <v>0.26</v>
      </c>
      <c r="AM28" s="184">
        <f t="shared" si="71"/>
        <v>0.08</v>
      </c>
      <c r="AN28" s="184">
        <f t="shared" si="5"/>
        <v>0</v>
      </c>
      <c r="AO28" s="184">
        <f t="shared" ref="AO28:AP28" si="72">ROUND(H28*(5/12)+N28*(5/12)+U28+Z28-AG28,2)</f>
        <v>0</v>
      </c>
      <c r="AP28" s="184">
        <f t="shared" si="72"/>
        <v>0.03</v>
      </c>
      <c r="AQ28" s="184">
        <f t="shared" ref="AQ28:AR28" si="73">P28+AB28-AI28</f>
        <v>1</v>
      </c>
      <c r="AR28" s="184">
        <f t="shared" si="73"/>
        <v>0.8</v>
      </c>
      <c r="AS28" s="5"/>
      <c r="AT28" s="176">
        <v>0.5</v>
      </c>
      <c r="AU28" s="176">
        <v>0.114</v>
      </c>
      <c r="AV28" s="176">
        <v>0.0</v>
      </c>
      <c r="AW28" s="176">
        <v>0.0</v>
      </c>
      <c r="AX28" s="176">
        <v>0.03</v>
      </c>
      <c r="AY28" s="176">
        <v>1.0</v>
      </c>
      <c r="AZ28" s="176">
        <v>1.0</v>
      </c>
      <c r="BA28" s="196" t="s">
        <v>1638</v>
      </c>
      <c r="BB28" s="5"/>
      <c r="BC28" s="62"/>
      <c r="BE28" s="184"/>
      <c r="BF28" s="184"/>
      <c r="BG28" s="184"/>
      <c r="BH28" s="184"/>
      <c r="BI28" s="184"/>
      <c r="BJ28" s="184"/>
      <c r="BK28" s="81"/>
      <c r="BL28" s="280" t="s">
        <v>1561</v>
      </c>
      <c r="BM28" s="81"/>
      <c r="BN28" s="280" t="s">
        <v>1639</v>
      </c>
    </row>
    <row r="29">
      <c r="A29" s="176">
        <v>25.0</v>
      </c>
      <c r="B29" s="309" t="s">
        <v>1640</v>
      </c>
      <c r="C29" s="287" t="s">
        <v>41</v>
      </c>
      <c r="D29" s="50">
        <v>2.66</v>
      </c>
      <c r="E29" s="291">
        <v>0.8286</v>
      </c>
      <c r="F29" s="292">
        <v>0.1425</v>
      </c>
      <c r="G29" s="292"/>
      <c r="H29" s="292">
        <v>0.3</v>
      </c>
      <c r="I29" s="292">
        <v>0.0689</v>
      </c>
      <c r="J29" s="294">
        <v>3.33</v>
      </c>
      <c r="K29" s="294">
        <v>0.14</v>
      </c>
      <c r="L29" s="294">
        <v>0.17</v>
      </c>
      <c r="M29" s="294">
        <v>0.0</v>
      </c>
      <c r="N29" s="294">
        <v>0.3</v>
      </c>
      <c r="O29" s="294">
        <v>0.06</v>
      </c>
      <c r="P29" s="180">
        <v>1.0</v>
      </c>
      <c r="Q29" s="180">
        <v>1.0</v>
      </c>
      <c r="R29" s="5"/>
      <c r="S29" s="176">
        <v>0.45</v>
      </c>
      <c r="T29" s="176">
        <v>0.05</v>
      </c>
      <c r="U29" s="176">
        <v>0.0</v>
      </c>
      <c r="V29" s="176">
        <v>0.0</v>
      </c>
      <c r="W29" s="5"/>
      <c r="X29" s="184"/>
      <c r="Y29" s="176">
        <v>0.13</v>
      </c>
      <c r="Z29" s="184"/>
      <c r="AA29" s="184"/>
      <c r="AB29" s="184"/>
      <c r="AC29" s="184"/>
      <c r="AD29" s="5"/>
      <c r="AE29" s="176">
        <v>0.251</v>
      </c>
      <c r="AF29" s="184"/>
      <c r="AG29" s="184"/>
      <c r="AH29" s="184"/>
      <c r="AI29" s="184"/>
      <c r="AJ29" s="184"/>
      <c r="AK29" s="5"/>
      <c r="AL29" s="184">
        <f t="shared" ref="AL29:AM29" si="74">ROUND(E29*(5/12)+K29*(5/12)+S29+X29-AE29,2)</f>
        <v>0.6</v>
      </c>
      <c r="AM29" s="184">
        <f t="shared" si="74"/>
        <v>0.31</v>
      </c>
      <c r="AN29" s="184">
        <f t="shared" si="5"/>
        <v>0</v>
      </c>
      <c r="AO29" s="184">
        <f t="shared" ref="AO29:AP29" si="75">ROUND(H29*(5/12)+N29*(5/12)+U29+Z29-AG29,2)</f>
        <v>0.25</v>
      </c>
      <c r="AP29" s="184">
        <f t="shared" si="75"/>
        <v>0.05</v>
      </c>
      <c r="AQ29" s="184">
        <f t="shared" ref="AQ29:AR29" si="76">P29+AB29-AI29</f>
        <v>1</v>
      </c>
      <c r="AR29" s="184">
        <f t="shared" si="76"/>
        <v>1</v>
      </c>
      <c r="AS29" s="5"/>
      <c r="AT29" s="176">
        <v>1.407</v>
      </c>
      <c r="AU29" s="180">
        <v>0.32</v>
      </c>
      <c r="AV29" s="176">
        <v>0.2</v>
      </c>
      <c r="AW29" s="176">
        <v>0.33</v>
      </c>
      <c r="AX29" s="176">
        <v>0.0</v>
      </c>
      <c r="AY29" s="176">
        <v>1.0</v>
      </c>
      <c r="AZ29" s="176">
        <v>1.0</v>
      </c>
      <c r="BA29" s="180" t="s">
        <v>1641</v>
      </c>
      <c r="BB29" s="5"/>
      <c r="BC29" s="62"/>
      <c r="BD29" s="27"/>
      <c r="BE29" s="194" t="s">
        <v>1642</v>
      </c>
      <c r="BF29" s="184"/>
      <c r="BG29" s="184"/>
      <c r="BH29" s="184"/>
      <c r="BI29" s="194" t="s">
        <v>1643</v>
      </c>
      <c r="BJ29" s="184"/>
      <c r="BK29" s="311"/>
      <c r="BL29" s="280" t="s">
        <v>1152</v>
      </c>
      <c r="BM29" s="311"/>
      <c r="BN29" s="311"/>
    </row>
    <row r="30">
      <c r="A30" s="176">
        <v>26.0</v>
      </c>
      <c r="B30" s="309" t="s">
        <v>68</v>
      </c>
      <c r="C30" s="287" t="s">
        <v>41</v>
      </c>
      <c r="D30" s="50">
        <v>3.67</v>
      </c>
      <c r="E30" s="291">
        <v>0.1891</v>
      </c>
      <c r="F30" s="292">
        <v>0.095</v>
      </c>
      <c r="G30" s="297"/>
      <c r="H30" s="297"/>
      <c r="I30" s="292">
        <v>0.0459</v>
      </c>
      <c r="J30" s="294">
        <v>3.67</v>
      </c>
      <c r="K30" s="294">
        <v>0.21</v>
      </c>
      <c r="L30" s="294">
        <v>0.09</v>
      </c>
      <c r="M30" s="294">
        <v>0.0</v>
      </c>
      <c r="N30" s="294">
        <v>0.0</v>
      </c>
      <c r="O30" s="294">
        <v>0.03</v>
      </c>
      <c r="P30" s="180">
        <v>1.0</v>
      </c>
      <c r="Q30" s="180">
        <v>1.0</v>
      </c>
      <c r="R30" s="5"/>
      <c r="S30" s="176">
        <v>0.0</v>
      </c>
      <c r="T30" s="176">
        <v>0.0</v>
      </c>
      <c r="U30" s="176">
        <v>0.0</v>
      </c>
      <c r="V30" s="176">
        <v>0.0</v>
      </c>
      <c r="W30" s="5"/>
      <c r="X30" s="176">
        <v>0.42</v>
      </c>
      <c r="Y30" s="184"/>
      <c r="Z30" s="184"/>
      <c r="AA30" s="184"/>
      <c r="AB30" s="176">
        <v>2.0</v>
      </c>
      <c r="AC30" s="184"/>
      <c r="AD30" s="5"/>
      <c r="AE30" s="184"/>
      <c r="AF30" s="184"/>
      <c r="AG30" s="184"/>
      <c r="AH30" s="184"/>
      <c r="AI30" s="184"/>
      <c r="AJ30" s="184"/>
      <c r="AK30" s="5"/>
      <c r="AL30" s="184">
        <f t="shared" ref="AL30:AM30" si="77">ROUND(E30*(5/12)+K30*(5/12)+S30+X30-AE30,2)</f>
        <v>0.59</v>
      </c>
      <c r="AM30" s="184">
        <f t="shared" si="77"/>
        <v>0.08</v>
      </c>
      <c r="AN30" s="184">
        <f t="shared" si="5"/>
        <v>0</v>
      </c>
      <c r="AO30" s="184">
        <f t="shared" ref="AO30:AP30" si="78">ROUND(H30*(5/12)+N30*(5/12)+U30+Z30-AG30,2)</f>
        <v>0</v>
      </c>
      <c r="AP30" s="184">
        <f t="shared" si="78"/>
        <v>0.03</v>
      </c>
      <c r="AQ30" s="184">
        <f t="shared" ref="AQ30:AR30" si="79">P30+AB30-AI30</f>
        <v>3</v>
      </c>
      <c r="AR30" s="184">
        <f t="shared" si="79"/>
        <v>1</v>
      </c>
      <c r="AS30" s="5"/>
      <c r="AT30" s="176">
        <v>0.582</v>
      </c>
      <c r="AU30" s="176">
        <v>0.0</v>
      </c>
      <c r="AV30" s="176">
        <v>0.0</v>
      </c>
      <c r="AW30" s="176">
        <v>0.0</v>
      </c>
      <c r="AX30" s="176">
        <v>0.0</v>
      </c>
      <c r="AY30" s="176">
        <v>1.5</v>
      </c>
      <c r="AZ30" s="176">
        <v>0.0</v>
      </c>
      <c r="BA30" s="195" t="s">
        <v>1644</v>
      </c>
      <c r="BB30" s="5"/>
      <c r="BC30" s="62"/>
      <c r="BE30" s="184"/>
      <c r="BF30" s="184"/>
      <c r="BG30" s="184"/>
      <c r="BH30" s="184"/>
      <c r="BI30" s="184"/>
      <c r="BJ30" s="184"/>
      <c r="BK30" s="81"/>
      <c r="BL30" s="280" t="s">
        <v>1561</v>
      </c>
      <c r="BM30" s="81"/>
      <c r="BN30" s="81"/>
    </row>
    <row r="31">
      <c r="A31" s="176">
        <v>27.0</v>
      </c>
      <c r="B31" s="309" t="s">
        <v>69</v>
      </c>
      <c r="C31" s="287" t="s">
        <v>41</v>
      </c>
      <c r="D31" s="50">
        <v>3.0</v>
      </c>
      <c r="E31" s="291">
        <v>0.6591</v>
      </c>
      <c r="F31" s="292">
        <v>0.095</v>
      </c>
      <c r="G31" s="292">
        <v>0.2</v>
      </c>
      <c r="H31" s="297"/>
      <c r="I31" s="292">
        <v>0.0459</v>
      </c>
      <c r="J31" s="294">
        <v>2.67</v>
      </c>
      <c r="K31" s="294">
        <v>1.21</v>
      </c>
      <c r="L31" s="294">
        <v>0.09</v>
      </c>
      <c r="M31" s="294">
        <v>0.0</v>
      </c>
      <c r="N31" s="294">
        <v>0.0</v>
      </c>
      <c r="O31" s="294">
        <v>0.03</v>
      </c>
      <c r="P31" s="180">
        <v>1.0</v>
      </c>
      <c r="Q31" s="180">
        <v>1.0</v>
      </c>
      <c r="R31" s="5"/>
      <c r="S31" s="176">
        <v>0.3</v>
      </c>
      <c r="T31" s="176">
        <v>0.03</v>
      </c>
      <c r="U31" s="176">
        <v>0.0</v>
      </c>
      <c r="V31" s="176">
        <v>0.0</v>
      </c>
      <c r="W31" s="5"/>
      <c r="X31" s="184"/>
      <c r="Y31" s="176">
        <v>0.17</v>
      </c>
      <c r="Z31" s="184"/>
      <c r="AA31" s="184"/>
      <c r="AB31" s="184"/>
      <c r="AC31" s="184"/>
      <c r="AD31" s="5"/>
      <c r="AE31" s="176">
        <v>0.58</v>
      </c>
      <c r="AF31" s="184"/>
      <c r="AG31" s="184"/>
      <c r="AH31" s="184"/>
      <c r="AI31" s="184"/>
      <c r="AJ31" s="184"/>
      <c r="AK31" s="5"/>
      <c r="AL31" s="184">
        <f t="shared" ref="AL31:AM31" si="80">ROUND(E31*(5/12)+K31*(5/12)+S31+X31-AE31,2)</f>
        <v>0.5</v>
      </c>
      <c r="AM31" s="184">
        <f t="shared" si="80"/>
        <v>0.28</v>
      </c>
      <c r="AN31" s="184">
        <f t="shared" si="5"/>
        <v>0.08</v>
      </c>
      <c r="AO31" s="184">
        <f t="shared" ref="AO31:AP31" si="81">ROUND(H31*(5/12)+N31*(5/12)+U31+Z31-AG31,2)</f>
        <v>0</v>
      </c>
      <c r="AP31" s="184">
        <f t="shared" si="81"/>
        <v>0.03</v>
      </c>
      <c r="AQ31" s="184">
        <f t="shared" ref="AQ31:AR31" si="82">P31+AB31-AI31</f>
        <v>1</v>
      </c>
      <c r="AR31" s="184">
        <f t="shared" si="82"/>
        <v>1</v>
      </c>
      <c r="AS31" s="5"/>
      <c r="AT31" s="176">
        <v>1.0</v>
      </c>
      <c r="AU31" s="176">
        <v>0.284</v>
      </c>
      <c r="AV31" s="176">
        <v>0.1</v>
      </c>
      <c r="AW31" s="176">
        <v>0.0</v>
      </c>
      <c r="AX31" s="176">
        <v>0.0</v>
      </c>
      <c r="AY31" s="176">
        <v>1.0</v>
      </c>
      <c r="AZ31" s="176">
        <v>1.0</v>
      </c>
      <c r="BA31" s="180" t="s">
        <v>1645</v>
      </c>
      <c r="BB31" s="5"/>
      <c r="BC31" s="62"/>
      <c r="BE31" s="198">
        <v>0.14</v>
      </c>
      <c r="BF31" s="184"/>
      <c r="BG31" s="184"/>
      <c r="BH31" s="184"/>
      <c r="BI31" s="198" t="s">
        <v>1646</v>
      </c>
      <c r="BJ31" s="198">
        <v>0.518</v>
      </c>
      <c r="BK31" s="81"/>
      <c r="BL31" s="280" t="s">
        <v>1152</v>
      </c>
      <c r="BM31" s="81"/>
      <c r="BN31" s="81"/>
    </row>
    <row r="32">
      <c r="A32" s="176">
        <v>28.0</v>
      </c>
      <c r="B32" s="309" t="s">
        <v>70</v>
      </c>
      <c r="C32" s="287" t="s">
        <v>41</v>
      </c>
      <c r="D32" s="50">
        <v>3.0</v>
      </c>
      <c r="E32" s="291">
        <v>0.1591</v>
      </c>
      <c r="F32" s="292">
        <v>0.095</v>
      </c>
      <c r="G32" s="292">
        <v>0.3</v>
      </c>
      <c r="H32" s="292">
        <v>0.4</v>
      </c>
      <c r="I32" s="292">
        <v>0.0459</v>
      </c>
      <c r="J32" s="294">
        <v>3.0</v>
      </c>
      <c r="K32" s="294">
        <v>0.33</v>
      </c>
      <c r="L32" s="294">
        <v>0.09</v>
      </c>
      <c r="M32" s="294">
        <v>0.3</v>
      </c>
      <c r="N32" s="294">
        <v>0.25</v>
      </c>
      <c r="O32" s="294">
        <v>0.03</v>
      </c>
      <c r="P32" s="180">
        <v>1.0</v>
      </c>
      <c r="Q32" s="180">
        <v>1.0</v>
      </c>
      <c r="R32" s="5"/>
      <c r="S32" s="176">
        <v>0.33</v>
      </c>
      <c r="T32" s="176">
        <v>0.0</v>
      </c>
      <c r="U32" s="176">
        <v>0.17</v>
      </c>
      <c r="V32" s="176">
        <v>0.0</v>
      </c>
      <c r="W32" s="5"/>
      <c r="X32" s="176"/>
      <c r="Y32" s="184"/>
      <c r="Z32" s="184"/>
      <c r="AA32" s="184"/>
      <c r="AB32" s="184"/>
      <c r="AC32" s="184"/>
      <c r="AD32" s="5"/>
      <c r="AE32" s="176">
        <v>1.0</v>
      </c>
      <c r="AG32" s="176"/>
      <c r="AH32" s="184"/>
      <c r="AI32" s="184"/>
      <c r="AJ32" s="184"/>
      <c r="AK32" s="5"/>
      <c r="AL32" s="184">
        <f t="shared" ref="AL32:AM32" si="83">ROUND(E32*(5/12)+K32*(5/12)+S32+X32-AE32,2)</f>
        <v>-0.47</v>
      </c>
      <c r="AM32" s="184">
        <f t="shared" si="83"/>
        <v>0.08</v>
      </c>
      <c r="AN32" s="184">
        <f t="shared" si="5"/>
        <v>0.25</v>
      </c>
      <c r="AO32" s="184">
        <f t="shared" ref="AO32:AP32" si="84">ROUND(H32*(5/12)+N32*(5/12)+U32+Z32-AG32,2)</f>
        <v>0.44</v>
      </c>
      <c r="AP32" s="184">
        <f t="shared" si="84"/>
        <v>0.03</v>
      </c>
      <c r="AQ32" s="184">
        <f t="shared" ref="AQ32:AR32" si="85">P32+AB32-AI32</f>
        <v>1</v>
      </c>
      <c r="AR32" s="184">
        <f t="shared" si="85"/>
        <v>1</v>
      </c>
      <c r="AS32" s="5"/>
      <c r="AT32" s="176">
        <v>1.0</v>
      </c>
      <c r="AU32" s="176">
        <v>0.083</v>
      </c>
      <c r="AV32" s="176">
        <v>0.35</v>
      </c>
      <c r="AW32" s="176">
        <v>0.66</v>
      </c>
      <c r="AX32" s="176">
        <v>0.0375</v>
      </c>
      <c r="AY32" s="176">
        <v>1.0</v>
      </c>
      <c r="AZ32" s="176">
        <v>1.0</v>
      </c>
      <c r="BA32" s="180" t="s">
        <v>1647</v>
      </c>
      <c r="BB32" s="5"/>
      <c r="BC32" s="62"/>
      <c r="BE32" s="184"/>
      <c r="BF32" s="184"/>
      <c r="BG32" s="184"/>
      <c r="BH32" s="184"/>
      <c r="BI32" s="184"/>
      <c r="BJ32" s="184"/>
      <c r="BK32" s="81"/>
      <c r="BL32" s="280" t="s">
        <v>1152</v>
      </c>
      <c r="BM32" s="280" t="s">
        <v>1648</v>
      </c>
      <c r="BN32" s="312" t="s">
        <v>1649</v>
      </c>
    </row>
    <row r="33">
      <c r="A33" s="176">
        <v>29.0</v>
      </c>
      <c r="B33" s="309" t="s">
        <v>71</v>
      </c>
      <c r="C33" s="287" t="s">
        <v>41</v>
      </c>
      <c r="D33" s="50">
        <v>3.0</v>
      </c>
      <c r="E33" s="291">
        <v>0.5591</v>
      </c>
      <c r="F33" s="292">
        <v>0.095</v>
      </c>
      <c r="G33" s="292">
        <v>0.3</v>
      </c>
      <c r="H33" s="297"/>
      <c r="I33" s="292">
        <v>0.0459</v>
      </c>
      <c r="J33" s="294">
        <v>2.0</v>
      </c>
      <c r="K33" s="294">
        <v>0.97</v>
      </c>
      <c r="L33" s="294">
        <v>0.09</v>
      </c>
      <c r="M33" s="294">
        <v>0.91</v>
      </c>
      <c r="N33" s="294">
        <v>0.0</v>
      </c>
      <c r="O33" s="294">
        <v>0.03</v>
      </c>
      <c r="P33" s="180">
        <v>1.0</v>
      </c>
      <c r="Q33" s="180">
        <v>1.0</v>
      </c>
      <c r="R33" s="5"/>
      <c r="S33" s="176">
        <v>0.36</v>
      </c>
      <c r="T33" s="176">
        <v>0.03</v>
      </c>
      <c r="U33" s="176">
        <v>0.0</v>
      </c>
      <c r="V33" s="176">
        <v>0.0</v>
      </c>
      <c r="W33" s="5"/>
      <c r="X33" s="184"/>
      <c r="Y33" s="176">
        <v>0.049</v>
      </c>
      <c r="Z33" s="184"/>
      <c r="AA33" s="184"/>
      <c r="AB33" s="184"/>
      <c r="AC33" s="184"/>
      <c r="AD33" s="5"/>
      <c r="AE33" s="176">
        <v>0.31</v>
      </c>
      <c r="AF33" s="184"/>
      <c r="AG33" s="184"/>
      <c r="AH33" s="184"/>
      <c r="AI33" s="184"/>
      <c r="AJ33" s="184"/>
      <c r="AK33" s="5"/>
      <c r="AL33" s="184">
        <f t="shared" ref="AL33:AM33" si="86">ROUND(E33*(5/12)+K33*(5/12)+S33+X33-AE33,2)</f>
        <v>0.69</v>
      </c>
      <c r="AM33" s="184">
        <f t="shared" si="86"/>
        <v>0.16</v>
      </c>
      <c r="AN33" s="184">
        <f t="shared" si="5"/>
        <v>0.5</v>
      </c>
      <c r="AO33" s="184">
        <f t="shared" ref="AO33:AP33" si="87">ROUND(H33*(5/12)+N33*(5/12)+U33+Z33-AG33,2)</f>
        <v>0</v>
      </c>
      <c r="AP33" s="184">
        <f t="shared" si="87"/>
        <v>0.03</v>
      </c>
      <c r="AQ33" s="184">
        <f t="shared" ref="AQ33:AR33" si="88">P33+AB33-AI33</f>
        <v>1</v>
      </c>
      <c r="AR33" s="184">
        <f t="shared" si="88"/>
        <v>1</v>
      </c>
      <c r="AS33" s="5"/>
      <c r="AT33" s="176">
        <v>1.5</v>
      </c>
      <c r="AU33" s="176">
        <v>0.163</v>
      </c>
      <c r="AV33" s="176">
        <v>0.5</v>
      </c>
      <c r="AW33" s="176">
        <v>0.0</v>
      </c>
      <c r="AX33" s="176">
        <v>0.0375</v>
      </c>
      <c r="AY33" s="176">
        <v>1.0</v>
      </c>
      <c r="AZ33" s="176">
        <v>1.0</v>
      </c>
      <c r="BA33" s="180" t="s">
        <v>1650</v>
      </c>
      <c r="BB33" s="5"/>
      <c r="BC33" s="62"/>
      <c r="BE33" s="184"/>
      <c r="BF33" s="184"/>
      <c r="BG33" s="184"/>
      <c r="BH33" s="184"/>
      <c r="BI33" s="184"/>
      <c r="BJ33" s="184"/>
      <c r="BK33" s="81"/>
      <c r="BL33" s="280" t="s">
        <v>1152</v>
      </c>
      <c r="BM33" s="81"/>
      <c r="BN33" s="280" t="s">
        <v>1651</v>
      </c>
    </row>
    <row r="34">
      <c r="A34" s="176">
        <v>30.0</v>
      </c>
      <c r="B34" s="309" t="s">
        <v>72</v>
      </c>
      <c r="C34" s="287" t="s">
        <v>41</v>
      </c>
      <c r="D34" s="50">
        <v>3.0</v>
      </c>
      <c r="E34" s="291">
        <v>0.7591</v>
      </c>
      <c r="F34" s="292">
        <v>0.095</v>
      </c>
      <c r="G34" s="292">
        <v>0.1</v>
      </c>
      <c r="H34" s="297"/>
      <c r="I34" s="292">
        <v>0.0459</v>
      </c>
      <c r="J34" s="294">
        <v>3.0</v>
      </c>
      <c r="K34" s="294">
        <v>0.78</v>
      </c>
      <c r="L34" s="294">
        <v>0.09</v>
      </c>
      <c r="M34" s="294">
        <v>0.1</v>
      </c>
      <c r="N34" s="294">
        <v>0.0</v>
      </c>
      <c r="O34" s="294">
        <v>0.03</v>
      </c>
      <c r="P34" s="180">
        <v>1.0</v>
      </c>
      <c r="Q34" s="180">
        <v>1.0</v>
      </c>
      <c r="R34" s="5"/>
      <c r="S34" s="176">
        <v>0.13</v>
      </c>
      <c r="T34" s="176">
        <v>0.03</v>
      </c>
      <c r="U34" s="176">
        <v>0.0</v>
      </c>
      <c r="V34" s="176">
        <v>0.0</v>
      </c>
      <c r="W34" s="5"/>
      <c r="X34" s="176">
        <v>0.67</v>
      </c>
      <c r="Y34" s="184"/>
      <c r="Z34" s="184"/>
      <c r="AA34" s="184"/>
      <c r="AB34" s="184"/>
      <c r="AC34" s="184"/>
      <c r="AD34" s="5"/>
      <c r="AE34" s="184"/>
      <c r="AF34" s="176">
        <v>0.074</v>
      </c>
      <c r="AG34" s="184"/>
      <c r="AH34" s="184"/>
      <c r="AI34" s="184"/>
      <c r="AJ34" s="184"/>
      <c r="AK34" s="5"/>
      <c r="AL34" s="184">
        <f t="shared" ref="AL34:AM34" si="89">ROUND(E34*(5/12)+K34*(5/12)+S34+X34-AE34,2)</f>
        <v>1.44</v>
      </c>
      <c r="AM34" s="184">
        <f t="shared" si="89"/>
        <v>0.03</v>
      </c>
      <c r="AN34" s="184">
        <f t="shared" si="5"/>
        <v>0.08</v>
      </c>
      <c r="AO34" s="184">
        <f t="shared" ref="AO34:AP34" si="90">ROUND(H34*(5/12)+N34*(5/12)+U34+Z34-AG34,2)</f>
        <v>0</v>
      </c>
      <c r="AP34" s="184">
        <f t="shared" si="90"/>
        <v>0.03</v>
      </c>
      <c r="AQ34" s="184">
        <f t="shared" ref="AQ34:AR34" si="91">P34+AB34-AI34</f>
        <v>1</v>
      </c>
      <c r="AR34" s="184">
        <f t="shared" si="91"/>
        <v>1</v>
      </c>
      <c r="AS34" s="5"/>
      <c r="AT34" s="176">
        <v>2.5</v>
      </c>
      <c r="AU34" s="176">
        <v>0.213</v>
      </c>
      <c r="AV34" s="176">
        <v>0.1</v>
      </c>
      <c r="AW34" s="176">
        <v>0.0</v>
      </c>
      <c r="AX34" s="176">
        <v>0.036</v>
      </c>
      <c r="AY34" s="176">
        <v>1.0</v>
      </c>
      <c r="AZ34" s="176">
        <v>1.0</v>
      </c>
      <c r="BA34" s="196" t="s">
        <v>1652</v>
      </c>
      <c r="BB34" s="5"/>
      <c r="BC34" s="62"/>
      <c r="BE34" s="184"/>
      <c r="BF34" s="184"/>
      <c r="BG34" s="184"/>
      <c r="BH34" s="184"/>
      <c r="BI34" s="184"/>
      <c r="BJ34" s="184"/>
      <c r="BK34" s="81"/>
      <c r="BL34" s="280" t="s">
        <v>1152</v>
      </c>
      <c r="BM34" s="280" t="s">
        <v>1653</v>
      </c>
      <c r="BN34" s="313" t="s">
        <v>1654</v>
      </c>
    </row>
    <row r="35">
      <c r="A35" s="176">
        <v>31.0</v>
      </c>
      <c r="B35" s="309" t="s">
        <v>1655</v>
      </c>
      <c r="C35" s="287" t="s">
        <v>41</v>
      </c>
      <c r="D35" s="50">
        <v>3.67</v>
      </c>
      <c r="E35" s="291">
        <v>0.23</v>
      </c>
      <c r="F35" s="314"/>
      <c r="G35" s="291">
        <v>0.1</v>
      </c>
      <c r="H35" s="314"/>
      <c r="I35" s="314"/>
      <c r="J35" s="294">
        <v>3.66</v>
      </c>
      <c r="K35" s="294">
        <v>0.12</v>
      </c>
      <c r="L35" s="294">
        <v>0.09</v>
      </c>
      <c r="M35" s="294">
        <v>0.1</v>
      </c>
      <c r="N35" s="294">
        <v>0.0</v>
      </c>
      <c r="O35" s="294">
        <v>0.03</v>
      </c>
      <c r="P35" s="180">
        <v>1.0</v>
      </c>
      <c r="Q35" s="180">
        <v>1.0</v>
      </c>
      <c r="R35" s="5"/>
      <c r="S35" s="176">
        <v>0.0</v>
      </c>
      <c r="T35" s="176">
        <v>0.0</v>
      </c>
      <c r="U35" s="176">
        <v>0.0</v>
      </c>
      <c r="V35" s="176">
        <v>0.0</v>
      </c>
      <c r="W35" s="5"/>
      <c r="X35" s="184"/>
      <c r="Y35" s="184"/>
      <c r="Z35" s="184"/>
      <c r="AA35" s="184"/>
      <c r="AB35" s="184"/>
      <c r="AC35" s="184"/>
      <c r="AD35" s="5"/>
      <c r="AE35" s="184"/>
      <c r="AF35" s="184"/>
      <c r="AG35" s="184"/>
      <c r="AH35" s="184"/>
      <c r="AI35" s="176">
        <v>0.25</v>
      </c>
      <c r="AJ35" s="176">
        <v>0.25</v>
      </c>
      <c r="AK35" s="5"/>
      <c r="AL35" s="184">
        <f t="shared" ref="AL35:AM35" si="92">ROUND(E35*(5/12)+K35*(5/12)+S35+X35-AE35,2)</f>
        <v>0.15</v>
      </c>
      <c r="AM35" s="184">
        <f t="shared" si="92"/>
        <v>0.04</v>
      </c>
      <c r="AN35" s="184">
        <f t="shared" si="5"/>
        <v>0.08</v>
      </c>
      <c r="AO35" s="184">
        <f t="shared" ref="AO35:AP35" si="93">ROUND(H35*(5/12)+N35*(5/12)+U35+Z35-AG35,2)</f>
        <v>0</v>
      </c>
      <c r="AP35" s="184">
        <f t="shared" si="93"/>
        <v>0.01</v>
      </c>
      <c r="AQ35" s="184">
        <f t="shared" ref="AQ35:AR35" si="94">P35+AB35-AI35</f>
        <v>0.75</v>
      </c>
      <c r="AR35" s="184">
        <f t="shared" si="94"/>
        <v>0.75</v>
      </c>
      <c r="AS35" s="5"/>
      <c r="AT35" s="176">
        <v>0.0</v>
      </c>
      <c r="AU35" s="176">
        <v>0.04</v>
      </c>
      <c r="AV35" s="176">
        <v>0.08</v>
      </c>
      <c r="AW35" s="176">
        <v>0.0</v>
      </c>
      <c r="AX35" s="176">
        <v>0.01</v>
      </c>
      <c r="AY35" s="176">
        <v>1.0</v>
      </c>
      <c r="AZ35" s="176">
        <v>1.0</v>
      </c>
      <c r="BA35" s="180" t="s">
        <v>1656</v>
      </c>
      <c r="BB35" s="5"/>
      <c r="BC35" s="62"/>
      <c r="BE35" s="194" t="s">
        <v>1657</v>
      </c>
      <c r="BF35" s="184"/>
      <c r="BG35" s="184"/>
      <c r="BH35" s="184"/>
      <c r="BI35" s="184"/>
      <c r="BJ35" s="184"/>
      <c r="BK35" s="81"/>
      <c r="BL35" s="280" t="s">
        <v>1561</v>
      </c>
      <c r="BM35" s="81"/>
      <c r="BN35" s="81"/>
    </row>
    <row r="36">
      <c r="A36" s="176">
        <v>32.0</v>
      </c>
      <c r="B36" s="299" t="s">
        <v>1658</v>
      </c>
      <c r="C36" s="315" t="s">
        <v>41</v>
      </c>
      <c r="D36" s="50">
        <v>3.33</v>
      </c>
      <c r="E36" s="291">
        <v>0.47</v>
      </c>
      <c r="F36" s="291"/>
      <c r="G36" s="291">
        <v>0.2</v>
      </c>
      <c r="H36" s="314"/>
      <c r="I36" s="314"/>
      <c r="J36" s="294"/>
      <c r="K36" s="294"/>
      <c r="L36" s="294"/>
      <c r="M36" s="294"/>
      <c r="N36" s="294">
        <v>0.0</v>
      </c>
      <c r="O36" s="316"/>
      <c r="P36" s="180">
        <v>1.0</v>
      </c>
      <c r="Q36" s="180">
        <v>1.0</v>
      </c>
      <c r="R36" s="5"/>
      <c r="S36" s="176">
        <v>0.13</v>
      </c>
      <c r="T36" s="176">
        <v>0.03</v>
      </c>
      <c r="U36" s="176">
        <v>0.0</v>
      </c>
      <c r="V36" s="176">
        <v>0.0</v>
      </c>
      <c r="W36" s="5"/>
      <c r="X36" s="184"/>
      <c r="Y36" s="184"/>
      <c r="Z36" s="184"/>
      <c r="AA36" s="184"/>
      <c r="AB36" s="81"/>
      <c r="AC36" s="81"/>
      <c r="AD36" s="5"/>
      <c r="AE36" s="184"/>
      <c r="AF36" s="176">
        <v>0.003</v>
      </c>
      <c r="AG36" s="184"/>
      <c r="AH36" s="184"/>
      <c r="AI36" s="176">
        <v>0.33</v>
      </c>
      <c r="AJ36" s="176">
        <v>0.33</v>
      </c>
      <c r="AK36" s="5"/>
      <c r="AL36" s="184">
        <f t="shared" ref="AL36:AM36" si="95">ROUND(E36*(5/12)+K36*(5/12)+S36+X36-AE36,2)</f>
        <v>0.33</v>
      </c>
      <c r="AM36" s="184">
        <f t="shared" si="95"/>
        <v>0.03</v>
      </c>
      <c r="AN36" s="184">
        <f t="shared" si="5"/>
        <v>0.08</v>
      </c>
      <c r="AO36" s="184">
        <f t="shared" ref="AO36:AP36" si="96">ROUND(H36*(5/12)+N36*(5/12)+U36+Z36-AG36,2)</f>
        <v>0</v>
      </c>
      <c r="AP36" s="184">
        <f t="shared" si="96"/>
        <v>0</v>
      </c>
      <c r="AQ36" s="184">
        <f t="shared" ref="AQ36:AR36" si="97">P36+AB36-AI36</f>
        <v>0.67</v>
      </c>
      <c r="AR36" s="184">
        <f t="shared" si="97"/>
        <v>0.67</v>
      </c>
      <c r="AS36" s="5"/>
      <c r="AT36" s="176"/>
      <c r="AU36" s="176"/>
      <c r="AV36" s="176"/>
      <c r="AW36" s="176"/>
      <c r="AX36" s="176"/>
      <c r="AY36" s="176"/>
      <c r="AZ36" s="176"/>
      <c r="BA36" s="180"/>
      <c r="BB36" s="5"/>
      <c r="BC36" s="62"/>
      <c r="BE36" s="184"/>
      <c r="BF36" s="184"/>
      <c r="BG36" s="184"/>
      <c r="BH36" s="184"/>
      <c r="BI36" s="184"/>
      <c r="BJ36" s="184"/>
      <c r="BK36" s="81"/>
      <c r="BL36" s="280" t="s">
        <v>1152</v>
      </c>
      <c r="BM36" s="81"/>
      <c r="BN36" s="81"/>
    </row>
    <row r="37">
      <c r="A37" s="176">
        <v>33.0</v>
      </c>
      <c r="B37" s="309" t="s">
        <v>1659</v>
      </c>
      <c r="C37" s="287" t="s">
        <v>41</v>
      </c>
      <c r="D37" s="50">
        <v>3.66</v>
      </c>
      <c r="E37" s="291">
        <v>0.14</v>
      </c>
      <c r="F37" s="291"/>
      <c r="G37" s="291">
        <v>0.2</v>
      </c>
      <c r="H37" s="314"/>
      <c r="I37" s="314"/>
      <c r="J37" s="294">
        <v>3.0</v>
      </c>
      <c r="K37" s="294">
        <v>0.8</v>
      </c>
      <c r="L37" s="294">
        <v>0.0</v>
      </c>
      <c r="M37" s="294">
        <v>0.2</v>
      </c>
      <c r="N37" s="294">
        <v>0.0</v>
      </c>
      <c r="O37" s="294">
        <v>0.0</v>
      </c>
      <c r="P37" s="180">
        <v>1.0</v>
      </c>
      <c r="Q37" s="180">
        <v>1.0</v>
      </c>
      <c r="R37" s="5"/>
      <c r="S37" s="176"/>
      <c r="T37" s="176"/>
      <c r="U37" s="176"/>
      <c r="V37" s="176"/>
      <c r="W37" s="5"/>
      <c r="X37" s="184"/>
      <c r="Y37" s="184"/>
      <c r="Z37" s="184"/>
      <c r="AA37" s="184"/>
      <c r="AB37" s="184"/>
      <c r="AC37" s="184"/>
      <c r="AD37" s="5"/>
      <c r="AE37" s="184"/>
      <c r="AF37" s="176"/>
      <c r="AG37" s="184"/>
      <c r="AH37" s="184"/>
      <c r="AI37" s="184"/>
      <c r="AJ37" s="184"/>
      <c r="AK37" s="5"/>
      <c r="AL37" s="184">
        <f t="shared" ref="AL37:AM37" si="98">ROUND(E37*(5/12)+K37*(5/12)+S37+X37-AE37,2)</f>
        <v>0.39</v>
      </c>
      <c r="AM37" s="184">
        <f t="shared" si="98"/>
        <v>0</v>
      </c>
      <c r="AN37" s="184">
        <f t="shared" si="5"/>
        <v>0.17</v>
      </c>
      <c r="AO37" s="184">
        <f t="shared" ref="AO37:AP37" si="99">ROUND(H37*(5/12)+N37*(5/12)+U37+Z37-AG37,2)</f>
        <v>0</v>
      </c>
      <c r="AP37" s="184">
        <f t="shared" si="99"/>
        <v>0</v>
      </c>
      <c r="AQ37" s="184">
        <f t="shared" ref="AQ37:AR37" si="100">P37+AB37-AI37</f>
        <v>1</v>
      </c>
      <c r="AR37" s="184">
        <f t="shared" si="100"/>
        <v>1</v>
      </c>
      <c r="AS37" s="5"/>
      <c r="AT37" s="176">
        <v>0.5</v>
      </c>
      <c r="AU37" s="176">
        <v>0.2</v>
      </c>
      <c r="AV37" s="176">
        <v>0.2</v>
      </c>
      <c r="AW37" s="176">
        <v>0.0</v>
      </c>
      <c r="AX37" s="176">
        <v>0.008</v>
      </c>
      <c r="AY37" s="176">
        <v>1.0</v>
      </c>
      <c r="AZ37" s="176">
        <v>1.0</v>
      </c>
      <c r="BA37" s="180" t="s">
        <v>1660</v>
      </c>
      <c r="BB37" s="5"/>
      <c r="BC37" s="62"/>
      <c r="BE37" s="184"/>
      <c r="BF37" s="184"/>
      <c r="BG37" s="184"/>
      <c r="BH37" s="184"/>
      <c r="BI37" s="184"/>
      <c r="BJ37" s="184"/>
      <c r="BK37" s="81"/>
      <c r="BL37" s="280" t="s">
        <v>1561</v>
      </c>
      <c r="BM37" s="81"/>
      <c r="BN37" s="81"/>
    </row>
    <row r="38">
      <c r="A38" s="176">
        <v>34.0</v>
      </c>
      <c r="B38" s="286" t="s">
        <v>1661</v>
      </c>
      <c r="C38" s="287" t="s">
        <v>41</v>
      </c>
      <c r="D38" s="179">
        <v>3.33</v>
      </c>
      <c r="E38" s="292">
        <v>0.4291</v>
      </c>
      <c r="F38" s="292">
        <v>0.095</v>
      </c>
      <c r="G38" s="292">
        <v>0.1</v>
      </c>
      <c r="H38" s="297"/>
      <c r="I38" s="292">
        <v>0.0459</v>
      </c>
      <c r="J38" s="294">
        <v>3.33</v>
      </c>
      <c r="K38" s="294">
        <v>0.45</v>
      </c>
      <c r="L38" s="294">
        <v>0.09</v>
      </c>
      <c r="M38" s="294">
        <v>0.1</v>
      </c>
      <c r="N38" s="294">
        <v>0.0</v>
      </c>
      <c r="O38" s="294">
        <v>0.03</v>
      </c>
      <c r="P38" s="180">
        <v>1.0</v>
      </c>
      <c r="Q38" s="180">
        <v>1.0</v>
      </c>
      <c r="R38" s="5"/>
      <c r="S38" s="176">
        <v>0.0</v>
      </c>
      <c r="T38" s="176">
        <v>0.0</v>
      </c>
      <c r="U38" s="176">
        <v>0.0</v>
      </c>
      <c r="V38" s="176">
        <v>0.0</v>
      </c>
      <c r="W38" s="5"/>
      <c r="X38" s="184"/>
      <c r="Y38" s="176"/>
      <c r="Z38" s="184"/>
      <c r="AA38" s="184"/>
      <c r="AB38" s="184"/>
      <c r="AC38" s="184"/>
      <c r="AD38" s="317"/>
      <c r="AE38" s="213">
        <v>1.0</v>
      </c>
      <c r="AF38" s="304"/>
      <c r="AG38" s="304"/>
      <c r="AH38" s="304"/>
      <c r="AI38" s="213">
        <v>0.58</v>
      </c>
      <c r="AJ38" s="213">
        <v>0.58</v>
      </c>
      <c r="AK38" s="5"/>
      <c r="AL38" s="184">
        <f t="shared" ref="AL38:AM38" si="101">ROUND(E38*(5/12)+K38*(5/12)+S38+X38-AE38,2)</f>
        <v>-0.63</v>
      </c>
      <c r="AM38" s="184">
        <f t="shared" si="101"/>
        <v>0.08</v>
      </c>
      <c r="AN38" s="184">
        <f t="shared" si="5"/>
        <v>0.08</v>
      </c>
      <c r="AO38" s="184">
        <f t="shared" ref="AO38:AP38" si="102">ROUND(H38*(5/12)+N38*(5/12)+U38+Z38-AG38,2)</f>
        <v>0</v>
      </c>
      <c r="AP38" s="184">
        <f t="shared" si="102"/>
        <v>0.03</v>
      </c>
      <c r="AQ38" s="184">
        <f t="shared" ref="AQ38:AR38" si="103">P38+AB38-AI38</f>
        <v>0.42</v>
      </c>
      <c r="AR38" s="184">
        <f t="shared" si="103"/>
        <v>0.42</v>
      </c>
      <c r="AS38" s="5"/>
      <c r="AT38" s="176">
        <v>0.1</v>
      </c>
      <c r="AU38" s="176">
        <v>0.112</v>
      </c>
      <c r="AV38" s="176">
        <v>0.1</v>
      </c>
      <c r="AW38" s="176">
        <v>0.0</v>
      </c>
      <c r="AX38" s="176">
        <v>0.036</v>
      </c>
      <c r="AY38" s="176">
        <v>1.0</v>
      </c>
      <c r="AZ38" s="176">
        <v>1.0</v>
      </c>
      <c r="BA38" s="196" t="s">
        <v>1662</v>
      </c>
      <c r="BB38" s="5"/>
      <c r="BC38" s="62"/>
      <c r="BE38" s="184"/>
      <c r="BF38" s="184"/>
      <c r="BG38" s="184"/>
      <c r="BH38" s="184"/>
      <c r="BI38" s="184"/>
      <c r="BJ38" s="184"/>
      <c r="BK38" s="81"/>
      <c r="BL38" s="280" t="s">
        <v>1152</v>
      </c>
      <c r="BM38" s="81"/>
      <c r="BN38" s="81"/>
    </row>
    <row r="39">
      <c r="A39" s="176">
        <v>35.0</v>
      </c>
      <c r="B39" s="286" t="s">
        <v>1663</v>
      </c>
      <c r="C39" s="287" t="s">
        <v>41</v>
      </c>
      <c r="D39" s="179">
        <v>3.0</v>
      </c>
      <c r="E39" s="292">
        <v>0.4591</v>
      </c>
      <c r="F39" s="292">
        <v>0.095</v>
      </c>
      <c r="G39" s="292">
        <v>0.2</v>
      </c>
      <c r="H39" s="292">
        <v>0.2</v>
      </c>
      <c r="I39" s="292">
        <v>0.0459</v>
      </c>
      <c r="J39" s="294">
        <v>3.0</v>
      </c>
      <c r="K39" s="294">
        <v>0.43</v>
      </c>
      <c r="L39" s="294">
        <v>0.13</v>
      </c>
      <c r="M39" s="294">
        <v>0.2</v>
      </c>
      <c r="N39" s="294">
        <v>0.2</v>
      </c>
      <c r="O39" s="294">
        <v>0.04</v>
      </c>
      <c r="P39" s="180">
        <v>1.0</v>
      </c>
      <c r="Q39" s="180">
        <v>1.0</v>
      </c>
      <c r="R39" s="5"/>
      <c r="S39" s="176">
        <v>0.17</v>
      </c>
      <c r="T39" s="176">
        <v>0.0</v>
      </c>
      <c r="U39" s="176">
        <v>0.0</v>
      </c>
      <c r="V39" s="176">
        <v>0.0</v>
      </c>
      <c r="W39" s="5"/>
      <c r="X39" s="184"/>
      <c r="Y39" s="184"/>
      <c r="Z39" s="184"/>
      <c r="AA39" s="184"/>
      <c r="AB39" s="184"/>
      <c r="AC39" s="184"/>
      <c r="AD39" s="5"/>
      <c r="AE39" s="176">
        <v>0.02</v>
      </c>
      <c r="AF39" s="184"/>
      <c r="AG39" s="184"/>
      <c r="AH39" s="184"/>
      <c r="AI39" s="184"/>
      <c r="AJ39" s="184"/>
      <c r="AK39" s="5"/>
      <c r="AL39" s="184">
        <f t="shared" ref="AL39:AM39" si="104">ROUND(E39*(5/12)+K39*(5/12)+S39+X39-AE39,2)</f>
        <v>0.52</v>
      </c>
      <c r="AM39" s="184">
        <f t="shared" si="104"/>
        <v>0.09</v>
      </c>
      <c r="AN39" s="184">
        <f t="shared" si="5"/>
        <v>0.17</v>
      </c>
      <c r="AO39" s="184">
        <f t="shared" ref="AO39:AP39" si="105">ROUND(H39*(5/12)+N39*(5/12)+U39+Z39-AG39,2)</f>
        <v>0.17</v>
      </c>
      <c r="AP39" s="184">
        <f t="shared" si="105"/>
        <v>0.04</v>
      </c>
      <c r="AQ39" s="184">
        <f t="shared" ref="AQ39:AR39" si="106">P39+AB39-AI39</f>
        <v>1</v>
      </c>
      <c r="AR39" s="184">
        <f t="shared" si="106"/>
        <v>1</v>
      </c>
      <c r="AS39" s="5"/>
      <c r="AT39" s="176">
        <v>1.5</v>
      </c>
      <c r="AU39" s="176">
        <v>0.12</v>
      </c>
      <c r="AV39" s="176">
        <v>0.2</v>
      </c>
      <c r="AW39" s="176">
        <v>0.25</v>
      </c>
      <c r="AX39" s="176">
        <v>0.067</v>
      </c>
      <c r="AY39" s="176">
        <v>1.0</v>
      </c>
      <c r="AZ39" s="176">
        <v>1.0</v>
      </c>
      <c r="BA39" s="196" t="s">
        <v>1664</v>
      </c>
      <c r="BB39" s="5"/>
      <c r="BC39" s="62"/>
      <c r="BE39" s="184"/>
      <c r="BF39" s="184"/>
      <c r="BG39" s="184"/>
      <c r="BH39" s="184"/>
      <c r="BI39" s="184"/>
      <c r="BJ39" s="184"/>
      <c r="BK39" s="81"/>
      <c r="BL39" s="280" t="s">
        <v>1152</v>
      </c>
      <c r="BM39" s="81"/>
      <c r="BN39" s="81"/>
    </row>
    <row r="40">
      <c r="A40" s="176">
        <v>36.0</v>
      </c>
      <c r="B40" s="286" t="s">
        <v>1237</v>
      </c>
      <c r="C40" s="287" t="s">
        <v>41</v>
      </c>
      <c r="D40" s="179">
        <v>3.67</v>
      </c>
      <c r="E40" s="292">
        <v>0.1891</v>
      </c>
      <c r="F40" s="292">
        <v>0.095</v>
      </c>
      <c r="G40" s="292"/>
      <c r="H40" s="297"/>
      <c r="I40" s="292">
        <v>0.0459</v>
      </c>
      <c r="J40" s="294">
        <v>3.67</v>
      </c>
      <c r="K40" s="294">
        <v>0.21</v>
      </c>
      <c r="L40" s="294">
        <v>0.09</v>
      </c>
      <c r="M40" s="294">
        <v>0.0</v>
      </c>
      <c r="N40" s="294">
        <v>0.0</v>
      </c>
      <c r="O40" s="294">
        <v>0.03</v>
      </c>
      <c r="P40" s="180">
        <v>1.0</v>
      </c>
      <c r="Q40" s="180">
        <v>1.0</v>
      </c>
      <c r="R40" s="5"/>
      <c r="S40" s="176">
        <v>0.0</v>
      </c>
      <c r="T40" s="176">
        <v>0.0</v>
      </c>
      <c r="U40" s="176">
        <v>0.0</v>
      </c>
      <c r="V40" s="176">
        <v>0.0</v>
      </c>
      <c r="W40" s="5"/>
      <c r="X40" s="176">
        <v>0.03</v>
      </c>
      <c r="Y40" s="184"/>
      <c r="Z40" s="176">
        <v>0.08</v>
      </c>
      <c r="AA40" s="184"/>
      <c r="AB40" s="184"/>
      <c r="AC40" s="184"/>
      <c r="AD40" s="5"/>
      <c r="AE40" s="176"/>
      <c r="AF40" s="184"/>
      <c r="AG40" s="184"/>
      <c r="AH40" s="184"/>
      <c r="AI40" s="184"/>
      <c r="AJ40" s="184"/>
      <c r="AK40" s="5"/>
      <c r="AL40" s="184">
        <f t="shared" ref="AL40:AM40" si="107">ROUND(E40*(5/12)+K40*(5/12)+S40+X40-AE40,2)</f>
        <v>0.2</v>
      </c>
      <c r="AM40" s="184">
        <f t="shared" si="107"/>
        <v>0.08</v>
      </c>
      <c r="AN40" s="184">
        <f t="shared" si="5"/>
        <v>0</v>
      </c>
      <c r="AO40" s="184">
        <f t="shared" ref="AO40:AP40" si="108">ROUND(H40*(5/12)+N40*(5/12)+U40+Z40-AG40,2)</f>
        <v>0.08</v>
      </c>
      <c r="AP40" s="184">
        <f t="shared" si="108"/>
        <v>0.03</v>
      </c>
      <c r="AQ40" s="184">
        <f t="shared" ref="AQ40:AR40" si="109">P40+AB40-AI40</f>
        <v>1</v>
      </c>
      <c r="AR40" s="184">
        <f t="shared" si="109"/>
        <v>1</v>
      </c>
      <c r="AS40" s="5"/>
      <c r="AT40" s="176">
        <v>0.5</v>
      </c>
      <c r="AU40" s="176">
        <v>0.1</v>
      </c>
      <c r="AV40" s="176">
        <v>0.0</v>
      </c>
      <c r="AW40" s="176">
        <v>0.08</v>
      </c>
      <c r="AX40" s="176">
        <v>0.067</v>
      </c>
      <c r="AY40" s="176">
        <v>1.0</v>
      </c>
      <c r="AZ40" s="176">
        <v>1.0</v>
      </c>
      <c r="BA40" s="196" t="s">
        <v>1665</v>
      </c>
      <c r="BB40" s="5"/>
      <c r="BC40" s="62"/>
      <c r="BE40" s="198">
        <v>0.41</v>
      </c>
      <c r="BF40" s="184"/>
      <c r="BG40" s="184"/>
      <c r="BH40" s="184"/>
      <c r="BI40" s="184"/>
      <c r="BJ40" s="198">
        <v>1.0</v>
      </c>
      <c r="BK40" s="81"/>
      <c r="BL40" s="280" t="s">
        <v>1561</v>
      </c>
      <c r="BM40" s="81"/>
      <c r="BN40" s="81"/>
    </row>
    <row r="41">
      <c r="A41" s="176">
        <v>37.0</v>
      </c>
      <c r="B41" s="286" t="s">
        <v>1666</v>
      </c>
      <c r="C41" s="287" t="s">
        <v>41</v>
      </c>
      <c r="D41" s="179">
        <v>3.67</v>
      </c>
      <c r="E41" s="292">
        <v>0.1891</v>
      </c>
      <c r="F41" s="292">
        <v>0.095</v>
      </c>
      <c r="G41" s="292"/>
      <c r="H41" s="297"/>
      <c r="I41" s="292">
        <v>0.0459</v>
      </c>
      <c r="J41" s="294">
        <v>3.67</v>
      </c>
      <c r="K41" s="294">
        <v>0.21</v>
      </c>
      <c r="L41" s="294">
        <v>0.09</v>
      </c>
      <c r="M41" s="294">
        <v>0.0</v>
      </c>
      <c r="N41" s="294">
        <v>0.0</v>
      </c>
      <c r="O41" s="294">
        <v>0.03</v>
      </c>
      <c r="P41" s="180">
        <v>1.0</v>
      </c>
      <c r="Q41" s="180">
        <v>1.0</v>
      </c>
      <c r="R41" s="5"/>
      <c r="S41" s="176">
        <v>0.0</v>
      </c>
      <c r="T41" s="176">
        <v>0.0</v>
      </c>
      <c r="U41" s="176">
        <v>0.0</v>
      </c>
      <c r="V41" s="176">
        <v>0.0</v>
      </c>
      <c r="W41" s="5"/>
      <c r="X41" s="184"/>
      <c r="Y41" s="184"/>
      <c r="Z41" s="184"/>
      <c r="AA41" s="184"/>
      <c r="AB41" s="184"/>
      <c r="AC41" s="184"/>
      <c r="AD41" s="5"/>
      <c r="AE41" s="176">
        <v>0.05</v>
      </c>
      <c r="AF41" s="184"/>
      <c r="AG41" s="184"/>
      <c r="AH41" s="184"/>
      <c r="AI41" s="184"/>
      <c r="AJ41" s="184"/>
      <c r="AK41" s="5"/>
      <c r="AL41" s="184">
        <f t="shared" ref="AL41:AM41" si="110">ROUND(E41*(5/12)+K41*(5/12)+S41+X41-AE41,2)</f>
        <v>0.12</v>
      </c>
      <c r="AM41" s="184">
        <f t="shared" si="110"/>
        <v>0.08</v>
      </c>
      <c r="AN41" s="184">
        <f t="shared" si="5"/>
        <v>0</v>
      </c>
      <c r="AO41" s="184">
        <f t="shared" ref="AO41:AP41" si="111">ROUND(H41*(5/12)+N41*(5/12)+U41+Z41-AG41,2)</f>
        <v>0</v>
      </c>
      <c r="AP41" s="184">
        <f t="shared" si="111"/>
        <v>0.03</v>
      </c>
      <c r="AQ41" s="184">
        <f t="shared" ref="AQ41:AR41" si="112">P41+AB41-AI41</f>
        <v>1</v>
      </c>
      <c r="AR41" s="184">
        <f t="shared" si="112"/>
        <v>1</v>
      </c>
      <c r="AS41" s="5"/>
      <c r="AT41" s="176">
        <v>0.5</v>
      </c>
      <c r="AU41" s="176">
        <v>0.023</v>
      </c>
      <c r="AV41" s="176">
        <v>0.0</v>
      </c>
      <c r="AW41" s="176">
        <v>0.0</v>
      </c>
      <c r="AX41" s="176">
        <v>0.032</v>
      </c>
      <c r="AY41" s="176">
        <v>1.0</v>
      </c>
      <c r="AZ41" s="176">
        <v>1.5</v>
      </c>
      <c r="BA41" s="196" t="s">
        <v>1667</v>
      </c>
      <c r="BB41" s="5"/>
      <c r="BC41" s="62"/>
      <c r="BE41" s="184"/>
      <c r="BF41" s="184"/>
      <c r="BG41" s="184"/>
      <c r="BH41" s="184"/>
      <c r="BI41" s="184"/>
      <c r="BJ41" s="184"/>
      <c r="BK41" s="81"/>
      <c r="BL41" s="280" t="s">
        <v>1152</v>
      </c>
      <c r="BM41" s="81"/>
      <c r="BN41" s="280" t="s">
        <v>1668</v>
      </c>
    </row>
    <row r="42">
      <c r="A42" s="176">
        <v>38.0</v>
      </c>
      <c r="B42" s="299" t="s">
        <v>1669</v>
      </c>
      <c r="C42" s="315" t="s">
        <v>93</v>
      </c>
      <c r="D42" s="179">
        <v>1.0</v>
      </c>
      <c r="E42" s="289">
        <v>0.22</v>
      </c>
      <c r="F42" s="289">
        <v>0.11</v>
      </c>
      <c r="G42" s="289">
        <v>0.28</v>
      </c>
      <c r="H42" s="289">
        <v>0.0</v>
      </c>
      <c r="I42" s="289">
        <v>0.39</v>
      </c>
      <c r="J42" s="318"/>
      <c r="K42" s="318"/>
      <c r="L42" s="318"/>
      <c r="M42" s="318"/>
      <c r="N42" s="318"/>
      <c r="O42" s="319"/>
      <c r="P42" s="180">
        <v>1.0</v>
      </c>
      <c r="Q42" s="180">
        <v>1.0</v>
      </c>
      <c r="R42" s="5"/>
      <c r="S42" s="176">
        <v>0.08</v>
      </c>
      <c r="T42" s="176">
        <v>0.08</v>
      </c>
      <c r="U42" s="176">
        <v>0.17</v>
      </c>
      <c r="V42" s="176">
        <v>0.0</v>
      </c>
      <c r="W42" s="5"/>
      <c r="X42" s="176">
        <v>0.267</v>
      </c>
      <c r="Y42" s="176">
        <v>1.59</v>
      </c>
      <c r="Z42" s="184"/>
      <c r="AA42" s="184"/>
      <c r="AB42" s="184"/>
      <c r="AC42" s="184"/>
      <c r="AD42" s="5"/>
      <c r="AE42" s="184"/>
      <c r="AF42" s="184"/>
      <c r="AG42" s="184"/>
      <c r="AH42" s="184"/>
      <c r="AI42" s="184"/>
      <c r="AJ42" s="184"/>
      <c r="AK42" s="5"/>
      <c r="AL42" s="184">
        <f t="shared" ref="AL42:AM42" si="113">ROUND(E42*(5/12)+K42*(5/12)+S42+X42-AE42,2)</f>
        <v>0.44</v>
      </c>
      <c r="AM42" s="184">
        <f t="shared" si="113"/>
        <v>1.72</v>
      </c>
      <c r="AN42" s="184">
        <f t="shared" si="5"/>
        <v>0.12</v>
      </c>
      <c r="AO42" s="184">
        <f t="shared" ref="AO42:AP42" si="114">ROUND(H42*(5/12)+N42*(5/12)+U42+Z42-AG42,2)</f>
        <v>0.17</v>
      </c>
      <c r="AP42" s="184">
        <f t="shared" si="114"/>
        <v>0.16</v>
      </c>
      <c r="AQ42" s="184">
        <f t="shared" ref="AQ42:AR42" si="115">P42+AB42-AI42</f>
        <v>1</v>
      </c>
      <c r="AR42" s="184">
        <f t="shared" si="115"/>
        <v>1</v>
      </c>
      <c r="AS42" s="5"/>
      <c r="AT42" s="176"/>
      <c r="AU42" s="176"/>
      <c r="AV42" s="176"/>
      <c r="AW42" s="176"/>
      <c r="AX42" s="176"/>
      <c r="AY42" s="176"/>
      <c r="AZ42" s="176"/>
      <c r="BA42" s="205" t="s">
        <v>1670</v>
      </c>
      <c r="BB42" s="5"/>
      <c r="BC42" s="62"/>
      <c r="BE42" s="184"/>
      <c r="BF42" s="184"/>
      <c r="BG42" s="184"/>
      <c r="BH42" s="184"/>
      <c r="BI42" s="198">
        <v>1.32</v>
      </c>
      <c r="BJ42" s="184"/>
      <c r="BK42" s="81"/>
      <c r="BL42" s="81"/>
      <c r="BM42" s="81"/>
      <c r="BN42" s="81"/>
    </row>
    <row r="43">
      <c r="A43" s="176">
        <v>39.0</v>
      </c>
      <c r="B43" s="299" t="s">
        <v>1671</v>
      </c>
      <c r="C43" s="315" t="s">
        <v>93</v>
      </c>
      <c r="D43" s="50">
        <v>3.0</v>
      </c>
      <c r="E43" s="291">
        <v>1.27</v>
      </c>
      <c r="F43" s="292">
        <v>0.45</v>
      </c>
      <c r="G43" s="292">
        <v>0.28</v>
      </c>
      <c r="H43" s="292">
        <v>0.0</v>
      </c>
      <c r="I43" s="292">
        <v>0.0</v>
      </c>
      <c r="J43" s="294"/>
      <c r="K43" s="294"/>
      <c r="L43" s="294"/>
      <c r="M43" s="294"/>
      <c r="N43" s="316"/>
      <c r="O43" s="316"/>
      <c r="P43" s="180">
        <v>1.0</v>
      </c>
      <c r="Q43" s="180">
        <v>1.0</v>
      </c>
      <c r="R43" s="5"/>
      <c r="S43" s="176">
        <v>0.25</v>
      </c>
      <c r="T43" s="176">
        <v>0.08</v>
      </c>
      <c r="U43" s="176">
        <v>0.0</v>
      </c>
      <c r="V43" s="176">
        <v>0.0</v>
      </c>
      <c r="W43" s="5"/>
      <c r="X43" s="176"/>
      <c r="Y43" s="176">
        <v>0.42</v>
      </c>
      <c r="Z43" s="184"/>
      <c r="AA43" s="184"/>
      <c r="AB43" s="184"/>
      <c r="AC43" s="184"/>
      <c r="AD43" s="5"/>
      <c r="AE43" s="176">
        <v>0.5</v>
      </c>
      <c r="AF43" s="184"/>
      <c r="AG43" s="184"/>
      <c r="AH43" s="184"/>
      <c r="AI43" s="184"/>
      <c r="AJ43" s="176">
        <v>0.25</v>
      </c>
      <c r="AK43" s="5"/>
      <c r="AL43" s="184">
        <f t="shared" ref="AL43:AM43" si="116">ROUND(E43*(5/12)+K43*(5/12)+S43+X43-AE43,2)</f>
        <v>0.28</v>
      </c>
      <c r="AM43" s="184">
        <f t="shared" si="116"/>
        <v>0.69</v>
      </c>
      <c r="AN43" s="184">
        <f t="shared" si="5"/>
        <v>0.12</v>
      </c>
      <c r="AO43" s="184">
        <f t="shared" ref="AO43:AP43" si="117">ROUND(H43*(5/12)+N43*(5/12)+U43+Z43-AG43,2)</f>
        <v>0</v>
      </c>
      <c r="AP43" s="184">
        <f t="shared" si="117"/>
        <v>0</v>
      </c>
      <c r="AQ43" s="184">
        <f t="shared" ref="AQ43:AR43" si="118">P43+AB43-AI43</f>
        <v>1</v>
      </c>
      <c r="AR43" s="184">
        <f t="shared" si="118"/>
        <v>0.75</v>
      </c>
      <c r="AS43" s="5"/>
      <c r="AT43" s="176"/>
      <c r="AU43" s="176"/>
      <c r="AV43" s="176"/>
      <c r="AW43" s="176"/>
      <c r="AX43" s="176"/>
      <c r="AY43" s="176"/>
      <c r="AZ43" s="176"/>
      <c r="BA43" s="205" t="s">
        <v>1670</v>
      </c>
      <c r="BB43" s="5"/>
      <c r="BC43" s="62"/>
      <c r="BE43" s="184"/>
      <c r="BF43" s="184"/>
      <c r="BG43" s="184"/>
      <c r="BH43" s="184"/>
      <c r="BI43" s="198" t="s">
        <v>1672</v>
      </c>
      <c r="BJ43" s="184"/>
      <c r="BK43" s="81"/>
      <c r="BL43" s="81"/>
      <c r="BM43" s="81"/>
      <c r="BN43" s="81"/>
    </row>
    <row r="44">
      <c r="A44" s="176">
        <v>40.0</v>
      </c>
      <c r="B44" s="320" t="s">
        <v>1255</v>
      </c>
      <c r="C44" s="287" t="s">
        <v>93</v>
      </c>
      <c r="D44" s="50">
        <v>3.66</v>
      </c>
      <c r="E44" s="291">
        <v>0.87</v>
      </c>
      <c r="F44" s="292">
        <v>0.24</v>
      </c>
      <c r="G44" s="292">
        <v>0.23</v>
      </c>
      <c r="H44" s="292">
        <v>0.0</v>
      </c>
      <c r="I44" s="292">
        <v>0.0</v>
      </c>
      <c r="J44" s="294">
        <v>1.0</v>
      </c>
      <c r="K44" s="294">
        <v>0.33</v>
      </c>
      <c r="L44" s="294">
        <v>0.37</v>
      </c>
      <c r="M44" s="294">
        <v>0.3</v>
      </c>
      <c r="N44" s="316"/>
      <c r="O44" s="316"/>
      <c r="P44" s="180">
        <v>1.0</v>
      </c>
      <c r="Q44" s="180">
        <v>1.0</v>
      </c>
      <c r="R44" s="5"/>
      <c r="S44" s="176">
        <v>0.13</v>
      </c>
      <c r="T44" s="176">
        <v>0.04</v>
      </c>
      <c r="U44" s="176">
        <v>0.0</v>
      </c>
      <c r="V44" s="176">
        <v>0.0</v>
      </c>
      <c r="W44" s="5"/>
      <c r="X44" s="176">
        <v>0.86</v>
      </c>
      <c r="Y44" s="176">
        <v>0.21</v>
      </c>
      <c r="Z44" s="184"/>
      <c r="AA44" s="184"/>
      <c r="AB44" s="176">
        <v>1.0</v>
      </c>
      <c r="AC44" s="184"/>
      <c r="AD44" s="5"/>
      <c r="AE44" s="184"/>
      <c r="AF44" s="176"/>
      <c r="AG44" s="184"/>
      <c r="AH44" s="184"/>
      <c r="AI44" s="184"/>
      <c r="AJ44" s="184"/>
      <c r="AK44" s="5"/>
      <c r="AL44" s="184">
        <f t="shared" ref="AL44:AM44" si="119">ROUND(E44*(5/12)+K44*(5/12)+S44+X44-AE44,2)</f>
        <v>1.49</v>
      </c>
      <c r="AM44" s="184">
        <f t="shared" si="119"/>
        <v>0.5</v>
      </c>
      <c r="AN44" s="184">
        <f t="shared" si="5"/>
        <v>0.22</v>
      </c>
      <c r="AO44" s="184">
        <f t="shared" ref="AO44:AP44" si="120">ROUND(H44*(5/12)+N44*(5/12)+U44+Z44-AG44,2)</f>
        <v>0</v>
      </c>
      <c r="AP44" s="184">
        <f t="shared" si="120"/>
        <v>0</v>
      </c>
      <c r="AQ44" s="184">
        <f t="shared" ref="AQ44:AR44" si="121">P44+AB44-AI44</f>
        <v>2</v>
      </c>
      <c r="AR44" s="184">
        <f t="shared" si="121"/>
        <v>1</v>
      </c>
      <c r="AS44" s="5"/>
      <c r="AT44" s="176">
        <v>2.0</v>
      </c>
      <c r="AU44" s="176">
        <v>0.0</v>
      </c>
      <c r="AV44" s="176">
        <v>0.1</v>
      </c>
      <c r="AW44" s="176">
        <v>0.0</v>
      </c>
      <c r="AX44" s="176">
        <v>0.0</v>
      </c>
      <c r="AY44" s="176">
        <v>2.0</v>
      </c>
      <c r="AZ44" s="176">
        <v>1.0</v>
      </c>
      <c r="BA44" s="180" t="s">
        <v>1673</v>
      </c>
      <c r="BB44" s="5"/>
      <c r="BC44" s="62"/>
      <c r="BE44" s="184"/>
      <c r="BF44" s="184"/>
      <c r="BG44" s="184"/>
      <c r="BH44" s="184"/>
      <c r="BI44" s="184"/>
      <c r="BJ44" s="184"/>
      <c r="BK44" s="81"/>
      <c r="BL44" s="280" t="s">
        <v>1152</v>
      </c>
      <c r="BM44" s="81"/>
      <c r="BN44" s="280" t="s">
        <v>1674</v>
      </c>
    </row>
    <row r="45">
      <c r="A45" s="176">
        <v>41.0</v>
      </c>
      <c r="B45" s="309" t="s">
        <v>1675</v>
      </c>
      <c r="C45" s="287" t="s">
        <v>93</v>
      </c>
      <c r="D45" s="50">
        <v>1.33</v>
      </c>
      <c r="E45" s="291">
        <v>0.94</v>
      </c>
      <c r="F45" s="292">
        <v>0.3</v>
      </c>
      <c r="G45" s="292">
        <v>0.23</v>
      </c>
      <c r="H45" s="292">
        <v>1.2</v>
      </c>
      <c r="I45" s="292">
        <v>0.0</v>
      </c>
      <c r="J45" s="294">
        <v>1.0</v>
      </c>
      <c r="K45" s="294">
        <v>0.82</v>
      </c>
      <c r="L45" s="294">
        <v>0.3</v>
      </c>
      <c r="M45" s="294">
        <v>0.3</v>
      </c>
      <c r="N45" s="294">
        <v>1.35</v>
      </c>
      <c r="O45" s="294">
        <v>0.23</v>
      </c>
      <c r="P45" s="180">
        <v>1.0</v>
      </c>
      <c r="Q45" s="180">
        <v>1.0</v>
      </c>
      <c r="R45" s="5"/>
      <c r="S45" s="176">
        <v>0.17</v>
      </c>
      <c r="T45" s="176">
        <v>0.04</v>
      </c>
      <c r="U45" s="176">
        <v>0.13</v>
      </c>
      <c r="V45" s="176">
        <v>0.0</v>
      </c>
      <c r="W45" s="5"/>
      <c r="X45" s="176">
        <v>0.11</v>
      </c>
      <c r="Y45" s="176">
        <v>0.257</v>
      </c>
      <c r="Z45" s="184"/>
      <c r="AA45" s="176">
        <v>0.21</v>
      </c>
      <c r="AB45" s="184"/>
      <c r="AC45" s="184"/>
      <c r="AD45" s="5"/>
      <c r="AE45" s="184"/>
      <c r="AF45" s="184"/>
      <c r="AG45" s="176">
        <v>0.43</v>
      </c>
      <c r="AI45" s="184"/>
      <c r="AJ45" s="184"/>
      <c r="AK45" s="5"/>
      <c r="AL45" s="184">
        <f t="shared" ref="AL45:AM45" si="122">ROUND(E45*(5/12)+K45*(5/12)+S45+X45-AE45,2)</f>
        <v>1.01</v>
      </c>
      <c r="AM45" s="184">
        <f t="shared" si="122"/>
        <v>0.55</v>
      </c>
      <c r="AN45" s="184">
        <f t="shared" si="5"/>
        <v>0.22</v>
      </c>
      <c r="AO45" s="184">
        <f t="shared" ref="AO45:AP45" si="123">ROUND(H45*(5/12)+N45*(5/12)+U45+Z45-AG45,2)</f>
        <v>0.76</v>
      </c>
      <c r="AP45" s="184">
        <f t="shared" si="123"/>
        <v>0.31</v>
      </c>
      <c r="AQ45" s="184">
        <f t="shared" ref="AQ45:AR45" si="124">P45+AB45-AI45</f>
        <v>1</v>
      </c>
      <c r="AR45" s="184">
        <f t="shared" si="124"/>
        <v>1</v>
      </c>
      <c r="AS45" s="5"/>
      <c r="AT45" s="176">
        <v>1.5</v>
      </c>
      <c r="AU45" s="176">
        <v>0.0</v>
      </c>
      <c r="AV45" s="176">
        <v>0.0</v>
      </c>
      <c r="AW45" s="176">
        <v>0.0</v>
      </c>
      <c r="AX45" s="176">
        <v>0.21</v>
      </c>
      <c r="AY45" s="176">
        <v>0.0</v>
      </c>
      <c r="AZ45" s="176">
        <v>0.0</v>
      </c>
      <c r="BA45" s="180" t="s">
        <v>1676</v>
      </c>
      <c r="BB45" s="5"/>
      <c r="BC45" s="62"/>
      <c r="BE45" s="184"/>
      <c r="BF45" s="184"/>
      <c r="BG45" s="184"/>
      <c r="BH45" s="184"/>
      <c r="BI45" s="184"/>
      <c r="BJ45" s="184"/>
      <c r="BK45" s="81"/>
      <c r="BL45" s="81"/>
      <c r="BM45" s="81"/>
      <c r="BN45" s="81"/>
    </row>
    <row r="46">
      <c r="A46" s="176">
        <v>42.0</v>
      </c>
      <c r="B46" s="309" t="s">
        <v>1677</v>
      </c>
      <c r="C46" s="287" t="s">
        <v>93</v>
      </c>
      <c r="D46" s="50">
        <v>1.5</v>
      </c>
      <c r="E46" s="291">
        <v>1.23</v>
      </c>
      <c r="F46" s="291">
        <v>0.11</v>
      </c>
      <c r="G46" s="291">
        <v>0.32</v>
      </c>
      <c r="H46" s="291">
        <v>0.45</v>
      </c>
      <c r="I46" s="291">
        <v>0.39</v>
      </c>
      <c r="J46" s="294">
        <v>1.0</v>
      </c>
      <c r="K46" s="294">
        <v>0.85</v>
      </c>
      <c r="L46" s="294">
        <v>0.28</v>
      </c>
      <c r="M46" s="294">
        <v>0.3</v>
      </c>
      <c r="N46" s="294">
        <v>0.2</v>
      </c>
      <c r="O46" s="294">
        <v>0.37</v>
      </c>
      <c r="P46" s="180">
        <v>1.0</v>
      </c>
      <c r="Q46" s="180">
        <v>1.0</v>
      </c>
      <c r="R46" s="5"/>
      <c r="S46" s="176">
        <v>0.17</v>
      </c>
      <c r="T46" s="176">
        <v>0.0</v>
      </c>
      <c r="U46" s="176">
        <v>0.17</v>
      </c>
      <c r="V46" s="176">
        <v>0.17</v>
      </c>
      <c r="W46" s="5"/>
      <c r="X46" s="184"/>
      <c r="Y46" s="176">
        <v>0.01</v>
      </c>
      <c r="Z46" s="184"/>
      <c r="AA46" s="176"/>
      <c r="AB46" s="184"/>
      <c r="AC46" s="184"/>
      <c r="AD46" s="5"/>
      <c r="AE46" s="176">
        <v>0.58</v>
      </c>
      <c r="AF46" s="184"/>
      <c r="AG46" s="176">
        <v>0.165</v>
      </c>
      <c r="AH46" s="184"/>
      <c r="AI46" s="184"/>
      <c r="AJ46" s="184"/>
      <c r="AK46" s="5"/>
      <c r="AL46" s="184">
        <f t="shared" ref="AL46:AM46" si="125">ROUND(E46*(5/12)+K46*(5/12)+S46+X46-AE46,2)</f>
        <v>0.46</v>
      </c>
      <c r="AM46" s="184">
        <f t="shared" si="125"/>
        <v>0.17</v>
      </c>
      <c r="AN46" s="184">
        <f t="shared" si="5"/>
        <v>0.26</v>
      </c>
      <c r="AO46" s="184">
        <f t="shared" ref="AO46:AP46" si="126">ROUND(H46*(5/12)+N46*(5/12)+U46+Z46-AG46,2)</f>
        <v>0.28</v>
      </c>
      <c r="AP46" s="184">
        <f t="shared" si="126"/>
        <v>0.49</v>
      </c>
      <c r="AQ46" s="184">
        <f t="shared" ref="AQ46:AR46" si="127">P46+AB46-AI46</f>
        <v>1</v>
      </c>
      <c r="AR46" s="184">
        <f t="shared" si="127"/>
        <v>1</v>
      </c>
      <c r="AS46" s="5"/>
      <c r="AT46" s="176">
        <v>1.0</v>
      </c>
      <c r="AU46" s="176">
        <v>0.18</v>
      </c>
      <c r="AV46" s="176">
        <v>0.3</v>
      </c>
      <c r="AW46" s="176">
        <v>0.66</v>
      </c>
      <c r="AX46" s="176">
        <v>0.493</v>
      </c>
      <c r="AY46" s="176">
        <v>1.0</v>
      </c>
      <c r="AZ46" s="176">
        <v>1.0</v>
      </c>
      <c r="BA46" s="196" t="s">
        <v>1678</v>
      </c>
      <c r="BB46" s="5"/>
      <c r="BC46" s="62"/>
      <c r="BE46" s="198">
        <v>0.856</v>
      </c>
      <c r="BF46" s="184"/>
      <c r="BG46" s="184"/>
      <c r="BH46" s="184"/>
      <c r="BI46" s="198" t="s">
        <v>1679</v>
      </c>
      <c r="BJ46" s="198">
        <v>1.0</v>
      </c>
      <c r="BK46" s="81"/>
      <c r="BL46" s="280" t="s">
        <v>1561</v>
      </c>
      <c r="BM46" s="81"/>
      <c r="BN46" s="81"/>
    </row>
    <row r="47">
      <c r="A47" s="176">
        <v>43.0</v>
      </c>
      <c r="B47" s="309" t="s">
        <v>1680</v>
      </c>
      <c r="C47" s="287" t="s">
        <v>93</v>
      </c>
      <c r="D47" s="179">
        <v>2.99</v>
      </c>
      <c r="E47" s="292">
        <v>0.81</v>
      </c>
      <c r="F47" s="292">
        <v>0.3</v>
      </c>
      <c r="G47" s="292">
        <v>0.23</v>
      </c>
      <c r="H47" s="292">
        <v>0.0</v>
      </c>
      <c r="I47" s="292">
        <v>0.0</v>
      </c>
      <c r="J47" s="316">
        <v>0.66</v>
      </c>
      <c r="K47" s="316">
        <v>0.59</v>
      </c>
      <c r="L47" s="316">
        <v>0.37</v>
      </c>
      <c r="M47" s="316">
        <v>0.18</v>
      </c>
      <c r="N47" s="316">
        <v>0.0</v>
      </c>
      <c r="O47" s="316">
        <v>0.2</v>
      </c>
      <c r="P47" s="180">
        <v>1.0</v>
      </c>
      <c r="Q47" s="180">
        <v>1.0</v>
      </c>
      <c r="R47" s="5"/>
      <c r="S47" s="176">
        <v>0.29</v>
      </c>
      <c r="T47" s="176">
        <v>0.04</v>
      </c>
      <c r="U47" s="176">
        <v>0.0</v>
      </c>
      <c r="V47" s="176">
        <v>0.0</v>
      </c>
      <c r="W47" s="5"/>
      <c r="X47" s="176">
        <v>0.46</v>
      </c>
      <c r="Y47" s="176">
        <v>0.21</v>
      </c>
      <c r="Z47" s="184"/>
      <c r="AA47" s="184"/>
      <c r="AB47" s="184"/>
      <c r="AC47" s="184"/>
      <c r="AD47" s="5"/>
      <c r="AE47" s="184"/>
      <c r="AF47" s="184"/>
      <c r="AG47" s="184"/>
      <c r="AH47" s="184"/>
      <c r="AI47" s="184"/>
      <c r="AJ47" s="184"/>
      <c r="AK47" s="5"/>
      <c r="AL47" s="184">
        <f t="shared" ref="AL47:AM47" si="128">ROUND(E47*(5/12)+K47*(5/12)+S47+X47-AE47,2)</f>
        <v>1.33</v>
      </c>
      <c r="AM47" s="184">
        <f t="shared" si="128"/>
        <v>0.53</v>
      </c>
      <c r="AN47" s="184">
        <f t="shared" si="5"/>
        <v>0.17</v>
      </c>
      <c r="AO47" s="184">
        <f t="shared" ref="AO47:AP47" si="129">ROUND(H47*(5/12)+N47*(5/12)+U47+Z47-AG47,2)</f>
        <v>0</v>
      </c>
      <c r="AP47" s="184">
        <f t="shared" si="129"/>
        <v>0.08</v>
      </c>
      <c r="AQ47" s="184">
        <f t="shared" ref="AQ47:AR47" si="130">P47+AB47-AI47</f>
        <v>1</v>
      </c>
      <c r="AR47" s="184">
        <f t="shared" si="130"/>
        <v>1</v>
      </c>
      <c r="AS47" s="5"/>
      <c r="AT47" s="176">
        <v>0.0</v>
      </c>
      <c r="AU47" s="176">
        <v>0.2</v>
      </c>
      <c r="AV47" s="176">
        <v>0.156</v>
      </c>
      <c r="AW47" s="176">
        <v>0.0</v>
      </c>
      <c r="AX47" s="176">
        <v>0.0</v>
      </c>
      <c r="AY47" s="176">
        <v>0.0</v>
      </c>
      <c r="AZ47" s="176">
        <v>1.0</v>
      </c>
      <c r="BA47" s="180" t="s">
        <v>1681</v>
      </c>
      <c r="BB47" s="5"/>
      <c r="BC47" s="62"/>
      <c r="BE47" s="321" t="s">
        <v>1682</v>
      </c>
      <c r="BF47" s="184"/>
      <c r="BG47" s="184"/>
      <c r="BH47" s="184"/>
      <c r="BI47" s="184"/>
      <c r="BJ47" s="184"/>
      <c r="BK47" s="280" t="s">
        <v>1683</v>
      </c>
      <c r="BL47" s="280" t="s">
        <v>1561</v>
      </c>
      <c r="BM47" s="81"/>
      <c r="BN47" s="81"/>
    </row>
    <row r="48">
      <c r="A48" s="176">
        <v>44.0</v>
      </c>
      <c r="B48" s="309" t="s">
        <v>1684</v>
      </c>
      <c r="C48" s="287" t="s">
        <v>93</v>
      </c>
      <c r="D48" s="179">
        <v>3.33</v>
      </c>
      <c r="E48" s="292">
        <v>0.25</v>
      </c>
      <c r="F48" s="292">
        <v>0.2</v>
      </c>
      <c r="G48" s="292">
        <v>0.22</v>
      </c>
      <c r="H48" s="292">
        <v>0.0</v>
      </c>
      <c r="I48" s="292">
        <v>0.0</v>
      </c>
      <c r="J48" s="294">
        <v>3.0</v>
      </c>
      <c r="K48" s="294">
        <v>0.5</v>
      </c>
      <c r="L48" s="294">
        <v>0.2</v>
      </c>
      <c r="M48" s="294">
        <v>0.3</v>
      </c>
      <c r="N48" s="316"/>
      <c r="O48" s="316"/>
      <c r="P48" s="180">
        <v>1.0</v>
      </c>
      <c r="Q48" s="180">
        <v>1.0</v>
      </c>
      <c r="R48" s="5"/>
      <c r="S48" s="176">
        <v>0.13</v>
      </c>
      <c r="T48" s="176">
        <v>0.04</v>
      </c>
      <c r="U48" s="176">
        <v>0.0</v>
      </c>
      <c r="V48" s="176">
        <v>0.0</v>
      </c>
      <c r="W48" s="5"/>
      <c r="X48" s="176">
        <v>0.227</v>
      </c>
      <c r="Y48" s="176">
        <v>0.21</v>
      </c>
      <c r="Z48" s="184"/>
      <c r="AA48" s="184"/>
      <c r="AB48" s="184"/>
      <c r="AC48" s="184"/>
      <c r="AD48" s="5"/>
      <c r="AE48" s="184"/>
      <c r="AF48" s="184"/>
      <c r="AG48" s="184"/>
      <c r="AH48" s="184"/>
      <c r="AI48" s="184"/>
      <c r="AJ48" s="184"/>
      <c r="AK48" s="5"/>
      <c r="AL48" s="184">
        <f t="shared" ref="AL48:AM48" si="131">ROUND(E48*(5/12)+K48*(5/12)+S48+X48-AE48,2)</f>
        <v>0.67</v>
      </c>
      <c r="AM48" s="184">
        <f t="shared" si="131"/>
        <v>0.42</v>
      </c>
      <c r="AN48" s="184">
        <f t="shared" si="5"/>
        <v>0.22</v>
      </c>
      <c r="AO48" s="184">
        <f t="shared" ref="AO48:AP48" si="132">ROUND(H48*(5/12)+N48*(5/12)+U48+Z48-AG48,2)</f>
        <v>0</v>
      </c>
      <c r="AP48" s="184">
        <f t="shared" si="132"/>
        <v>0</v>
      </c>
      <c r="AQ48" s="184">
        <f t="shared" ref="AQ48:AR48" si="133">P48+AB48-AI48</f>
        <v>1</v>
      </c>
      <c r="AR48" s="184">
        <f t="shared" si="133"/>
        <v>1</v>
      </c>
      <c r="AS48" s="5"/>
      <c r="AT48" s="176">
        <v>1.016</v>
      </c>
      <c r="AU48" s="176">
        <v>0.0</v>
      </c>
      <c r="AV48" s="176">
        <v>0.086</v>
      </c>
      <c r="AW48" s="176">
        <v>0.0</v>
      </c>
      <c r="AX48" s="176">
        <v>0.0</v>
      </c>
      <c r="AY48" s="176">
        <v>1.0</v>
      </c>
      <c r="AZ48" s="176">
        <v>1.0</v>
      </c>
      <c r="BA48" s="180" t="s">
        <v>1685</v>
      </c>
      <c r="BB48" s="5"/>
      <c r="BC48" s="62"/>
      <c r="BE48" s="184"/>
      <c r="BF48" s="184"/>
      <c r="BG48" s="184"/>
      <c r="BH48" s="184"/>
      <c r="BI48" s="184"/>
      <c r="BJ48" s="184"/>
      <c r="BK48" s="81"/>
      <c r="BL48" s="280" t="s">
        <v>1152</v>
      </c>
      <c r="BM48" s="81"/>
      <c r="BN48" s="81"/>
    </row>
    <row r="49">
      <c r="A49" s="176">
        <v>45.0</v>
      </c>
      <c r="B49" s="286" t="s">
        <v>95</v>
      </c>
      <c r="C49" s="287" t="s">
        <v>93</v>
      </c>
      <c r="D49" s="179">
        <v>3.0</v>
      </c>
      <c r="E49" s="292">
        <v>0.5</v>
      </c>
      <c r="F49" s="292">
        <v>0.0</v>
      </c>
      <c r="G49" s="292">
        <v>0.23</v>
      </c>
      <c r="H49" s="292">
        <v>0.0</v>
      </c>
      <c r="I49" s="292">
        <v>0.27</v>
      </c>
      <c r="J49" s="294">
        <v>2.0</v>
      </c>
      <c r="K49" s="294">
        <v>1.25</v>
      </c>
      <c r="L49" s="294">
        <v>0.2</v>
      </c>
      <c r="M49" s="294">
        <v>0.4</v>
      </c>
      <c r="N49" s="316"/>
      <c r="O49" s="294">
        <v>0.15</v>
      </c>
      <c r="P49" s="180">
        <v>1.0</v>
      </c>
      <c r="Q49" s="180">
        <v>1.0</v>
      </c>
      <c r="R49" s="5"/>
      <c r="S49" s="176">
        <v>0.17</v>
      </c>
      <c r="T49" s="176">
        <v>0.0</v>
      </c>
      <c r="U49" s="176">
        <v>0.0</v>
      </c>
      <c r="V49" s="176">
        <v>0.0</v>
      </c>
      <c r="W49" s="5"/>
      <c r="X49" s="184"/>
      <c r="Y49" s="184"/>
      <c r="Z49" s="184"/>
      <c r="AA49" s="184"/>
      <c r="AB49" s="184"/>
      <c r="AC49" s="184"/>
      <c r="AD49" s="5"/>
      <c r="AE49" s="176">
        <v>0.653</v>
      </c>
      <c r="AF49" s="184"/>
      <c r="AG49" s="184"/>
      <c r="AH49" s="184"/>
      <c r="AI49" s="184"/>
      <c r="AJ49" s="184"/>
      <c r="AK49" s="5"/>
      <c r="AL49" s="184">
        <f t="shared" ref="AL49:AM49" si="134">ROUND(E49*(5/12)+K49*(5/12)+S49+X49-AE49,2)</f>
        <v>0.25</v>
      </c>
      <c r="AM49" s="184">
        <f t="shared" si="134"/>
        <v>0.08</v>
      </c>
      <c r="AN49" s="184">
        <f t="shared" si="5"/>
        <v>0.26</v>
      </c>
      <c r="AO49" s="184">
        <f t="shared" ref="AO49:AP49" si="135">ROUND(H49*(5/12)+N49*(5/12)+U49+Z49-AG49,2)</f>
        <v>0</v>
      </c>
      <c r="AP49" s="184">
        <f t="shared" si="135"/>
        <v>0.18</v>
      </c>
      <c r="AQ49" s="184">
        <f t="shared" ref="AQ49:AR49" si="136">P49+AB49-AI49</f>
        <v>1</v>
      </c>
      <c r="AR49" s="184">
        <f t="shared" si="136"/>
        <v>1</v>
      </c>
      <c r="AS49" s="5"/>
      <c r="AT49" s="176">
        <v>0.6</v>
      </c>
      <c r="AU49" s="176">
        <v>0.02</v>
      </c>
      <c r="AV49" s="176">
        <v>0.325</v>
      </c>
      <c r="AW49" s="176">
        <v>0.0</v>
      </c>
      <c r="AX49" s="176">
        <v>0.017</v>
      </c>
      <c r="AY49" s="176">
        <v>1.0</v>
      </c>
      <c r="AZ49" s="176">
        <v>1.0</v>
      </c>
      <c r="BA49" s="180" t="s">
        <v>1686</v>
      </c>
      <c r="BB49" s="5"/>
      <c r="BC49" s="62"/>
      <c r="BE49" s="184"/>
      <c r="BF49" s="184"/>
      <c r="BG49" s="184"/>
      <c r="BH49" s="184"/>
      <c r="BI49" s="321">
        <v>0.426</v>
      </c>
      <c r="BJ49" s="184"/>
      <c r="BK49" s="280" t="s">
        <v>1683</v>
      </c>
      <c r="BL49" s="322" t="s">
        <v>1152</v>
      </c>
      <c r="BM49" s="81"/>
      <c r="BN49" s="81"/>
    </row>
    <row r="50">
      <c r="A50" s="176">
        <v>46.0</v>
      </c>
      <c r="B50" s="309" t="s">
        <v>96</v>
      </c>
      <c r="C50" s="287" t="s">
        <v>93</v>
      </c>
      <c r="D50" s="179">
        <v>3.0</v>
      </c>
      <c r="E50" s="292">
        <v>0.7</v>
      </c>
      <c r="F50" s="292">
        <v>0.15</v>
      </c>
      <c r="G50" s="292">
        <v>0.15</v>
      </c>
      <c r="H50" s="292">
        <v>0.0</v>
      </c>
      <c r="I50" s="292">
        <v>0.0</v>
      </c>
      <c r="J50" s="294">
        <v>3.0</v>
      </c>
      <c r="K50" s="294">
        <v>0.65</v>
      </c>
      <c r="L50" s="294">
        <v>0.15</v>
      </c>
      <c r="M50" s="294">
        <v>0.2</v>
      </c>
      <c r="N50" s="316"/>
      <c r="O50" s="316"/>
      <c r="P50" s="180">
        <v>1.0</v>
      </c>
      <c r="Q50" s="180">
        <v>1.0</v>
      </c>
      <c r="R50" s="5"/>
      <c r="S50" s="176">
        <v>0.17</v>
      </c>
      <c r="T50" s="176">
        <v>0.0</v>
      </c>
      <c r="U50" s="176">
        <v>0.0</v>
      </c>
      <c r="V50" s="176">
        <v>0.0</v>
      </c>
      <c r="W50" s="5"/>
      <c r="X50" s="184"/>
      <c r="Y50" s="184"/>
      <c r="Z50" s="184"/>
      <c r="AA50" s="184"/>
      <c r="AB50" s="184"/>
      <c r="AC50" s="184"/>
      <c r="AD50" s="5"/>
      <c r="AE50" s="176">
        <v>0.463</v>
      </c>
      <c r="AF50" s="184"/>
      <c r="AG50" s="184"/>
      <c r="AH50" s="184"/>
      <c r="AI50" s="184"/>
      <c r="AJ50" s="184"/>
      <c r="AK50" s="5"/>
      <c r="AL50" s="184">
        <f t="shared" ref="AL50:AM50" si="137">ROUND(E50*(5/12)+K50*(5/12)+S50+X50-AE50,2)</f>
        <v>0.27</v>
      </c>
      <c r="AM50" s="184">
        <f t="shared" si="137"/>
        <v>0.13</v>
      </c>
      <c r="AN50" s="184">
        <f t="shared" si="5"/>
        <v>0.15</v>
      </c>
      <c r="AO50" s="184">
        <f t="shared" ref="AO50:AP50" si="138">ROUND(H50*(5/12)+N50*(5/12)+U50+Z50-AG50,2)</f>
        <v>0</v>
      </c>
      <c r="AP50" s="184">
        <f t="shared" si="138"/>
        <v>0</v>
      </c>
      <c r="AQ50" s="184">
        <f t="shared" ref="AQ50:AR50" si="139">P50+AB50-AI50</f>
        <v>1</v>
      </c>
      <c r="AR50" s="184">
        <f t="shared" si="139"/>
        <v>1</v>
      </c>
      <c r="AS50" s="5"/>
      <c r="AT50" s="176">
        <v>0.6</v>
      </c>
      <c r="AU50" s="176">
        <v>0.133</v>
      </c>
      <c r="AV50" s="176">
        <v>0.211</v>
      </c>
      <c r="AW50" s="176">
        <v>0.0</v>
      </c>
      <c r="AX50" s="176">
        <v>0.0</v>
      </c>
      <c r="AY50" s="176">
        <v>1.0</v>
      </c>
      <c r="AZ50" s="176">
        <v>1.0</v>
      </c>
      <c r="BA50" s="196" t="s">
        <v>1687</v>
      </c>
      <c r="BB50" s="5"/>
      <c r="BC50" s="62"/>
      <c r="BE50" s="184"/>
      <c r="BF50" s="184"/>
      <c r="BG50" s="184"/>
      <c r="BH50" s="184"/>
      <c r="BI50" s="184"/>
      <c r="BJ50" s="184"/>
      <c r="BK50" s="81"/>
      <c r="BL50" s="280" t="s">
        <v>1152</v>
      </c>
      <c r="BM50" s="81"/>
      <c r="BN50" s="81"/>
    </row>
    <row r="51">
      <c r="A51" s="176">
        <v>47.0</v>
      </c>
      <c r="B51" s="309" t="s">
        <v>1688</v>
      </c>
      <c r="C51" s="287" t="s">
        <v>93</v>
      </c>
      <c r="D51" s="50">
        <v>2.66</v>
      </c>
      <c r="E51" s="291">
        <v>0.61</v>
      </c>
      <c r="F51" s="292">
        <v>0.45</v>
      </c>
      <c r="G51" s="292">
        <v>0.28</v>
      </c>
      <c r="H51" s="292">
        <v>0.0</v>
      </c>
      <c r="I51" s="292">
        <v>0.0</v>
      </c>
      <c r="J51" s="294">
        <v>1.0</v>
      </c>
      <c r="K51" s="294">
        <v>0.42</v>
      </c>
      <c r="L51" s="294">
        <v>0.58</v>
      </c>
      <c r="M51" s="294">
        <v>0.0</v>
      </c>
      <c r="N51" s="316"/>
      <c r="O51" s="316"/>
      <c r="P51" s="180">
        <v>1.0</v>
      </c>
      <c r="Q51" s="180">
        <v>1.0</v>
      </c>
      <c r="R51" s="5"/>
      <c r="S51" s="176">
        <v>0.17</v>
      </c>
      <c r="T51" s="176">
        <v>0.0</v>
      </c>
      <c r="U51" s="176">
        <v>0.0</v>
      </c>
      <c r="V51" s="176">
        <v>0.0</v>
      </c>
      <c r="W51" s="5"/>
      <c r="X51" s="176">
        <v>0.92</v>
      </c>
      <c r="Y51" s="176">
        <v>0.583</v>
      </c>
      <c r="Z51" s="184"/>
      <c r="AA51" s="184"/>
      <c r="AB51" s="176">
        <v>1.0</v>
      </c>
      <c r="AC51" s="176">
        <v>2.0</v>
      </c>
      <c r="AD51" s="5"/>
      <c r="AE51" s="184"/>
      <c r="AF51" s="184"/>
      <c r="AG51" s="184"/>
      <c r="AH51" s="184"/>
      <c r="AI51" s="184"/>
      <c r="AJ51" s="184"/>
      <c r="AK51" s="5"/>
      <c r="AL51" s="184">
        <f t="shared" ref="AL51:AM51" si="140">ROUND(E51*(5/12)+K51*(5/12)+S51+X51-AE51,2)</f>
        <v>1.52</v>
      </c>
      <c r="AM51" s="184">
        <f t="shared" si="140"/>
        <v>1.01</v>
      </c>
      <c r="AN51" s="184">
        <f t="shared" si="5"/>
        <v>0.12</v>
      </c>
      <c r="AO51" s="184">
        <f t="shared" ref="AO51:AP51" si="141">ROUND(H51*(5/12)+N51*(5/12)+U51+Z51-AG51,2)</f>
        <v>0</v>
      </c>
      <c r="AP51" s="184">
        <f t="shared" si="141"/>
        <v>0</v>
      </c>
      <c r="AQ51" s="184">
        <f t="shared" ref="AQ51:AR51" si="142">P51+AB51-AI51</f>
        <v>2</v>
      </c>
      <c r="AR51" s="184">
        <f t="shared" si="142"/>
        <v>3</v>
      </c>
      <c r="AS51" s="5"/>
      <c r="AT51" s="176">
        <v>0.33</v>
      </c>
      <c r="AU51" s="176">
        <v>0.0</v>
      </c>
      <c r="AV51" s="176">
        <v>0.025</v>
      </c>
      <c r="AW51" s="176">
        <v>0.0</v>
      </c>
      <c r="AX51" s="176">
        <v>0.0</v>
      </c>
      <c r="AY51" s="176">
        <v>1.0</v>
      </c>
      <c r="AZ51" s="176">
        <v>0.0</v>
      </c>
      <c r="BA51" s="195" t="s">
        <v>1689</v>
      </c>
      <c r="BB51" s="5"/>
      <c r="BC51" s="62"/>
      <c r="BE51" s="184"/>
      <c r="BF51" s="184"/>
      <c r="BG51" s="184"/>
      <c r="BH51" s="184"/>
      <c r="BI51" s="184"/>
      <c r="BJ51" s="184"/>
      <c r="BK51" s="81"/>
      <c r="BL51" s="305" t="s">
        <v>1561</v>
      </c>
      <c r="BM51" s="81"/>
      <c r="BN51" s="81"/>
    </row>
    <row r="52">
      <c r="A52" s="176">
        <v>48.0</v>
      </c>
      <c r="B52" s="309" t="s">
        <v>101</v>
      </c>
      <c r="C52" s="287" t="s">
        <v>93</v>
      </c>
      <c r="D52" s="179">
        <v>4.0</v>
      </c>
      <c r="E52" s="292">
        <v>0.75</v>
      </c>
      <c r="F52" s="292">
        <v>0.15</v>
      </c>
      <c r="G52" s="292">
        <v>0.1</v>
      </c>
      <c r="H52" s="292">
        <v>0.0</v>
      </c>
      <c r="I52" s="292">
        <v>0.0</v>
      </c>
      <c r="J52" s="294">
        <v>3.16</v>
      </c>
      <c r="K52" s="294">
        <v>0.59</v>
      </c>
      <c r="L52" s="294">
        <v>0.15</v>
      </c>
      <c r="M52" s="294">
        <v>0.1</v>
      </c>
      <c r="N52" s="316"/>
      <c r="O52" s="316"/>
      <c r="P52" s="180">
        <v>1.0</v>
      </c>
      <c r="Q52" s="180">
        <v>1.0</v>
      </c>
      <c r="R52" s="5"/>
      <c r="S52" s="176">
        <v>0.17</v>
      </c>
      <c r="T52" s="176">
        <v>0.0</v>
      </c>
      <c r="U52" s="176">
        <v>0.0</v>
      </c>
      <c r="V52" s="176">
        <v>0.0</v>
      </c>
      <c r="W52" s="5"/>
      <c r="X52" s="184"/>
      <c r="Y52" s="184"/>
      <c r="Z52" s="184"/>
      <c r="AA52" s="184"/>
      <c r="AB52" s="184"/>
      <c r="AC52" s="184"/>
      <c r="AD52" s="5"/>
      <c r="AE52" s="176">
        <v>0.58</v>
      </c>
      <c r="AF52" s="184"/>
      <c r="AG52" s="184"/>
      <c r="AH52" s="184"/>
      <c r="AI52" s="184"/>
      <c r="AJ52" s="184"/>
      <c r="AK52" s="5"/>
      <c r="AL52" s="184">
        <f t="shared" ref="AL52:AM52" si="143">ROUND(E52*(5/12)+K52*(5/12)+S52+X52-AE52,2)</f>
        <v>0.15</v>
      </c>
      <c r="AM52" s="184">
        <f t="shared" si="143"/>
        <v>0.13</v>
      </c>
      <c r="AN52" s="184">
        <f t="shared" si="5"/>
        <v>0.08</v>
      </c>
      <c r="AO52" s="184">
        <f t="shared" ref="AO52:AP52" si="144">ROUND(H52*(5/12)+N52*(5/12)+U52+Z52-AG52,2)</f>
        <v>0</v>
      </c>
      <c r="AP52" s="184">
        <f t="shared" si="144"/>
        <v>0</v>
      </c>
      <c r="AQ52" s="184">
        <f t="shared" ref="AQ52:AR52" si="145">P52+AB52-AI52</f>
        <v>1</v>
      </c>
      <c r="AR52" s="184">
        <f t="shared" si="145"/>
        <v>1</v>
      </c>
      <c r="AS52" s="5"/>
      <c r="AT52" s="176">
        <v>0.0</v>
      </c>
      <c r="AU52" s="176">
        <v>0.0</v>
      </c>
      <c r="AV52" s="176">
        <v>0.0</v>
      </c>
      <c r="AW52" s="176">
        <v>0.0</v>
      </c>
      <c r="AX52" s="176">
        <v>0.0</v>
      </c>
      <c r="AY52" s="176">
        <v>1.0</v>
      </c>
      <c r="AZ52" s="176">
        <v>0.0</v>
      </c>
      <c r="BA52" s="195" t="s">
        <v>1690</v>
      </c>
      <c r="BB52" s="5"/>
      <c r="BC52" s="62"/>
      <c r="BE52" s="184"/>
      <c r="BF52" s="184"/>
      <c r="BG52" s="184"/>
      <c r="BH52" s="184"/>
      <c r="BI52" s="184"/>
      <c r="BJ52" s="184"/>
      <c r="BK52" s="81"/>
      <c r="BL52" s="81"/>
      <c r="BM52" s="81"/>
      <c r="BN52" s="81"/>
    </row>
    <row r="53">
      <c r="A53" s="176">
        <v>49.0</v>
      </c>
      <c r="B53" s="309" t="s">
        <v>1691</v>
      </c>
      <c r="C53" s="287" t="s">
        <v>93</v>
      </c>
      <c r="D53" s="179">
        <v>4.0</v>
      </c>
      <c r="E53" s="292">
        <v>0.75</v>
      </c>
      <c r="F53" s="292">
        <v>0.15</v>
      </c>
      <c r="G53" s="292">
        <v>0.1</v>
      </c>
      <c r="H53" s="292">
        <v>0.0</v>
      </c>
      <c r="I53" s="292">
        <v>0.0</v>
      </c>
      <c r="J53" s="294">
        <v>3.0</v>
      </c>
      <c r="K53" s="294">
        <v>0.75</v>
      </c>
      <c r="L53" s="294">
        <v>0.15</v>
      </c>
      <c r="M53" s="294">
        <v>0.1</v>
      </c>
      <c r="N53" s="316"/>
      <c r="O53" s="316"/>
      <c r="P53" s="180">
        <v>1.0</v>
      </c>
      <c r="Q53" s="180">
        <v>1.0</v>
      </c>
      <c r="R53" s="5"/>
      <c r="S53" s="176">
        <v>0.17</v>
      </c>
      <c r="T53" s="176">
        <v>0.0</v>
      </c>
      <c r="U53" s="176">
        <v>0.0</v>
      </c>
      <c r="V53" s="176">
        <v>0.0</v>
      </c>
      <c r="W53" s="5"/>
      <c r="X53" s="184"/>
      <c r="Y53" s="184"/>
      <c r="Z53" s="184"/>
      <c r="AA53" s="184"/>
      <c r="AB53" s="184"/>
      <c r="AC53" s="184"/>
      <c r="AD53" s="5"/>
      <c r="AE53" s="176">
        <v>0.5</v>
      </c>
      <c r="AF53" s="184"/>
      <c r="AG53" s="184"/>
      <c r="AH53" s="184"/>
      <c r="AI53" s="184"/>
      <c r="AJ53" s="184"/>
      <c r="AK53" s="5"/>
      <c r="AL53" s="184">
        <f t="shared" ref="AL53:AM53" si="146">ROUND(E53*(5/12)+K53*(5/12)+S53+X53-AE53,2)</f>
        <v>0.3</v>
      </c>
      <c r="AM53" s="184">
        <f t="shared" si="146"/>
        <v>0.13</v>
      </c>
      <c r="AN53" s="184">
        <f t="shared" si="5"/>
        <v>0.08</v>
      </c>
      <c r="AO53" s="184">
        <f t="shared" ref="AO53:AP53" si="147">ROUND(H53*(5/12)+N53*(5/12)+U53+Z53-AG53,2)</f>
        <v>0</v>
      </c>
      <c r="AP53" s="184">
        <f t="shared" si="147"/>
        <v>0</v>
      </c>
      <c r="AQ53" s="184">
        <f t="shared" ref="AQ53:AR53" si="148">P53+AB53-AI53</f>
        <v>1</v>
      </c>
      <c r="AR53" s="184">
        <f t="shared" si="148"/>
        <v>1</v>
      </c>
      <c r="AS53" s="5"/>
      <c r="AT53" s="176">
        <v>0.5</v>
      </c>
      <c r="AU53" s="176">
        <v>0.133</v>
      </c>
      <c r="AV53" s="176">
        <v>0.1</v>
      </c>
      <c r="AW53" s="176">
        <v>0.0</v>
      </c>
      <c r="AX53" s="176">
        <v>0.0</v>
      </c>
      <c r="AY53" s="176">
        <v>1.0</v>
      </c>
      <c r="AZ53" s="176">
        <v>1.0</v>
      </c>
      <c r="BA53" s="180" t="s">
        <v>1692</v>
      </c>
      <c r="BB53" s="5"/>
      <c r="BC53" s="62"/>
      <c r="BE53" s="184"/>
      <c r="BF53" s="184"/>
      <c r="BG53" s="184"/>
      <c r="BH53" s="184"/>
      <c r="BI53" s="184"/>
      <c r="BJ53" s="184"/>
      <c r="BK53" s="81"/>
      <c r="BL53" s="305" t="s">
        <v>1561</v>
      </c>
      <c r="BM53" s="81"/>
      <c r="BN53" s="81"/>
    </row>
    <row r="54">
      <c r="A54" s="176">
        <v>50.0</v>
      </c>
      <c r="B54" s="286" t="s">
        <v>1693</v>
      </c>
      <c r="C54" s="287" t="s">
        <v>93</v>
      </c>
      <c r="D54" s="179">
        <v>3.33</v>
      </c>
      <c r="E54" s="292">
        <v>0.42</v>
      </c>
      <c r="F54" s="292">
        <v>0.15</v>
      </c>
      <c r="G54" s="292">
        <v>0.1</v>
      </c>
      <c r="H54" s="292">
        <v>0.0</v>
      </c>
      <c r="I54" s="292">
        <v>0.0</v>
      </c>
      <c r="J54" s="294">
        <v>2.0</v>
      </c>
      <c r="K54" s="294">
        <v>0.7</v>
      </c>
      <c r="L54" s="294">
        <v>0.2</v>
      </c>
      <c r="M54" s="294">
        <v>0.1</v>
      </c>
      <c r="N54" s="316"/>
      <c r="O54" s="316"/>
      <c r="P54" s="180">
        <v>1.0</v>
      </c>
      <c r="Q54" s="180">
        <v>1.0</v>
      </c>
      <c r="R54" s="5"/>
      <c r="S54" s="176">
        <v>0.0</v>
      </c>
      <c r="T54" s="176">
        <v>0.0</v>
      </c>
      <c r="U54" s="176">
        <v>0.0</v>
      </c>
      <c r="V54" s="176">
        <v>0.0</v>
      </c>
      <c r="W54" s="5"/>
      <c r="X54" s="176">
        <v>0.17</v>
      </c>
      <c r="Y54" s="184"/>
      <c r="Z54" s="184"/>
      <c r="AA54" s="184"/>
      <c r="AB54" s="184"/>
      <c r="AC54" s="184"/>
      <c r="AD54" s="5"/>
      <c r="AE54" s="184"/>
      <c r="AF54" s="184"/>
      <c r="AG54" s="184"/>
      <c r="AH54" s="184"/>
      <c r="AI54" s="184"/>
      <c r="AJ54" s="184"/>
      <c r="AK54" s="5"/>
      <c r="AL54" s="184">
        <f t="shared" ref="AL54:AM54" si="149">ROUND(E54*(5/12)+K54*(5/12)+S54+X54-AE54,2)</f>
        <v>0.64</v>
      </c>
      <c r="AM54" s="184">
        <f t="shared" si="149"/>
        <v>0.15</v>
      </c>
      <c r="AN54" s="184">
        <f t="shared" si="5"/>
        <v>0.08</v>
      </c>
      <c r="AO54" s="184">
        <f t="shared" ref="AO54:AP54" si="150">ROUND(H54*(5/12)+N54*(5/12)+U54+Z54-AG54,2)</f>
        <v>0</v>
      </c>
      <c r="AP54" s="184">
        <f t="shared" si="150"/>
        <v>0</v>
      </c>
      <c r="AQ54" s="184">
        <f t="shared" ref="AQ54:AR54" si="151">P54+AB54-AI54</f>
        <v>1</v>
      </c>
      <c r="AR54" s="184">
        <f t="shared" si="151"/>
        <v>1</v>
      </c>
      <c r="AS54" s="5"/>
      <c r="AT54" s="176">
        <v>1.166</v>
      </c>
      <c r="AU54" s="176">
        <v>0.057</v>
      </c>
      <c r="AV54" s="176">
        <v>0.106</v>
      </c>
      <c r="AW54" s="176">
        <v>0.0</v>
      </c>
      <c r="AX54" s="176">
        <v>0.0</v>
      </c>
      <c r="AY54" s="176">
        <v>1.0</v>
      </c>
      <c r="AZ54" s="176">
        <v>1.0</v>
      </c>
      <c r="BA54" s="180" t="s">
        <v>1694</v>
      </c>
      <c r="BB54" s="5"/>
      <c r="BC54" s="62"/>
      <c r="BD54" s="27"/>
      <c r="BE54" s="184"/>
      <c r="BF54" s="184"/>
      <c r="BG54" s="184"/>
      <c r="BH54" s="184"/>
      <c r="BI54" s="184"/>
      <c r="BJ54" s="184"/>
      <c r="BK54" s="311"/>
      <c r="BL54" s="280" t="s">
        <v>1152</v>
      </c>
      <c r="BM54" s="193"/>
      <c r="BN54" s="193"/>
    </row>
    <row r="55">
      <c r="A55" s="176">
        <v>51.0</v>
      </c>
      <c r="B55" s="309" t="s">
        <v>102</v>
      </c>
      <c r="C55" s="287" t="s">
        <v>93</v>
      </c>
      <c r="D55" s="179">
        <v>3.33</v>
      </c>
      <c r="E55" s="292">
        <v>0.37</v>
      </c>
      <c r="F55" s="292">
        <v>0.0</v>
      </c>
      <c r="G55" s="292">
        <v>0.1</v>
      </c>
      <c r="H55" s="292">
        <v>0.0</v>
      </c>
      <c r="I55" s="292">
        <v>0.2</v>
      </c>
      <c r="J55" s="294">
        <v>3.0</v>
      </c>
      <c r="K55" s="294">
        <v>0.7</v>
      </c>
      <c r="L55" s="316"/>
      <c r="M55" s="294">
        <v>0.1</v>
      </c>
      <c r="N55" s="316"/>
      <c r="O55" s="294">
        <v>0.2</v>
      </c>
      <c r="P55" s="180">
        <v>1.0</v>
      </c>
      <c r="Q55" s="180">
        <v>1.0</v>
      </c>
      <c r="R55" s="5"/>
      <c r="S55" s="176">
        <v>0.0</v>
      </c>
      <c r="T55" s="176">
        <v>0.0</v>
      </c>
      <c r="U55" s="176">
        <v>0.0</v>
      </c>
      <c r="V55" s="176">
        <v>0.0</v>
      </c>
      <c r="W55" s="5"/>
      <c r="X55" s="184"/>
      <c r="Y55" s="184"/>
      <c r="Z55" s="184"/>
      <c r="AA55" s="184"/>
      <c r="AB55" s="184"/>
      <c r="AC55" s="184"/>
      <c r="AD55" s="5"/>
      <c r="AE55" s="184"/>
      <c r="AF55" s="184"/>
      <c r="AG55" s="184"/>
      <c r="AH55" s="184"/>
      <c r="AI55" s="184"/>
      <c r="AJ55" s="184"/>
      <c r="AK55" s="5"/>
      <c r="AL55" s="184">
        <f t="shared" ref="AL55:AM55" si="152">ROUND(E55*(5/12)+K55*(5/12)+S55+X55-AE55,2)</f>
        <v>0.45</v>
      </c>
      <c r="AM55" s="184">
        <f t="shared" si="152"/>
        <v>0</v>
      </c>
      <c r="AN55" s="184">
        <f t="shared" si="5"/>
        <v>0.08</v>
      </c>
      <c r="AO55" s="184">
        <f t="shared" ref="AO55:AP55" si="153">ROUND(H55*(5/12)+N55*(5/12)+U55+Z55-AG55,2)</f>
        <v>0</v>
      </c>
      <c r="AP55" s="184">
        <f t="shared" si="153"/>
        <v>0.17</v>
      </c>
      <c r="AQ55" s="184">
        <f t="shared" ref="AQ55:AR55" si="154">P55+AB55-AI55</f>
        <v>1</v>
      </c>
      <c r="AR55" s="184">
        <f t="shared" si="154"/>
        <v>1</v>
      </c>
      <c r="AS55" s="5"/>
      <c r="AT55" s="176">
        <v>0.75</v>
      </c>
      <c r="AU55" s="176">
        <v>0.0</v>
      </c>
      <c r="AV55" s="176">
        <v>0.1</v>
      </c>
      <c r="AW55" s="176">
        <v>0.0</v>
      </c>
      <c r="AX55" s="176">
        <v>0.017</v>
      </c>
      <c r="AY55" s="176">
        <v>1.0</v>
      </c>
      <c r="AZ55" s="176">
        <v>1.0</v>
      </c>
      <c r="BA55" s="180" t="s">
        <v>1695</v>
      </c>
      <c r="BB55" s="5"/>
      <c r="BC55" s="62"/>
      <c r="BE55" s="184"/>
      <c r="BF55" s="184"/>
      <c r="BG55" s="184"/>
      <c r="BH55" s="184"/>
      <c r="BI55" s="184"/>
      <c r="BJ55" s="184"/>
      <c r="BK55" s="81"/>
      <c r="BL55" s="305" t="s">
        <v>1561</v>
      </c>
      <c r="BM55" s="81"/>
      <c r="BN55" s="81"/>
    </row>
    <row r="56">
      <c r="A56" s="176">
        <v>52.0</v>
      </c>
      <c r="B56" s="309" t="s">
        <v>103</v>
      </c>
      <c r="C56" s="287" t="s">
        <v>93</v>
      </c>
      <c r="D56" s="179">
        <v>3.0</v>
      </c>
      <c r="E56" s="292">
        <v>0.7</v>
      </c>
      <c r="F56" s="292">
        <v>0.0</v>
      </c>
      <c r="G56" s="292">
        <v>0.1</v>
      </c>
      <c r="H56" s="292">
        <v>0.0</v>
      </c>
      <c r="I56" s="292">
        <v>0.2</v>
      </c>
      <c r="J56" s="294">
        <v>3.0</v>
      </c>
      <c r="K56" s="294">
        <v>0.7</v>
      </c>
      <c r="L56" s="316"/>
      <c r="M56" s="294">
        <v>0.1</v>
      </c>
      <c r="N56" s="316"/>
      <c r="O56" s="294">
        <v>0.2</v>
      </c>
      <c r="P56" s="180">
        <v>1.0</v>
      </c>
      <c r="Q56" s="180">
        <v>1.0</v>
      </c>
      <c r="R56" s="5"/>
      <c r="S56" s="176">
        <v>0.0</v>
      </c>
      <c r="T56" s="176">
        <v>0.0</v>
      </c>
      <c r="U56" s="176">
        <v>0.0</v>
      </c>
      <c r="V56" s="176">
        <v>0.0</v>
      </c>
      <c r="W56" s="5"/>
      <c r="X56" s="184"/>
      <c r="Y56" s="184"/>
      <c r="Z56" s="184"/>
      <c r="AA56" s="184"/>
      <c r="AB56" s="184"/>
      <c r="AC56" s="184"/>
      <c r="AD56" s="5"/>
      <c r="AE56" s="176">
        <v>0.5</v>
      </c>
      <c r="AF56" s="184"/>
      <c r="AG56" s="184"/>
      <c r="AH56" s="184"/>
      <c r="AI56" s="184"/>
      <c r="AJ56" s="184"/>
      <c r="AK56" s="5"/>
      <c r="AL56" s="184">
        <f t="shared" ref="AL56:AM56" si="155">ROUND(E56*(5/12)+K56*(5/12)+S56+X56-AE56,2)</f>
        <v>0.08</v>
      </c>
      <c r="AM56" s="184">
        <f t="shared" si="155"/>
        <v>0</v>
      </c>
      <c r="AN56" s="184">
        <f t="shared" si="5"/>
        <v>0.08</v>
      </c>
      <c r="AO56" s="184">
        <f t="shared" ref="AO56:AP56" si="156">ROUND(H56*(5/12)+N56*(5/12)+U56+Z56-AG56,2)</f>
        <v>0</v>
      </c>
      <c r="AP56" s="184">
        <f t="shared" si="156"/>
        <v>0.17</v>
      </c>
      <c r="AQ56" s="184">
        <f t="shared" ref="AQ56:AR56" si="157">P56+AB56-AI56</f>
        <v>1</v>
      </c>
      <c r="AR56" s="184">
        <f t="shared" si="157"/>
        <v>1</v>
      </c>
      <c r="AS56" s="5"/>
      <c r="AT56" s="176">
        <v>0.5</v>
      </c>
      <c r="AU56" s="176">
        <v>0.0</v>
      </c>
      <c r="AV56" s="176">
        <v>0.1</v>
      </c>
      <c r="AW56" s="176">
        <v>0.0</v>
      </c>
      <c r="AX56" s="176">
        <v>0.017</v>
      </c>
      <c r="AY56" s="176">
        <v>1.0</v>
      </c>
      <c r="AZ56" s="176">
        <v>1.0</v>
      </c>
      <c r="BA56" s="180" t="s">
        <v>1696</v>
      </c>
      <c r="BB56" s="5"/>
      <c r="BC56" s="62"/>
      <c r="BE56" s="198" t="s">
        <v>1697</v>
      </c>
      <c r="BF56" s="184"/>
      <c r="BG56" s="184"/>
      <c r="BH56" s="176"/>
      <c r="BI56" s="184"/>
      <c r="BJ56" s="184"/>
      <c r="BK56" s="81"/>
      <c r="BL56" s="305" t="s">
        <v>1561</v>
      </c>
      <c r="BM56" s="81"/>
      <c r="BN56" s="81"/>
    </row>
    <row r="57">
      <c r="A57" s="176">
        <v>53.0</v>
      </c>
      <c r="B57" s="320" t="s">
        <v>1698</v>
      </c>
      <c r="C57" s="287" t="s">
        <v>93</v>
      </c>
      <c r="D57" s="179">
        <v>3.0</v>
      </c>
      <c r="E57" s="292">
        <v>0.8</v>
      </c>
      <c r="F57" s="292">
        <v>0.0</v>
      </c>
      <c r="G57" s="292">
        <v>0.0</v>
      </c>
      <c r="H57" s="292">
        <v>0.0</v>
      </c>
      <c r="I57" s="292">
        <v>0.2</v>
      </c>
      <c r="J57" s="294">
        <v>3.0</v>
      </c>
      <c r="K57" s="294">
        <v>0.8</v>
      </c>
      <c r="L57" s="316"/>
      <c r="M57" s="316"/>
      <c r="N57" s="316"/>
      <c r="O57" s="294">
        <v>0.2</v>
      </c>
      <c r="P57" s="180">
        <v>1.0</v>
      </c>
      <c r="Q57" s="180">
        <v>1.0</v>
      </c>
      <c r="R57" s="5"/>
      <c r="S57" s="176">
        <v>0.33</v>
      </c>
      <c r="T57" s="176">
        <v>0.0</v>
      </c>
      <c r="U57" s="176">
        <v>0.0</v>
      </c>
      <c r="V57" s="176">
        <v>0.0</v>
      </c>
      <c r="W57" s="5"/>
      <c r="X57" s="176">
        <v>0.25</v>
      </c>
      <c r="Y57" s="184"/>
      <c r="Z57" s="184"/>
      <c r="AA57" s="184"/>
      <c r="AB57" s="184"/>
      <c r="AC57" s="184"/>
      <c r="AD57" s="5"/>
      <c r="AE57" s="184"/>
      <c r="AF57" s="184"/>
      <c r="AG57" s="184"/>
      <c r="AH57" s="184"/>
      <c r="AI57" s="184"/>
      <c r="AJ57" s="184"/>
      <c r="AK57" s="5"/>
      <c r="AL57" s="184">
        <f t="shared" ref="AL57:AM57" si="158">ROUND(E57*(5/12)+K57*(5/12)+S57+X57-AE57,2)</f>
        <v>1.25</v>
      </c>
      <c r="AM57" s="184">
        <f t="shared" si="158"/>
        <v>0</v>
      </c>
      <c r="AN57" s="184">
        <f t="shared" si="5"/>
        <v>0</v>
      </c>
      <c r="AO57" s="184">
        <f t="shared" ref="AO57:AP57" si="159">ROUND(H57*(5/12)+N57*(5/12)+U57+Z57-AG57,2)</f>
        <v>0</v>
      </c>
      <c r="AP57" s="184">
        <f t="shared" si="159"/>
        <v>0.17</v>
      </c>
      <c r="AQ57" s="184">
        <f t="shared" ref="AQ57:AR57" si="160">P57+AB57-AI57</f>
        <v>1</v>
      </c>
      <c r="AR57" s="184">
        <f t="shared" si="160"/>
        <v>1</v>
      </c>
      <c r="AS57" s="5"/>
      <c r="AT57" s="176"/>
      <c r="AU57" s="176"/>
      <c r="AV57" s="176"/>
      <c r="AW57" s="176"/>
      <c r="AX57" s="176"/>
      <c r="AY57" s="176"/>
      <c r="AZ57" s="176"/>
      <c r="BA57" s="205" t="s">
        <v>1670</v>
      </c>
      <c r="BB57" s="5"/>
      <c r="BC57" s="62"/>
      <c r="BE57" s="184"/>
      <c r="BF57" s="184"/>
      <c r="BG57" s="184"/>
      <c r="BH57" s="184"/>
      <c r="BI57" s="184"/>
      <c r="BJ57" s="184"/>
      <c r="BK57" s="81"/>
      <c r="BL57" s="280" t="s">
        <v>1152</v>
      </c>
      <c r="BM57" s="280" t="s">
        <v>1699</v>
      </c>
      <c r="BN57" s="81"/>
    </row>
    <row r="58">
      <c r="A58" s="176">
        <v>54.0</v>
      </c>
      <c r="B58" s="309" t="s">
        <v>104</v>
      </c>
      <c r="C58" s="287" t="s">
        <v>93</v>
      </c>
      <c r="D58" s="179">
        <v>3.33</v>
      </c>
      <c r="E58" s="292">
        <v>0.42</v>
      </c>
      <c r="F58" s="292">
        <v>0.15</v>
      </c>
      <c r="G58" s="292">
        <v>0.1</v>
      </c>
      <c r="H58" s="292">
        <v>0.0</v>
      </c>
      <c r="I58" s="292">
        <v>0.0</v>
      </c>
      <c r="J58" s="294">
        <v>3.0</v>
      </c>
      <c r="K58" s="294">
        <v>0.75</v>
      </c>
      <c r="L58" s="294">
        <v>0.15</v>
      </c>
      <c r="M58" s="294">
        <v>0.1</v>
      </c>
      <c r="N58" s="316"/>
      <c r="O58" s="316"/>
      <c r="P58" s="180">
        <v>1.0</v>
      </c>
      <c r="Q58" s="180">
        <v>1.0</v>
      </c>
      <c r="R58" s="5"/>
      <c r="S58" s="176">
        <v>0.17</v>
      </c>
      <c r="T58" s="176">
        <v>0.0</v>
      </c>
      <c r="U58" s="176">
        <v>0.0</v>
      </c>
      <c r="V58" s="176">
        <v>0.0</v>
      </c>
      <c r="W58" s="5"/>
      <c r="X58" s="176">
        <v>0.17</v>
      </c>
      <c r="Y58" s="184"/>
      <c r="Z58" s="184"/>
      <c r="AA58" s="184"/>
      <c r="AB58" s="176"/>
      <c r="AC58" s="184"/>
      <c r="AD58" s="5"/>
      <c r="AE58" s="184"/>
      <c r="AF58" s="184"/>
      <c r="AG58" s="184"/>
      <c r="AH58" s="184"/>
      <c r="AI58" s="184"/>
      <c r="AJ58" s="184"/>
      <c r="AK58" s="5"/>
      <c r="AL58" s="184">
        <f t="shared" ref="AL58:AM58" si="161">ROUND(E58*(5/12)+K58*(5/12)+S58+X58-AE58,2)</f>
        <v>0.83</v>
      </c>
      <c r="AM58" s="184">
        <f t="shared" si="161"/>
        <v>0.13</v>
      </c>
      <c r="AN58" s="184">
        <f t="shared" si="5"/>
        <v>0.08</v>
      </c>
      <c r="AO58" s="184">
        <f t="shared" ref="AO58:AP58" si="162">ROUND(H58*(5/12)+N58*(5/12)+U58+Z58-AG58,2)</f>
        <v>0</v>
      </c>
      <c r="AP58" s="184">
        <f t="shared" si="162"/>
        <v>0</v>
      </c>
      <c r="AQ58" s="184">
        <f t="shared" ref="AQ58:AR58" si="163">P58+AB58-AI58</f>
        <v>1</v>
      </c>
      <c r="AR58" s="184">
        <f t="shared" si="163"/>
        <v>1</v>
      </c>
      <c r="AS58" s="5"/>
      <c r="AT58" s="176">
        <v>0.666</v>
      </c>
      <c r="AU58" s="176">
        <v>0.0</v>
      </c>
      <c r="AV58" s="176">
        <v>0.0</v>
      </c>
      <c r="AW58" s="176">
        <v>0.0</v>
      </c>
      <c r="AX58" s="176">
        <v>0.0</v>
      </c>
      <c r="AY58" s="176">
        <v>1.0</v>
      </c>
      <c r="AZ58" s="176">
        <v>1.0</v>
      </c>
      <c r="BA58" s="195" t="s">
        <v>1700</v>
      </c>
      <c r="BB58" s="5"/>
      <c r="BC58" s="62"/>
      <c r="BE58" s="184"/>
      <c r="BF58" s="184"/>
      <c r="BG58" s="184"/>
      <c r="BH58" s="184"/>
      <c r="BI58" s="323">
        <v>1.0</v>
      </c>
      <c r="BJ58" s="184"/>
      <c r="BK58" s="280" t="s">
        <v>1683</v>
      </c>
      <c r="BL58" s="305" t="s">
        <v>1561</v>
      </c>
      <c r="BM58" s="81"/>
      <c r="BN58" s="81"/>
    </row>
    <row r="59">
      <c r="A59" s="176">
        <v>55.0</v>
      </c>
      <c r="B59" s="309" t="s">
        <v>105</v>
      </c>
      <c r="C59" s="287" t="s">
        <v>93</v>
      </c>
      <c r="D59" s="179">
        <v>3.0</v>
      </c>
      <c r="E59" s="292">
        <v>0.88</v>
      </c>
      <c r="F59" s="292">
        <v>0.12</v>
      </c>
      <c r="G59" s="292">
        <v>0.0</v>
      </c>
      <c r="H59" s="292">
        <v>0.0</v>
      </c>
      <c r="I59" s="292">
        <v>0.0</v>
      </c>
      <c r="J59" s="294">
        <v>3.0</v>
      </c>
      <c r="K59" s="294">
        <v>0.75</v>
      </c>
      <c r="L59" s="294">
        <v>0.15</v>
      </c>
      <c r="M59" s="294">
        <v>0.1</v>
      </c>
      <c r="N59" s="316"/>
      <c r="O59" s="316"/>
      <c r="P59" s="180">
        <v>1.0</v>
      </c>
      <c r="Q59" s="180">
        <v>1.0</v>
      </c>
      <c r="R59" s="5"/>
      <c r="S59" s="176">
        <v>0.17</v>
      </c>
      <c r="T59" s="176">
        <v>0.0</v>
      </c>
      <c r="U59" s="176">
        <v>0.0</v>
      </c>
      <c r="V59" s="176">
        <v>0.0</v>
      </c>
      <c r="W59" s="5"/>
      <c r="X59" s="184"/>
      <c r="Y59" s="184"/>
      <c r="Z59" s="184"/>
      <c r="AA59" s="184"/>
      <c r="AB59" s="184"/>
      <c r="AC59" s="184"/>
      <c r="AD59" s="5"/>
      <c r="AE59" s="176">
        <v>0.17</v>
      </c>
      <c r="AF59" s="184"/>
      <c r="AG59" s="184"/>
      <c r="AH59" s="184"/>
      <c r="AI59" s="184"/>
      <c r="AJ59" s="184"/>
      <c r="AK59" s="5"/>
      <c r="AL59" s="184">
        <f t="shared" ref="AL59:AM59" si="164">ROUND(E59*(5/12)+K59*(5/12)+S59+X59-AE59,2)</f>
        <v>0.68</v>
      </c>
      <c r="AM59" s="184">
        <f t="shared" si="164"/>
        <v>0.11</v>
      </c>
      <c r="AN59" s="184">
        <f t="shared" si="5"/>
        <v>0.04</v>
      </c>
      <c r="AO59" s="184">
        <f t="shared" ref="AO59:AP59" si="165">ROUND(H59*(5/12)+N59*(5/12)+U59+Z59-AG59,2)</f>
        <v>0</v>
      </c>
      <c r="AP59" s="184">
        <f t="shared" si="165"/>
        <v>0</v>
      </c>
      <c r="AQ59" s="184">
        <f t="shared" ref="AQ59:AR59" si="166">P59+AB59-AI59</f>
        <v>1</v>
      </c>
      <c r="AR59" s="184">
        <f t="shared" si="166"/>
        <v>1</v>
      </c>
      <c r="AS59" s="5"/>
      <c r="AT59" s="176">
        <v>1.6</v>
      </c>
      <c r="AU59" s="176">
        <v>0.12</v>
      </c>
      <c r="AV59" s="176">
        <v>0.1</v>
      </c>
      <c r="AW59" s="176">
        <v>0.0</v>
      </c>
      <c r="AX59" s="176">
        <v>0.0</v>
      </c>
      <c r="AY59" s="176">
        <v>1.0</v>
      </c>
      <c r="AZ59" s="176">
        <v>1.0</v>
      </c>
      <c r="BA59" s="180" t="s">
        <v>1701</v>
      </c>
      <c r="BB59" s="5"/>
      <c r="BC59" s="62"/>
      <c r="BE59" s="184"/>
      <c r="BF59" s="184"/>
      <c r="BG59" s="184"/>
      <c r="BH59" s="184"/>
      <c r="BI59" s="184"/>
      <c r="BJ59" s="184"/>
      <c r="BK59" s="81"/>
      <c r="BL59" s="280" t="s">
        <v>1152</v>
      </c>
      <c r="BM59" s="81"/>
      <c r="BN59" s="81"/>
    </row>
    <row r="60">
      <c r="A60" s="176">
        <v>56.0</v>
      </c>
      <c r="B60" s="286" t="s">
        <v>106</v>
      </c>
      <c r="C60" s="287" t="s">
        <v>93</v>
      </c>
      <c r="D60" s="179">
        <v>3.66</v>
      </c>
      <c r="E60" s="292">
        <v>0.32</v>
      </c>
      <c r="F60" s="292">
        <v>0.02</v>
      </c>
      <c r="G60" s="292">
        <v>0.0</v>
      </c>
      <c r="H60" s="292">
        <v>0.0</v>
      </c>
      <c r="I60" s="292">
        <v>0.0</v>
      </c>
      <c r="J60" s="294">
        <v>3.0</v>
      </c>
      <c r="K60" s="294">
        <v>0.79</v>
      </c>
      <c r="L60" s="294">
        <v>0.11</v>
      </c>
      <c r="M60" s="294">
        <v>0.1</v>
      </c>
      <c r="N60" s="316"/>
      <c r="O60" s="316"/>
      <c r="P60" s="180">
        <v>1.0</v>
      </c>
      <c r="Q60" s="180">
        <v>1.0</v>
      </c>
      <c r="R60" s="5"/>
      <c r="S60" s="176">
        <v>0.0</v>
      </c>
      <c r="T60" s="176">
        <v>0.0</v>
      </c>
      <c r="U60" s="176">
        <v>0.0</v>
      </c>
      <c r="V60" s="176">
        <v>0.0</v>
      </c>
      <c r="W60" s="5"/>
      <c r="X60" s="184"/>
      <c r="Y60" s="184"/>
      <c r="Z60" s="184"/>
      <c r="AA60" s="184"/>
      <c r="AB60" s="176">
        <v>1.0</v>
      </c>
      <c r="AC60" s="176">
        <v>1.0</v>
      </c>
      <c r="AD60" s="5"/>
      <c r="AE60" s="184"/>
      <c r="AF60" s="184"/>
      <c r="AG60" s="184"/>
      <c r="AH60" s="184"/>
      <c r="AI60" s="184"/>
      <c r="AJ60" s="184"/>
      <c r="AK60" s="5"/>
      <c r="AL60" s="184">
        <f t="shared" ref="AL60:AM60" si="167">ROUND(E60*(5/12)+K60*(5/12)+S60+X60-AE60,2)</f>
        <v>0.46</v>
      </c>
      <c r="AM60" s="184">
        <f t="shared" si="167"/>
        <v>0.05</v>
      </c>
      <c r="AN60" s="184">
        <f t="shared" si="5"/>
        <v>0.04</v>
      </c>
      <c r="AO60" s="184">
        <f t="shared" ref="AO60:AP60" si="168">ROUND(H60*(5/12)+N60*(5/12)+U60+Z60-AG60,2)</f>
        <v>0</v>
      </c>
      <c r="AP60" s="184">
        <f t="shared" si="168"/>
        <v>0</v>
      </c>
      <c r="AQ60" s="184">
        <f t="shared" ref="AQ60:AR60" si="169">P60+AB60-AI60</f>
        <v>2</v>
      </c>
      <c r="AR60" s="184">
        <f t="shared" si="169"/>
        <v>2</v>
      </c>
      <c r="AS60" s="5"/>
      <c r="AT60" s="176">
        <v>0.0</v>
      </c>
      <c r="AU60" s="176">
        <v>0.0</v>
      </c>
      <c r="AV60" s="176">
        <v>0.0</v>
      </c>
      <c r="AW60" s="176">
        <v>0.0</v>
      </c>
      <c r="AX60" s="176">
        <v>0.0</v>
      </c>
      <c r="AY60" s="176">
        <v>1.0</v>
      </c>
      <c r="AZ60" s="176">
        <v>1.5</v>
      </c>
      <c r="BA60" s="259" t="s">
        <v>1702</v>
      </c>
      <c r="BB60" s="5"/>
      <c r="BC60" s="62"/>
      <c r="BE60" s="184"/>
      <c r="BF60" s="184"/>
      <c r="BG60" s="184"/>
      <c r="BH60" s="184"/>
      <c r="BI60" s="184"/>
      <c r="BJ60" s="184"/>
      <c r="BK60" s="81"/>
      <c r="BL60" s="305" t="s">
        <v>1561</v>
      </c>
      <c r="BM60" s="81"/>
      <c r="BN60" s="81"/>
    </row>
    <row r="61">
      <c r="A61" s="176">
        <v>57.0</v>
      </c>
      <c r="B61" s="286" t="s">
        <v>1282</v>
      </c>
      <c r="C61" s="287" t="s">
        <v>93</v>
      </c>
      <c r="D61" s="179">
        <v>4.0</v>
      </c>
      <c r="E61" s="292">
        <v>0.0</v>
      </c>
      <c r="F61" s="292">
        <v>0.0</v>
      </c>
      <c r="G61" s="292">
        <v>0.0</v>
      </c>
      <c r="H61" s="292">
        <v>0.0</v>
      </c>
      <c r="I61" s="292">
        <v>0.0</v>
      </c>
      <c r="J61" s="294">
        <v>3.0</v>
      </c>
      <c r="K61" s="294">
        <v>0.79</v>
      </c>
      <c r="L61" s="294">
        <v>0.11</v>
      </c>
      <c r="M61" s="294">
        <v>0.1</v>
      </c>
      <c r="N61" s="316"/>
      <c r="O61" s="316"/>
      <c r="P61" s="180">
        <v>1.0</v>
      </c>
      <c r="Q61" s="180">
        <v>1.0</v>
      </c>
      <c r="R61" s="5"/>
      <c r="S61" s="176">
        <v>0.0</v>
      </c>
      <c r="T61" s="176">
        <v>0.0</v>
      </c>
      <c r="U61" s="176">
        <v>0.0</v>
      </c>
      <c r="V61" s="176">
        <v>0.0</v>
      </c>
      <c r="W61" s="5"/>
      <c r="X61" s="184"/>
      <c r="Y61" s="184"/>
      <c r="Z61" s="184"/>
      <c r="AA61" s="184"/>
      <c r="AB61" s="176">
        <v>1.0</v>
      </c>
      <c r="AC61" s="184"/>
      <c r="AD61" s="5"/>
      <c r="AE61" s="176">
        <v>0.062</v>
      </c>
      <c r="AF61" s="184"/>
      <c r="AG61" s="184"/>
      <c r="AH61" s="184"/>
      <c r="AI61" s="184"/>
      <c r="AJ61" s="184"/>
      <c r="AK61" s="5"/>
      <c r="AL61" s="184">
        <f t="shared" ref="AL61:AM61" si="170">ROUND(E61*(5/12)+K61*(5/12)+S61+X61-AE61,2)</f>
        <v>0.27</v>
      </c>
      <c r="AM61" s="184">
        <f t="shared" si="170"/>
        <v>0.05</v>
      </c>
      <c r="AN61" s="184">
        <f t="shared" si="5"/>
        <v>0.04</v>
      </c>
      <c r="AO61" s="184">
        <f t="shared" ref="AO61:AP61" si="171">ROUND(H61*(5/12)+N61*(5/12)+U61+Z61-AG61,2)</f>
        <v>0</v>
      </c>
      <c r="AP61" s="184">
        <f t="shared" si="171"/>
        <v>0</v>
      </c>
      <c r="AQ61" s="184">
        <f t="shared" ref="AQ61:AR61" si="172">P61+AB61-AI61</f>
        <v>2</v>
      </c>
      <c r="AR61" s="184">
        <f t="shared" si="172"/>
        <v>1</v>
      </c>
      <c r="AS61" s="5"/>
      <c r="AT61" s="176">
        <v>0.1</v>
      </c>
      <c r="AU61" s="176">
        <v>0.0</v>
      </c>
      <c r="AV61" s="176">
        <v>0.05</v>
      </c>
      <c r="AW61" s="176">
        <v>0.0</v>
      </c>
      <c r="AX61" s="176">
        <v>0.0</v>
      </c>
      <c r="AY61" s="176">
        <v>1.5</v>
      </c>
      <c r="AZ61" s="176">
        <v>0.0</v>
      </c>
      <c r="BA61" s="180" t="s">
        <v>1703</v>
      </c>
      <c r="BB61" s="5"/>
      <c r="BC61" s="62"/>
      <c r="BE61" s="323">
        <v>0.5</v>
      </c>
      <c r="BF61" s="184"/>
      <c r="BG61" s="184"/>
      <c r="BH61" s="184"/>
      <c r="BI61" s="184"/>
      <c r="BJ61" s="184"/>
      <c r="BK61" s="280" t="s">
        <v>1683</v>
      </c>
      <c r="BL61" s="280" t="s">
        <v>1152</v>
      </c>
      <c r="BM61" s="81"/>
      <c r="BN61" s="81"/>
    </row>
    <row r="62">
      <c r="A62" s="176">
        <v>58.0</v>
      </c>
      <c r="B62" s="320" t="s">
        <v>1704</v>
      </c>
      <c r="C62" s="324" t="s">
        <v>93</v>
      </c>
      <c r="D62" s="212">
        <v>3.0</v>
      </c>
      <c r="E62" s="325">
        <v>0.7</v>
      </c>
      <c r="F62" s="325">
        <v>0.15</v>
      </c>
      <c r="G62" s="325">
        <v>0.15</v>
      </c>
      <c r="H62" s="325">
        <v>0.0</v>
      </c>
      <c r="I62" s="325">
        <v>0.0</v>
      </c>
      <c r="J62" s="294">
        <v>3.0</v>
      </c>
      <c r="K62" s="294">
        <v>0.6</v>
      </c>
      <c r="L62" s="316"/>
      <c r="M62" s="294">
        <v>0.2</v>
      </c>
      <c r="N62" s="316"/>
      <c r="O62" s="294">
        <v>0.2</v>
      </c>
      <c r="P62" s="180">
        <v>1.0</v>
      </c>
      <c r="Q62" s="180">
        <v>1.0</v>
      </c>
      <c r="R62" s="317"/>
      <c r="S62" s="213">
        <v>0.0</v>
      </c>
      <c r="T62" s="213">
        <v>0.0</v>
      </c>
      <c r="U62" s="213">
        <v>0.0</v>
      </c>
      <c r="V62" s="213">
        <v>0.0</v>
      </c>
      <c r="W62" s="317"/>
      <c r="X62" s="213">
        <v>0.21</v>
      </c>
      <c r="Y62" s="304"/>
      <c r="Z62" s="304"/>
      <c r="AA62" s="304"/>
      <c r="AB62" s="213">
        <v>1.0</v>
      </c>
      <c r="AC62" s="304"/>
      <c r="AD62" s="317"/>
      <c r="AE62" s="304"/>
      <c r="AF62" s="304"/>
      <c r="AG62" s="304"/>
      <c r="AH62" s="304"/>
      <c r="AI62" s="304"/>
      <c r="AJ62" s="304"/>
      <c r="AK62" s="317"/>
      <c r="AL62" s="184">
        <f t="shared" ref="AL62:AM62" si="173">ROUND(E62*(5/12)+K62*(5/12)+S62+X62-AE62,2)</f>
        <v>0.75</v>
      </c>
      <c r="AM62" s="184">
        <f t="shared" si="173"/>
        <v>0.06</v>
      </c>
      <c r="AN62" s="184">
        <f t="shared" si="5"/>
        <v>0.15</v>
      </c>
      <c r="AO62" s="184">
        <f t="shared" ref="AO62:AP62" si="174">ROUND(H62*(5/12)+N62*(5/12)+U62+Z62-AG62,2)</f>
        <v>0</v>
      </c>
      <c r="AP62" s="184">
        <f t="shared" si="174"/>
        <v>0.08</v>
      </c>
      <c r="AQ62" s="184">
        <f t="shared" ref="AQ62:AR62" si="175">P62+AB62-AI62</f>
        <v>2</v>
      </c>
      <c r="AR62" s="184">
        <f t="shared" si="175"/>
        <v>1</v>
      </c>
      <c r="AS62" s="317"/>
      <c r="AT62" s="213">
        <v>0.0</v>
      </c>
      <c r="AU62" s="326">
        <v>0.0</v>
      </c>
      <c r="AV62" s="176">
        <v>0.1</v>
      </c>
      <c r="AW62" s="213">
        <v>0.0</v>
      </c>
      <c r="AX62" s="213">
        <v>0.08</v>
      </c>
      <c r="AY62" s="213">
        <v>2.0</v>
      </c>
      <c r="AZ62" s="213">
        <v>1.0</v>
      </c>
      <c r="BA62" s="215" t="s">
        <v>1705</v>
      </c>
      <c r="BB62" s="317"/>
      <c r="BC62" s="62"/>
      <c r="BD62" s="327"/>
      <c r="BE62" s="304"/>
      <c r="BF62" s="304"/>
      <c r="BG62" s="304"/>
      <c r="BH62" s="304"/>
      <c r="BI62" s="304"/>
      <c r="BJ62" s="304"/>
      <c r="BK62" s="328"/>
      <c r="BL62" s="280" t="s">
        <v>1152</v>
      </c>
      <c r="BM62" s="328"/>
      <c r="BN62" s="328"/>
    </row>
    <row r="63">
      <c r="A63" s="176">
        <v>59.0</v>
      </c>
      <c r="B63" s="320" t="s">
        <v>1284</v>
      </c>
      <c r="C63" s="324" t="s">
        <v>93</v>
      </c>
      <c r="D63" s="212">
        <v>4.5</v>
      </c>
      <c r="E63" s="212">
        <v>0.0</v>
      </c>
      <c r="F63" s="212">
        <v>0.0</v>
      </c>
      <c r="G63" s="212">
        <v>0.0</v>
      </c>
      <c r="H63" s="212">
        <v>0.0</v>
      </c>
      <c r="I63" s="212">
        <v>0.0</v>
      </c>
      <c r="J63" s="294">
        <v>4.0</v>
      </c>
      <c r="K63" s="316"/>
      <c r="L63" s="316"/>
      <c r="M63" s="316"/>
      <c r="N63" s="316"/>
      <c r="O63" s="316"/>
      <c r="P63" s="180">
        <v>1.0</v>
      </c>
      <c r="Q63" s="180">
        <v>1.0</v>
      </c>
      <c r="R63" s="317"/>
      <c r="S63" s="213"/>
      <c r="T63" s="213"/>
      <c r="U63" s="213"/>
      <c r="V63" s="213"/>
      <c r="W63" s="317"/>
      <c r="X63" s="213"/>
      <c r="Y63" s="304"/>
      <c r="Z63" s="304"/>
      <c r="AA63" s="304"/>
      <c r="AB63" s="213"/>
      <c r="AC63" s="304"/>
      <c r="AD63" s="317"/>
      <c r="AE63" s="304"/>
      <c r="AF63" s="304"/>
      <c r="AG63" s="304"/>
      <c r="AH63" s="304"/>
      <c r="AI63" s="304"/>
      <c r="AJ63" s="304"/>
      <c r="AK63" s="317"/>
      <c r="AL63" s="184">
        <f t="shared" ref="AL63:AM63" si="176">ROUND(E63*(5/12)+K63*(5/12)+S63+X63-AE63,2)</f>
        <v>0</v>
      </c>
      <c r="AM63" s="184">
        <f t="shared" si="176"/>
        <v>0</v>
      </c>
      <c r="AN63" s="184">
        <f t="shared" si="5"/>
        <v>0</v>
      </c>
      <c r="AO63" s="184">
        <f t="shared" ref="AO63:AP63" si="177">ROUND(H63*(5/12)+N63*(5/12)+U63+Z63-AG63,2)</f>
        <v>0</v>
      </c>
      <c r="AP63" s="184">
        <f t="shared" si="177"/>
        <v>0</v>
      </c>
      <c r="AQ63" s="184">
        <f t="shared" ref="AQ63:AR63" si="178">P63+AB63-AI63</f>
        <v>1</v>
      </c>
      <c r="AR63" s="184">
        <f t="shared" si="178"/>
        <v>1</v>
      </c>
      <c r="AS63" s="317"/>
      <c r="AT63" s="213">
        <v>0.0</v>
      </c>
      <c r="AU63" s="213">
        <v>0.0</v>
      </c>
      <c r="AV63" s="213">
        <v>0.0</v>
      </c>
      <c r="AW63" s="213">
        <v>0.0</v>
      </c>
      <c r="AX63" s="213">
        <v>0.0</v>
      </c>
      <c r="AY63" s="213">
        <v>0.0</v>
      </c>
      <c r="AZ63" s="213"/>
      <c r="BA63" s="215" t="s">
        <v>1706</v>
      </c>
      <c r="BB63" s="317"/>
      <c r="BC63" s="62"/>
      <c r="BD63" s="327"/>
      <c r="BE63" s="304"/>
      <c r="BF63" s="304"/>
      <c r="BG63" s="304"/>
      <c r="BH63" s="304"/>
      <c r="BI63" s="304"/>
      <c r="BJ63" s="304"/>
      <c r="BK63" s="328"/>
      <c r="BL63" s="280" t="s">
        <v>1152</v>
      </c>
      <c r="BM63" s="328"/>
      <c r="BN63" s="328"/>
    </row>
    <row r="64">
      <c r="A64" s="176">
        <v>60.0</v>
      </c>
      <c r="B64" s="299" t="s">
        <v>1707</v>
      </c>
      <c r="C64" s="315" t="s">
        <v>93</v>
      </c>
      <c r="D64" s="212">
        <v>4.0</v>
      </c>
      <c r="E64" s="212">
        <v>0.0</v>
      </c>
      <c r="F64" s="212">
        <v>0.0</v>
      </c>
      <c r="G64" s="212">
        <v>0.0</v>
      </c>
      <c r="H64" s="212">
        <v>0.0</v>
      </c>
      <c r="I64" s="212">
        <v>0.0</v>
      </c>
      <c r="J64" s="294"/>
      <c r="K64" s="316"/>
      <c r="L64" s="316"/>
      <c r="M64" s="316"/>
      <c r="N64" s="316"/>
      <c r="O64" s="316"/>
      <c r="P64" s="180">
        <v>1.0</v>
      </c>
      <c r="Q64" s="180">
        <v>1.0</v>
      </c>
      <c r="R64" s="317"/>
      <c r="S64" s="213"/>
      <c r="T64" s="213"/>
      <c r="U64" s="213"/>
      <c r="V64" s="213"/>
      <c r="W64" s="317"/>
      <c r="X64" s="213"/>
      <c r="Y64" s="304"/>
      <c r="Z64" s="304"/>
      <c r="AA64" s="304"/>
      <c r="AB64" s="213"/>
      <c r="AC64" s="304"/>
      <c r="AD64" s="317"/>
      <c r="AE64" s="304"/>
      <c r="AF64" s="304"/>
      <c r="AG64" s="304"/>
      <c r="AH64" s="304"/>
      <c r="AI64" s="304"/>
      <c r="AJ64" s="304"/>
      <c r="AK64" s="317"/>
      <c r="AL64" s="184">
        <f t="shared" ref="AL64:AM64" si="179">ROUND(E64*(5/12)+K64*(5/12)+S64+X64-AE64,2)</f>
        <v>0</v>
      </c>
      <c r="AM64" s="184">
        <f t="shared" si="179"/>
        <v>0</v>
      </c>
      <c r="AN64" s="184">
        <f t="shared" si="5"/>
        <v>0</v>
      </c>
      <c r="AO64" s="184">
        <f t="shared" ref="AO64:AP64" si="180">ROUND(H64*(5/12)+N64*(5/12)+U64+Z64-AG64,2)</f>
        <v>0</v>
      </c>
      <c r="AP64" s="184">
        <f t="shared" si="180"/>
        <v>0</v>
      </c>
      <c r="AQ64" s="184">
        <f t="shared" ref="AQ64:AR64" si="181">P64+AB64-AI64</f>
        <v>1</v>
      </c>
      <c r="AR64" s="184">
        <f t="shared" si="181"/>
        <v>1</v>
      </c>
      <c r="AS64" s="317"/>
      <c r="AT64" s="213"/>
      <c r="AU64" s="213"/>
      <c r="AV64" s="213"/>
      <c r="AW64" s="213"/>
      <c r="AX64" s="213"/>
      <c r="AY64" s="213"/>
      <c r="AZ64" s="213"/>
      <c r="BA64" s="205" t="s">
        <v>1670</v>
      </c>
      <c r="BB64" s="317"/>
      <c r="BC64" s="62"/>
      <c r="BD64" s="327"/>
      <c r="BE64" s="304"/>
      <c r="BF64" s="304"/>
      <c r="BG64" s="304"/>
      <c r="BH64" s="304"/>
      <c r="BI64" s="304"/>
      <c r="BJ64" s="304"/>
      <c r="BK64" s="328"/>
      <c r="BL64" s="328"/>
      <c r="BM64" s="328"/>
      <c r="BN64" s="328"/>
    </row>
    <row r="65">
      <c r="A65" s="176">
        <v>61.0</v>
      </c>
      <c r="B65" s="320" t="s">
        <v>1286</v>
      </c>
      <c r="C65" s="324" t="s">
        <v>93</v>
      </c>
      <c r="D65" s="212">
        <v>4.0</v>
      </c>
      <c r="E65" s="212">
        <v>0.0</v>
      </c>
      <c r="F65" s="212">
        <v>0.0</v>
      </c>
      <c r="G65" s="212">
        <v>0.0</v>
      </c>
      <c r="H65" s="212">
        <v>0.0</v>
      </c>
      <c r="I65" s="212">
        <v>0.0</v>
      </c>
      <c r="J65" s="294">
        <v>3.0</v>
      </c>
      <c r="K65" s="294">
        <v>1.0</v>
      </c>
      <c r="L65" s="316"/>
      <c r="M65" s="316"/>
      <c r="N65" s="316"/>
      <c r="O65" s="316"/>
      <c r="P65" s="180">
        <v>1.0</v>
      </c>
      <c r="Q65" s="180">
        <v>1.0</v>
      </c>
      <c r="R65" s="317"/>
      <c r="S65" s="213"/>
      <c r="T65" s="213"/>
      <c r="U65" s="213"/>
      <c r="V65" s="213"/>
      <c r="W65" s="317"/>
      <c r="X65" s="213"/>
      <c r="Y65" s="304"/>
      <c r="Z65" s="304"/>
      <c r="AA65" s="304"/>
      <c r="AB65" s="213"/>
      <c r="AC65" s="304"/>
      <c r="AD65" s="317"/>
      <c r="AE65" s="304"/>
      <c r="AF65" s="304"/>
      <c r="AG65" s="304"/>
      <c r="AH65" s="304"/>
      <c r="AI65" s="304"/>
      <c r="AJ65" s="304"/>
      <c r="AK65" s="317"/>
      <c r="AL65" s="184">
        <f t="shared" ref="AL65:AM65" si="182">ROUND(E65*(5/12)+K65*(5/12)+S65+X65-AE65,2)</f>
        <v>0.42</v>
      </c>
      <c r="AM65" s="184">
        <f t="shared" si="182"/>
        <v>0</v>
      </c>
      <c r="AN65" s="184">
        <f t="shared" si="5"/>
        <v>0</v>
      </c>
      <c r="AO65" s="184">
        <f t="shared" ref="AO65:AP65" si="183">ROUND(H65*(5/12)+N65*(5/12)+U65+Z65-AG65,2)</f>
        <v>0</v>
      </c>
      <c r="AP65" s="184">
        <f t="shared" si="183"/>
        <v>0</v>
      </c>
      <c r="AQ65" s="184">
        <f t="shared" ref="AQ65:AR65" si="184">P65+AB65-AI65</f>
        <v>1</v>
      </c>
      <c r="AR65" s="184">
        <f t="shared" si="184"/>
        <v>1</v>
      </c>
      <c r="AS65" s="317"/>
      <c r="AT65" s="213">
        <v>0.25</v>
      </c>
      <c r="AU65" s="213">
        <v>0.0</v>
      </c>
      <c r="AV65" s="213">
        <v>0.0</v>
      </c>
      <c r="AW65" s="213">
        <v>0.0</v>
      </c>
      <c r="AX65" s="213">
        <v>0.0</v>
      </c>
      <c r="AY65" s="213">
        <v>0.5</v>
      </c>
      <c r="AZ65" s="213">
        <v>1.0</v>
      </c>
      <c r="BA65" s="205" t="s">
        <v>1708</v>
      </c>
      <c r="BB65" s="317"/>
      <c r="BC65" s="62"/>
      <c r="BD65" s="327"/>
      <c r="BE65" s="304"/>
      <c r="BF65" s="304"/>
      <c r="BG65" s="304"/>
      <c r="BH65" s="304"/>
      <c r="BI65" s="304"/>
      <c r="BJ65" s="304"/>
      <c r="BK65" s="328"/>
      <c r="BL65" s="305" t="s">
        <v>1561</v>
      </c>
      <c r="BM65" s="328"/>
      <c r="BN65" s="328"/>
    </row>
    <row r="66">
      <c r="A66" s="176">
        <v>62.0</v>
      </c>
      <c r="B66" s="320" t="s">
        <v>1709</v>
      </c>
      <c r="C66" s="324" t="s">
        <v>93</v>
      </c>
      <c r="D66" s="212">
        <v>4.0</v>
      </c>
      <c r="E66" s="212">
        <v>0.0</v>
      </c>
      <c r="F66" s="212">
        <v>0.0</v>
      </c>
      <c r="G66" s="212">
        <v>0.0</v>
      </c>
      <c r="H66" s="212">
        <v>0.0</v>
      </c>
      <c r="I66" s="212">
        <v>0.0</v>
      </c>
      <c r="J66" s="294">
        <v>3.0</v>
      </c>
      <c r="K66" s="294">
        <v>0.8</v>
      </c>
      <c r="L66" s="316"/>
      <c r="M66" s="294">
        <v>0.2</v>
      </c>
      <c r="N66" s="316"/>
      <c r="O66" s="316"/>
      <c r="P66" s="180">
        <v>1.0</v>
      </c>
      <c r="Q66" s="180">
        <v>1.0</v>
      </c>
      <c r="R66" s="317"/>
      <c r="S66" s="213"/>
      <c r="T66" s="213"/>
      <c r="U66" s="213"/>
      <c r="V66" s="213"/>
      <c r="W66" s="317"/>
      <c r="X66" s="213"/>
      <c r="Y66" s="304"/>
      <c r="Z66" s="304"/>
      <c r="AA66" s="304"/>
      <c r="AB66" s="213"/>
      <c r="AC66" s="304"/>
      <c r="AD66" s="317"/>
      <c r="AE66" s="304"/>
      <c r="AF66" s="304"/>
      <c r="AG66" s="304"/>
      <c r="AH66" s="304"/>
      <c r="AI66" s="304"/>
      <c r="AJ66" s="304"/>
      <c r="AK66" s="317"/>
      <c r="AL66" s="184">
        <f t="shared" ref="AL66:AM66" si="185">ROUND(E66*(5/12)+K66*(5/12)+S66+X66-AE66,2)</f>
        <v>0.33</v>
      </c>
      <c r="AM66" s="184">
        <f t="shared" si="185"/>
        <v>0</v>
      </c>
      <c r="AN66" s="184">
        <f t="shared" si="5"/>
        <v>0.08</v>
      </c>
      <c r="AO66" s="184">
        <f t="shared" ref="AO66:AP66" si="186">ROUND(H66*(5/12)+N66*(5/12)+U66+Z66-AG66,2)</f>
        <v>0</v>
      </c>
      <c r="AP66" s="184">
        <f t="shared" si="186"/>
        <v>0</v>
      </c>
      <c r="AQ66" s="184">
        <f t="shared" ref="AQ66:AR66" si="187">P66+AB66-AI66</f>
        <v>1</v>
      </c>
      <c r="AR66" s="184">
        <f t="shared" si="187"/>
        <v>1</v>
      </c>
      <c r="AS66" s="317"/>
      <c r="AT66" s="213">
        <v>0.0</v>
      </c>
      <c r="AU66" s="213">
        <v>0.0</v>
      </c>
      <c r="AV66" s="213">
        <v>0.0</v>
      </c>
      <c r="AW66" s="213">
        <v>0.0</v>
      </c>
      <c r="AX66" s="213">
        <v>0.0</v>
      </c>
      <c r="AY66" s="213">
        <v>0.5</v>
      </c>
      <c r="AZ66" s="213">
        <v>0.0</v>
      </c>
      <c r="BA66" s="215" t="s">
        <v>1710</v>
      </c>
      <c r="BB66" s="317"/>
      <c r="BC66" s="62"/>
      <c r="BD66" s="327"/>
      <c r="BE66" s="304"/>
      <c r="BF66" s="304"/>
      <c r="BG66" s="304"/>
      <c r="BH66" s="304"/>
      <c r="BI66" s="304"/>
      <c r="BJ66" s="304"/>
      <c r="BK66" s="328"/>
      <c r="BL66" s="305" t="s">
        <v>1561</v>
      </c>
      <c r="BM66" s="328"/>
      <c r="BN66" s="328"/>
    </row>
    <row r="67">
      <c r="A67" s="176">
        <v>63.0</v>
      </c>
      <c r="B67" s="320" t="s">
        <v>109</v>
      </c>
      <c r="C67" s="324" t="s">
        <v>93</v>
      </c>
      <c r="D67" s="212">
        <v>4.0</v>
      </c>
      <c r="E67" s="212">
        <v>0.0</v>
      </c>
      <c r="F67" s="212">
        <v>0.0</v>
      </c>
      <c r="G67" s="212">
        <v>0.0</v>
      </c>
      <c r="H67" s="212">
        <v>0.0</v>
      </c>
      <c r="I67" s="212">
        <v>0.0</v>
      </c>
      <c r="J67" s="294">
        <v>3.0</v>
      </c>
      <c r="K67" s="294">
        <v>1.0</v>
      </c>
      <c r="L67" s="316"/>
      <c r="M67" s="316"/>
      <c r="N67" s="316"/>
      <c r="O67" s="316"/>
      <c r="P67" s="180">
        <v>1.0</v>
      </c>
      <c r="Q67" s="180">
        <v>1.0</v>
      </c>
      <c r="R67" s="317"/>
      <c r="S67" s="213"/>
      <c r="T67" s="213"/>
      <c r="U67" s="213"/>
      <c r="V67" s="213"/>
      <c r="W67" s="317"/>
      <c r="X67" s="213"/>
      <c r="Y67" s="304"/>
      <c r="Z67" s="304"/>
      <c r="AA67" s="304"/>
      <c r="AB67" s="213"/>
      <c r="AC67" s="304"/>
      <c r="AD67" s="317"/>
      <c r="AE67" s="304"/>
      <c r="AF67" s="304"/>
      <c r="AG67" s="304"/>
      <c r="AH67" s="304"/>
      <c r="AI67" s="304"/>
      <c r="AJ67" s="304"/>
      <c r="AK67" s="317"/>
      <c r="AL67" s="184">
        <f t="shared" ref="AL67:AM67" si="188">ROUND(E67*(5/12)+K67*(5/12)+S67+X67-AE67,2)</f>
        <v>0.42</v>
      </c>
      <c r="AM67" s="184">
        <f t="shared" si="188"/>
        <v>0</v>
      </c>
      <c r="AN67" s="184">
        <f t="shared" si="5"/>
        <v>0</v>
      </c>
      <c r="AO67" s="184">
        <f t="shared" ref="AO67:AP67" si="189">ROUND(H67*(5/12)+N67*(5/12)+U67+Z67-AG67,2)</f>
        <v>0</v>
      </c>
      <c r="AP67" s="184">
        <f t="shared" si="189"/>
        <v>0</v>
      </c>
      <c r="AQ67" s="184">
        <f t="shared" ref="AQ67:AR67" si="190">P67+AB67-AI67</f>
        <v>1</v>
      </c>
      <c r="AR67" s="184">
        <f t="shared" si="190"/>
        <v>1</v>
      </c>
      <c r="AS67" s="317"/>
      <c r="AT67" s="213">
        <v>0.25</v>
      </c>
      <c r="AU67" s="213">
        <v>0.0</v>
      </c>
      <c r="AV67" s="213">
        <v>0.0</v>
      </c>
      <c r="AW67" s="213">
        <v>0.0</v>
      </c>
      <c r="AX67" s="213">
        <v>0.0</v>
      </c>
      <c r="AY67" s="213">
        <v>1.0</v>
      </c>
      <c r="AZ67" s="213">
        <v>1.0</v>
      </c>
      <c r="BA67" s="205" t="s">
        <v>1711</v>
      </c>
      <c r="BB67" s="317"/>
      <c r="BC67" s="62"/>
      <c r="BD67" s="327"/>
      <c r="BE67" s="304"/>
      <c r="BF67" s="304"/>
      <c r="BG67" s="304"/>
      <c r="BH67" s="304"/>
      <c r="BI67" s="304"/>
      <c r="BJ67" s="304"/>
      <c r="BK67" s="328"/>
      <c r="BL67" s="305" t="s">
        <v>1561</v>
      </c>
      <c r="BM67" s="328"/>
      <c r="BN67" s="328"/>
    </row>
    <row r="68">
      <c r="A68" s="176">
        <v>64.0</v>
      </c>
      <c r="B68" s="299" t="s">
        <v>1712</v>
      </c>
      <c r="C68" s="315" t="s">
        <v>93</v>
      </c>
      <c r="D68" s="212">
        <v>4.0</v>
      </c>
      <c r="E68" s="212">
        <v>0.0</v>
      </c>
      <c r="F68" s="212">
        <v>0.0</v>
      </c>
      <c r="G68" s="212">
        <v>0.0</v>
      </c>
      <c r="H68" s="212">
        <v>0.0</v>
      </c>
      <c r="I68" s="212">
        <v>0.0</v>
      </c>
      <c r="J68" s="294"/>
      <c r="K68" s="316"/>
      <c r="L68" s="316"/>
      <c r="M68" s="316"/>
      <c r="N68" s="316"/>
      <c r="O68" s="316"/>
      <c r="P68" s="180">
        <v>1.0</v>
      </c>
      <c r="Q68" s="180">
        <v>1.0</v>
      </c>
      <c r="R68" s="317"/>
      <c r="S68" s="213"/>
      <c r="T68" s="213"/>
      <c r="U68" s="213"/>
      <c r="V68" s="213"/>
      <c r="W68" s="317"/>
      <c r="X68" s="213"/>
      <c r="Y68" s="304"/>
      <c r="Z68" s="304"/>
      <c r="AA68" s="304"/>
      <c r="AB68" s="213"/>
      <c r="AC68" s="304"/>
      <c r="AD68" s="317"/>
      <c r="AE68" s="304"/>
      <c r="AF68" s="304"/>
      <c r="AG68" s="304"/>
      <c r="AH68" s="304"/>
      <c r="AI68" s="304"/>
      <c r="AJ68" s="304"/>
      <c r="AK68" s="317"/>
      <c r="AL68" s="184">
        <f t="shared" ref="AL68:AM68" si="191">ROUND(E68*(5/12)+K68*(5/12)+S68+X68-AE68,2)</f>
        <v>0</v>
      </c>
      <c r="AM68" s="184">
        <f t="shared" si="191"/>
        <v>0</v>
      </c>
      <c r="AN68" s="184">
        <f t="shared" si="5"/>
        <v>0</v>
      </c>
      <c r="AO68" s="184">
        <f t="shared" ref="AO68:AP68" si="192">ROUND(H68*(5/12)+N68*(5/12)+U68+Z68-AG68,2)</f>
        <v>0</v>
      </c>
      <c r="AP68" s="184">
        <f t="shared" si="192"/>
        <v>0</v>
      </c>
      <c r="AQ68" s="184">
        <f t="shared" ref="AQ68:AR68" si="193">P68+AB68-AI68</f>
        <v>1</v>
      </c>
      <c r="AR68" s="184">
        <f t="shared" si="193"/>
        <v>1</v>
      </c>
      <c r="AS68" s="317"/>
      <c r="AT68" s="213"/>
      <c r="AU68" s="213"/>
      <c r="AV68" s="213"/>
      <c r="AW68" s="213"/>
      <c r="AX68" s="213"/>
      <c r="AY68" s="213"/>
      <c r="AZ68" s="213"/>
      <c r="BA68" s="205" t="s">
        <v>1670</v>
      </c>
      <c r="BB68" s="317"/>
      <c r="BC68" s="62"/>
      <c r="BD68" s="327"/>
      <c r="BE68" s="304"/>
      <c r="BF68" s="304"/>
      <c r="BG68" s="304"/>
      <c r="BH68" s="304"/>
      <c r="BI68" s="304"/>
      <c r="BJ68" s="304"/>
      <c r="BK68" s="328"/>
      <c r="BL68" s="328"/>
      <c r="BM68" s="328"/>
      <c r="BN68" s="328"/>
    </row>
    <row r="69">
      <c r="A69" s="176">
        <v>65.0</v>
      </c>
      <c r="B69" s="320" t="s">
        <v>1713</v>
      </c>
      <c r="C69" s="324" t="s">
        <v>93</v>
      </c>
      <c r="D69" s="212">
        <v>4.66</v>
      </c>
      <c r="E69" s="212">
        <v>0.0</v>
      </c>
      <c r="F69" s="212">
        <v>0.0</v>
      </c>
      <c r="G69" s="212">
        <v>0.0</v>
      </c>
      <c r="H69" s="212">
        <v>0.0</v>
      </c>
      <c r="I69" s="212">
        <v>0.0</v>
      </c>
      <c r="J69" s="294">
        <v>3.0</v>
      </c>
      <c r="K69" s="294">
        <v>1.0</v>
      </c>
      <c r="L69" s="316"/>
      <c r="M69" s="316"/>
      <c r="N69" s="316"/>
      <c r="O69" s="316"/>
      <c r="P69" s="180">
        <v>0.92</v>
      </c>
      <c r="Q69" s="180">
        <v>0.92</v>
      </c>
      <c r="R69" s="317"/>
      <c r="S69" s="213"/>
      <c r="T69" s="213"/>
      <c r="U69" s="213"/>
      <c r="V69" s="213"/>
      <c r="W69" s="317"/>
      <c r="X69" s="213"/>
      <c r="Y69" s="304"/>
      <c r="Z69" s="304"/>
      <c r="AA69" s="304"/>
      <c r="AB69" s="213"/>
      <c r="AC69" s="304"/>
      <c r="AD69" s="317"/>
      <c r="AE69" s="304"/>
      <c r="AF69" s="304"/>
      <c r="AG69" s="304"/>
      <c r="AH69" s="304"/>
      <c r="AI69" s="304"/>
      <c r="AJ69" s="304"/>
      <c r="AK69" s="317"/>
      <c r="AL69" s="184">
        <f t="shared" ref="AL69:AM69" si="194">ROUND(E69*(5/12)+K69*(5/12)+S69+X69-AE69,2)</f>
        <v>0.42</v>
      </c>
      <c r="AM69" s="184">
        <f t="shared" si="194"/>
        <v>0</v>
      </c>
      <c r="AN69" s="184">
        <f t="shared" si="5"/>
        <v>0</v>
      </c>
      <c r="AO69" s="184">
        <f t="shared" ref="AO69:AP69" si="195">ROUND(H69*(5/12)+N69*(5/12)+U69+Z69-AG69,2)</f>
        <v>0</v>
      </c>
      <c r="AP69" s="184">
        <f t="shared" si="195"/>
        <v>0</v>
      </c>
      <c r="AQ69" s="184">
        <f t="shared" ref="AQ69:AR69" si="196">P69+AB69-AI69</f>
        <v>0.92</v>
      </c>
      <c r="AR69" s="184">
        <f t="shared" si="196"/>
        <v>0.92</v>
      </c>
      <c r="AS69" s="317"/>
      <c r="AT69" s="213">
        <v>0.25</v>
      </c>
      <c r="AU69" s="213">
        <v>0.0</v>
      </c>
      <c r="AV69" s="213">
        <v>0.0</v>
      </c>
      <c r="AW69" s="213">
        <v>0.0</v>
      </c>
      <c r="AX69" s="213">
        <v>0.0</v>
      </c>
      <c r="AY69" s="213">
        <v>1.0</v>
      </c>
      <c r="AZ69" s="213">
        <v>1.0</v>
      </c>
      <c r="BA69" s="205" t="s">
        <v>1714</v>
      </c>
      <c r="BB69" s="317"/>
      <c r="BC69" s="62"/>
      <c r="BD69" s="327"/>
      <c r="BE69" s="304"/>
      <c r="BF69" s="304"/>
      <c r="BG69" s="304"/>
      <c r="BH69" s="304"/>
      <c r="BI69" s="304"/>
      <c r="BJ69" s="304"/>
      <c r="BK69" s="328"/>
      <c r="BL69" s="305" t="s">
        <v>1561</v>
      </c>
      <c r="BM69" s="328"/>
      <c r="BN69" s="328"/>
    </row>
    <row r="70">
      <c r="A70" s="176">
        <v>66.0</v>
      </c>
      <c r="B70" s="320" t="s">
        <v>1715</v>
      </c>
      <c r="C70" s="324" t="s">
        <v>93</v>
      </c>
      <c r="D70" s="212">
        <v>4.0</v>
      </c>
      <c r="E70" s="212">
        <v>0.0</v>
      </c>
      <c r="F70" s="212">
        <v>0.0</v>
      </c>
      <c r="G70" s="212">
        <v>0.0</v>
      </c>
      <c r="H70" s="212">
        <v>0.0</v>
      </c>
      <c r="I70" s="212">
        <v>0.0</v>
      </c>
      <c r="J70" s="294">
        <v>4.0</v>
      </c>
      <c r="K70" s="316"/>
      <c r="L70" s="316"/>
      <c r="M70" s="316"/>
      <c r="N70" s="316"/>
      <c r="O70" s="316"/>
      <c r="P70" s="180">
        <v>0.83</v>
      </c>
      <c r="Q70" s="180">
        <v>0.83</v>
      </c>
      <c r="R70" s="317"/>
      <c r="S70" s="213"/>
      <c r="T70" s="213"/>
      <c r="U70" s="213"/>
      <c r="V70" s="213"/>
      <c r="W70" s="317"/>
      <c r="X70" s="213"/>
      <c r="Y70" s="304"/>
      <c r="Z70" s="304"/>
      <c r="AA70" s="304"/>
      <c r="AB70" s="213"/>
      <c r="AC70" s="304"/>
      <c r="AD70" s="317"/>
      <c r="AE70" s="304"/>
      <c r="AF70" s="304"/>
      <c r="AG70" s="304"/>
      <c r="AH70" s="304"/>
      <c r="AI70" s="304"/>
      <c r="AJ70" s="304"/>
      <c r="AK70" s="317"/>
      <c r="AL70" s="184">
        <f t="shared" ref="AL70:AM70" si="197">ROUND(E70*(5/12)+K70*(5/12)+S70+X70-AE70,2)</f>
        <v>0</v>
      </c>
      <c r="AM70" s="184">
        <f t="shared" si="197"/>
        <v>0</v>
      </c>
      <c r="AN70" s="184">
        <f t="shared" si="5"/>
        <v>0</v>
      </c>
      <c r="AO70" s="184">
        <f t="shared" ref="AO70:AP70" si="198">ROUND(H70*(5/12)+N70*(5/12)+U70+Z70-AG70,2)</f>
        <v>0</v>
      </c>
      <c r="AP70" s="184">
        <f t="shared" si="198"/>
        <v>0</v>
      </c>
      <c r="AQ70" s="184">
        <f t="shared" ref="AQ70:AR70" si="199">P70+AB70-AI70</f>
        <v>0.83</v>
      </c>
      <c r="AR70" s="184">
        <f t="shared" si="199"/>
        <v>0.83</v>
      </c>
      <c r="AS70" s="317"/>
      <c r="AT70" s="213">
        <v>0.0</v>
      </c>
      <c r="AU70" s="213">
        <v>0.0</v>
      </c>
      <c r="AV70" s="213">
        <v>0.0</v>
      </c>
      <c r="AW70" s="213">
        <v>0.0</v>
      </c>
      <c r="AX70" s="213">
        <v>0.0</v>
      </c>
      <c r="AY70" s="213">
        <v>0.5</v>
      </c>
      <c r="AZ70" s="213">
        <v>1.0</v>
      </c>
      <c r="BA70" s="205" t="s">
        <v>1716</v>
      </c>
      <c r="BB70" s="317"/>
      <c r="BC70" s="62"/>
      <c r="BD70" s="327"/>
      <c r="BE70" s="304"/>
      <c r="BF70" s="304"/>
      <c r="BG70" s="304"/>
      <c r="BH70" s="304"/>
      <c r="BI70" s="304"/>
      <c r="BJ70" s="304"/>
      <c r="BK70" s="328"/>
      <c r="BL70" s="305" t="s">
        <v>1561</v>
      </c>
      <c r="BM70" s="328"/>
      <c r="BN70" s="328"/>
    </row>
    <row r="71">
      <c r="A71" s="176">
        <v>67.0</v>
      </c>
      <c r="B71" s="320" t="s">
        <v>1717</v>
      </c>
      <c r="C71" s="324" t="s">
        <v>93</v>
      </c>
      <c r="D71" s="212">
        <v>4.0</v>
      </c>
      <c r="E71" s="212">
        <v>0.0</v>
      </c>
      <c r="F71" s="212">
        <v>0.0</v>
      </c>
      <c r="G71" s="212">
        <v>0.0</v>
      </c>
      <c r="H71" s="212">
        <v>0.0</v>
      </c>
      <c r="I71" s="212">
        <v>0.0</v>
      </c>
      <c r="J71" s="294">
        <v>3.0</v>
      </c>
      <c r="K71" s="294">
        <v>1.0</v>
      </c>
      <c r="L71" s="316"/>
      <c r="M71" s="316"/>
      <c r="N71" s="316"/>
      <c r="O71" s="316"/>
      <c r="P71" s="180">
        <v>0.83</v>
      </c>
      <c r="Q71" s="180">
        <v>0.83</v>
      </c>
      <c r="R71" s="317"/>
      <c r="S71" s="213"/>
      <c r="T71" s="213"/>
      <c r="U71" s="213"/>
      <c r="V71" s="213"/>
      <c r="W71" s="317"/>
      <c r="X71" s="213"/>
      <c r="Y71" s="304"/>
      <c r="Z71" s="304"/>
      <c r="AA71" s="304"/>
      <c r="AB71" s="213"/>
      <c r="AC71" s="304"/>
      <c r="AD71" s="317"/>
      <c r="AE71" s="304"/>
      <c r="AF71" s="304"/>
      <c r="AG71" s="304"/>
      <c r="AH71" s="304"/>
      <c r="AI71" s="304"/>
      <c r="AJ71" s="304"/>
      <c r="AK71" s="317"/>
      <c r="AL71" s="184">
        <f t="shared" ref="AL71:AM71" si="200">ROUND(E71*(5/12)+K71*(5/12)+S71+X71-AE71,2)</f>
        <v>0.42</v>
      </c>
      <c r="AM71" s="184">
        <f t="shared" si="200"/>
        <v>0</v>
      </c>
      <c r="AN71" s="184">
        <f t="shared" si="5"/>
        <v>0</v>
      </c>
      <c r="AO71" s="184">
        <f t="shared" ref="AO71:AP71" si="201">ROUND(H71*(5/12)+N71*(5/12)+U71+Z71-AG71,2)</f>
        <v>0</v>
      </c>
      <c r="AP71" s="184">
        <f t="shared" si="201"/>
        <v>0</v>
      </c>
      <c r="AQ71" s="184">
        <f t="shared" ref="AQ71:AR71" si="202">P71+AB71-AI71</f>
        <v>0.83</v>
      </c>
      <c r="AR71" s="184">
        <f t="shared" si="202"/>
        <v>0.83</v>
      </c>
      <c r="AS71" s="317"/>
      <c r="AT71" s="213">
        <v>0.5</v>
      </c>
      <c r="AU71" s="213">
        <v>0.0</v>
      </c>
      <c r="AV71" s="213">
        <v>0.0</v>
      </c>
      <c r="AW71" s="213">
        <v>0.0</v>
      </c>
      <c r="AX71" s="213">
        <v>0.0</v>
      </c>
      <c r="AY71" s="213">
        <v>1.0</v>
      </c>
      <c r="AZ71" s="213">
        <v>0.0</v>
      </c>
      <c r="BA71" s="215" t="s">
        <v>1718</v>
      </c>
      <c r="BB71" s="317"/>
      <c r="BC71" s="62"/>
      <c r="BD71" s="327"/>
      <c r="BE71" s="304"/>
      <c r="BF71" s="304"/>
      <c r="BG71" s="304"/>
      <c r="BH71" s="304"/>
      <c r="BI71" s="304"/>
      <c r="BJ71" s="304"/>
      <c r="BK71" s="328"/>
      <c r="BL71" s="305" t="s">
        <v>1561</v>
      </c>
      <c r="BM71" s="328"/>
      <c r="BN71" s="328"/>
    </row>
    <row r="72">
      <c r="A72" s="176">
        <v>68.0</v>
      </c>
      <c r="B72" s="329" t="s">
        <v>1719</v>
      </c>
      <c r="C72" s="324" t="s">
        <v>93</v>
      </c>
      <c r="D72" s="212">
        <v>4.0</v>
      </c>
      <c r="E72" s="212">
        <v>0.0</v>
      </c>
      <c r="F72" s="212">
        <v>0.0</v>
      </c>
      <c r="G72" s="212">
        <v>0.0</v>
      </c>
      <c r="H72" s="212">
        <v>0.0</v>
      </c>
      <c r="I72" s="212">
        <v>0.0</v>
      </c>
      <c r="J72" s="294">
        <v>4.0</v>
      </c>
      <c r="K72" s="316"/>
      <c r="L72" s="316"/>
      <c r="M72" s="316"/>
      <c r="N72" s="316"/>
      <c r="O72" s="316"/>
      <c r="P72" s="180">
        <v>0.75</v>
      </c>
      <c r="Q72" s="180">
        <v>0.75</v>
      </c>
      <c r="R72" s="317"/>
      <c r="S72" s="213"/>
      <c r="T72" s="213"/>
      <c r="U72" s="213"/>
      <c r="V72" s="213"/>
      <c r="W72" s="317"/>
      <c r="X72" s="213"/>
      <c r="Y72" s="304"/>
      <c r="Z72" s="304"/>
      <c r="AA72" s="304"/>
      <c r="AB72" s="213"/>
      <c r="AC72" s="304"/>
      <c r="AD72" s="317"/>
      <c r="AE72" s="304"/>
      <c r="AF72" s="304"/>
      <c r="AG72" s="304"/>
      <c r="AH72" s="304"/>
      <c r="AI72" s="304"/>
      <c r="AJ72" s="304"/>
      <c r="AK72" s="317"/>
      <c r="AL72" s="184">
        <f t="shared" ref="AL72:AM72" si="203">ROUND(E72*(5/12)+K72*(5/12)+S72+X72-AE72,2)</f>
        <v>0</v>
      </c>
      <c r="AM72" s="184">
        <f t="shared" si="203"/>
        <v>0</v>
      </c>
      <c r="AN72" s="184">
        <f t="shared" si="5"/>
        <v>0</v>
      </c>
      <c r="AO72" s="184">
        <f t="shared" ref="AO72:AP72" si="204">ROUND(H72*(5/12)+N72*(5/12)+U72+Z72-AG72,2)</f>
        <v>0</v>
      </c>
      <c r="AP72" s="184">
        <f t="shared" si="204"/>
        <v>0</v>
      </c>
      <c r="AQ72" s="184">
        <f t="shared" ref="AQ72:AR72" si="205">P72+AB72-AI72</f>
        <v>0.75</v>
      </c>
      <c r="AR72" s="184">
        <f t="shared" si="205"/>
        <v>0.75</v>
      </c>
      <c r="AS72" s="317"/>
      <c r="AT72" s="213">
        <v>0.0</v>
      </c>
      <c r="AU72" s="213">
        <v>0.0</v>
      </c>
      <c r="AV72" s="213">
        <v>0.0</v>
      </c>
      <c r="AW72" s="213">
        <v>0.0</v>
      </c>
      <c r="AX72" s="213">
        <v>0.0</v>
      </c>
      <c r="AY72" s="213">
        <v>0.0</v>
      </c>
      <c r="AZ72" s="213">
        <v>0.0</v>
      </c>
      <c r="BA72" s="215" t="s">
        <v>1720</v>
      </c>
      <c r="BB72" s="317"/>
      <c r="BC72" s="62"/>
      <c r="BD72" s="327"/>
      <c r="BE72" s="304"/>
      <c r="BF72" s="304"/>
      <c r="BG72" s="304"/>
      <c r="BH72" s="304"/>
      <c r="BI72" s="304"/>
      <c r="BJ72" s="304"/>
      <c r="BK72" s="328"/>
      <c r="BL72" s="280" t="s">
        <v>1152</v>
      </c>
      <c r="BM72" s="328"/>
      <c r="BN72" s="328"/>
    </row>
    <row r="73">
      <c r="A73" s="176">
        <v>69.0</v>
      </c>
      <c r="B73" s="330" t="s">
        <v>1721</v>
      </c>
      <c r="C73" s="324" t="s">
        <v>93</v>
      </c>
      <c r="D73" s="212">
        <v>0.0</v>
      </c>
      <c r="E73" s="212">
        <v>0.0</v>
      </c>
      <c r="F73" s="212">
        <v>0.0</v>
      </c>
      <c r="G73" s="212">
        <v>0.0</v>
      </c>
      <c r="H73" s="212">
        <v>0.0</v>
      </c>
      <c r="I73" s="212">
        <v>0.0</v>
      </c>
      <c r="J73" s="294">
        <v>3.66</v>
      </c>
      <c r="K73" s="294">
        <v>0.34</v>
      </c>
      <c r="L73" s="316"/>
      <c r="M73" s="316"/>
      <c r="N73" s="316"/>
      <c r="O73" s="316"/>
      <c r="P73" s="180">
        <v>0.41</v>
      </c>
      <c r="Q73" s="180">
        <v>0.41</v>
      </c>
      <c r="R73" s="317"/>
      <c r="S73" s="213"/>
      <c r="T73" s="213"/>
      <c r="U73" s="213"/>
      <c r="V73" s="213"/>
      <c r="W73" s="317"/>
      <c r="X73" s="213"/>
      <c r="Y73" s="304"/>
      <c r="Z73" s="304"/>
      <c r="AA73" s="304"/>
      <c r="AB73" s="213"/>
      <c r="AC73" s="304"/>
      <c r="AD73" s="317"/>
      <c r="AE73" s="304"/>
      <c r="AF73" s="304"/>
      <c r="AG73" s="304"/>
      <c r="AH73" s="304"/>
      <c r="AI73" s="304"/>
      <c r="AJ73" s="304"/>
      <c r="AK73" s="317"/>
      <c r="AL73" s="184">
        <f t="shared" ref="AL73:AM73" si="206">ROUND(E73*(5/12)+K73*(5/12)+S73+X73-AE73,2)</f>
        <v>0.14</v>
      </c>
      <c r="AM73" s="184">
        <f t="shared" si="206"/>
        <v>0</v>
      </c>
      <c r="AN73" s="184">
        <f t="shared" si="5"/>
        <v>0</v>
      </c>
      <c r="AO73" s="184">
        <f t="shared" ref="AO73:AP73" si="207">ROUND(H73*(5/12)+N73*(5/12)+U73+Z73-AG73,2)</f>
        <v>0</v>
      </c>
      <c r="AP73" s="184">
        <f t="shared" si="207"/>
        <v>0</v>
      </c>
      <c r="AQ73" s="184">
        <f t="shared" ref="AQ73:AR73" si="208">P73+AB73-AI73</f>
        <v>0.41</v>
      </c>
      <c r="AR73" s="184">
        <f t="shared" si="208"/>
        <v>0.41</v>
      </c>
      <c r="AS73" s="317"/>
      <c r="AT73" s="213">
        <v>0.0</v>
      </c>
      <c r="AU73" s="213">
        <v>0.0</v>
      </c>
      <c r="AV73" s="213">
        <v>0.0</v>
      </c>
      <c r="AW73" s="213">
        <v>0.0</v>
      </c>
      <c r="AX73" s="213">
        <v>0.0</v>
      </c>
      <c r="AY73" s="213">
        <v>0.0</v>
      </c>
      <c r="AZ73" s="213">
        <v>0.0</v>
      </c>
      <c r="BA73" s="215" t="s">
        <v>1722</v>
      </c>
      <c r="BB73" s="317"/>
      <c r="BC73" s="62"/>
      <c r="BD73" s="327"/>
      <c r="BE73" s="304"/>
      <c r="BF73" s="304"/>
      <c r="BG73" s="304"/>
      <c r="BH73" s="304"/>
      <c r="BI73" s="304"/>
      <c r="BJ73" s="304"/>
      <c r="BK73" s="328"/>
      <c r="BL73" s="280" t="s">
        <v>1152</v>
      </c>
      <c r="BM73" s="328"/>
      <c r="BN73" s="328"/>
    </row>
    <row r="74">
      <c r="A74" s="176">
        <v>70.0</v>
      </c>
      <c r="B74" s="330" t="s">
        <v>1723</v>
      </c>
      <c r="C74" s="324" t="s">
        <v>93</v>
      </c>
      <c r="D74" s="212">
        <v>0.0</v>
      </c>
      <c r="E74" s="212">
        <v>0.0</v>
      </c>
      <c r="F74" s="212">
        <v>0.0</v>
      </c>
      <c r="G74" s="212">
        <v>0.0</v>
      </c>
      <c r="H74" s="212">
        <v>0.0</v>
      </c>
      <c r="I74" s="212">
        <v>0.0</v>
      </c>
      <c r="J74" s="294">
        <v>3.66</v>
      </c>
      <c r="K74" s="294">
        <v>0.34</v>
      </c>
      <c r="L74" s="316"/>
      <c r="M74" s="316"/>
      <c r="N74" s="316"/>
      <c r="O74" s="316"/>
      <c r="P74" s="180">
        <v>0.33</v>
      </c>
      <c r="Q74" s="180">
        <v>0.33</v>
      </c>
      <c r="R74" s="317"/>
      <c r="S74" s="213"/>
      <c r="T74" s="213"/>
      <c r="U74" s="213"/>
      <c r="V74" s="213"/>
      <c r="W74" s="317"/>
      <c r="X74" s="213"/>
      <c r="Y74" s="304"/>
      <c r="Z74" s="304"/>
      <c r="AA74" s="304"/>
      <c r="AB74" s="213"/>
      <c r="AC74" s="304"/>
      <c r="AD74" s="317"/>
      <c r="AE74" s="304"/>
      <c r="AF74" s="304"/>
      <c r="AG74" s="304"/>
      <c r="AH74" s="304"/>
      <c r="AI74" s="304"/>
      <c r="AJ74" s="304"/>
      <c r="AK74" s="317"/>
      <c r="AL74" s="184">
        <f t="shared" ref="AL74:AM74" si="209">ROUND(E74*(5/12)+K74*(5/12)+S74+X74-AE74,2)</f>
        <v>0.14</v>
      </c>
      <c r="AM74" s="184">
        <f t="shared" si="209"/>
        <v>0</v>
      </c>
      <c r="AN74" s="184">
        <f t="shared" si="5"/>
        <v>0</v>
      </c>
      <c r="AO74" s="184">
        <f t="shared" ref="AO74:AP74" si="210">ROUND(H74*(5/12)+N74*(5/12)+U74+Z74-AG74,2)</f>
        <v>0</v>
      </c>
      <c r="AP74" s="184">
        <f t="shared" si="210"/>
        <v>0</v>
      </c>
      <c r="AQ74" s="184">
        <f t="shared" ref="AQ74:AR74" si="211">P74+AB74-AI74</f>
        <v>0.33</v>
      </c>
      <c r="AR74" s="184">
        <f t="shared" si="211"/>
        <v>0.33</v>
      </c>
      <c r="AS74" s="317"/>
      <c r="AT74" s="213">
        <v>0.0</v>
      </c>
      <c r="AU74" s="213">
        <v>0.0</v>
      </c>
      <c r="AV74" s="213">
        <v>0.0</v>
      </c>
      <c r="AW74" s="213">
        <v>0.0</v>
      </c>
      <c r="AX74" s="213">
        <v>0.0</v>
      </c>
      <c r="AY74" s="213">
        <v>0.0</v>
      </c>
      <c r="AZ74" s="213">
        <v>0.0</v>
      </c>
      <c r="BA74" s="215" t="s">
        <v>1724</v>
      </c>
      <c r="BB74" s="317"/>
      <c r="BC74" s="62"/>
      <c r="BD74" s="327"/>
      <c r="BE74" s="304"/>
      <c r="BF74" s="304"/>
      <c r="BG74" s="304"/>
      <c r="BH74" s="304"/>
      <c r="BI74" s="304"/>
      <c r="BJ74" s="304"/>
      <c r="BK74" s="328"/>
      <c r="BL74" s="280" t="s">
        <v>1152</v>
      </c>
      <c r="BM74" s="328"/>
      <c r="BN74" s="328"/>
    </row>
    <row r="75">
      <c r="A75" s="176">
        <v>71.0</v>
      </c>
      <c r="B75" s="330" t="s">
        <v>1725</v>
      </c>
      <c r="C75" s="324" t="s">
        <v>93</v>
      </c>
      <c r="D75" s="212">
        <v>0.0</v>
      </c>
      <c r="E75" s="212">
        <v>0.0</v>
      </c>
      <c r="F75" s="212">
        <v>0.0</v>
      </c>
      <c r="G75" s="212">
        <v>0.0</v>
      </c>
      <c r="H75" s="212">
        <v>0.0</v>
      </c>
      <c r="I75" s="212">
        <v>0.0</v>
      </c>
      <c r="J75" s="294">
        <v>4.0</v>
      </c>
      <c r="K75" s="294">
        <v>0.0</v>
      </c>
      <c r="L75" s="316"/>
      <c r="M75" s="316"/>
      <c r="N75" s="316"/>
      <c r="O75" s="316"/>
      <c r="P75" s="180">
        <v>0.33</v>
      </c>
      <c r="Q75" s="180">
        <v>0.33</v>
      </c>
      <c r="R75" s="317"/>
      <c r="S75" s="213"/>
      <c r="T75" s="213"/>
      <c r="U75" s="213"/>
      <c r="V75" s="213"/>
      <c r="W75" s="317"/>
      <c r="X75" s="213"/>
      <c r="Y75" s="304"/>
      <c r="Z75" s="304"/>
      <c r="AA75" s="304"/>
      <c r="AB75" s="213"/>
      <c r="AC75" s="304"/>
      <c r="AD75" s="317"/>
      <c r="AE75" s="304"/>
      <c r="AF75" s="304"/>
      <c r="AG75" s="304"/>
      <c r="AH75" s="304"/>
      <c r="AI75" s="304"/>
      <c r="AJ75" s="304"/>
      <c r="AK75" s="317"/>
      <c r="AL75" s="184">
        <f t="shared" ref="AL75:AM75" si="212">ROUND(E75*(5/12)+K75*(5/12)+S75+X75-AE75,2)</f>
        <v>0</v>
      </c>
      <c r="AM75" s="184">
        <f t="shared" si="212"/>
        <v>0</v>
      </c>
      <c r="AN75" s="184">
        <f t="shared" si="5"/>
        <v>0</v>
      </c>
      <c r="AO75" s="184">
        <f t="shared" ref="AO75:AP75" si="213">ROUND(H75*(5/12)+N75*(5/12)+U75+Z75-AG75,2)</f>
        <v>0</v>
      </c>
      <c r="AP75" s="184">
        <f t="shared" si="213"/>
        <v>0</v>
      </c>
      <c r="AQ75" s="184">
        <f t="shared" ref="AQ75:AR75" si="214">P75+AB75-AI75</f>
        <v>0.33</v>
      </c>
      <c r="AR75" s="184">
        <f t="shared" si="214"/>
        <v>0.33</v>
      </c>
      <c r="AS75" s="317"/>
      <c r="AT75" s="213">
        <v>0.0</v>
      </c>
      <c r="AU75" s="213">
        <v>0.0</v>
      </c>
      <c r="AV75" s="213">
        <v>0.0</v>
      </c>
      <c r="AW75" s="213">
        <v>0.0</v>
      </c>
      <c r="AX75" s="213">
        <v>0.0</v>
      </c>
      <c r="AY75" s="213">
        <v>0.0</v>
      </c>
      <c r="AZ75" s="213">
        <v>0.0</v>
      </c>
      <c r="BA75" s="215" t="s">
        <v>1726</v>
      </c>
      <c r="BB75" s="317"/>
      <c r="BC75" s="62"/>
      <c r="BD75" s="327"/>
      <c r="BE75" s="304"/>
      <c r="BF75" s="304"/>
      <c r="BG75" s="304"/>
      <c r="BH75" s="304"/>
      <c r="BI75" s="304"/>
      <c r="BJ75" s="304"/>
      <c r="BK75" s="328"/>
      <c r="BL75" s="280" t="s">
        <v>1152</v>
      </c>
      <c r="BM75" s="328"/>
      <c r="BN75" s="328"/>
    </row>
    <row r="76">
      <c r="A76" s="176">
        <v>72.0</v>
      </c>
      <c r="B76" s="299" t="s">
        <v>1727</v>
      </c>
      <c r="C76" s="315" t="s">
        <v>127</v>
      </c>
      <c r="D76" s="179">
        <v>1.0</v>
      </c>
      <c r="E76" s="331"/>
      <c r="F76" s="289">
        <v>0.11</v>
      </c>
      <c r="G76" s="332">
        <v>0.57</v>
      </c>
      <c r="H76" s="333"/>
      <c r="I76" s="289">
        <v>0.55</v>
      </c>
      <c r="J76" s="318"/>
      <c r="K76" s="334"/>
      <c r="L76" s="334"/>
      <c r="M76" s="334"/>
      <c r="N76" s="319"/>
      <c r="O76" s="319"/>
      <c r="P76" s="180">
        <v>1.0</v>
      </c>
      <c r="Q76" s="180">
        <v>1.0</v>
      </c>
      <c r="R76" s="5"/>
      <c r="S76" s="176">
        <v>0.21</v>
      </c>
      <c r="T76" s="176">
        <v>0.12</v>
      </c>
      <c r="U76" s="176">
        <v>0.0</v>
      </c>
      <c r="V76" s="176">
        <v>0.0</v>
      </c>
      <c r="W76" s="5"/>
      <c r="X76" s="176">
        <v>1.16</v>
      </c>
      <c r="Y76" s="176">
        <v>1.035</v>
      </c>
      <c r="Z76" s="184"/>
      <c r="AA76" s="184"/>
      <c r="AB76" s="184"/>
      <c r="AC76" s="184"/>
      <c r="AD76" s="5"/>
      <c r="AE76" s="184"/>
      <c r="AF76" s="184"/>
      <c r="AG76" s="184"/>
      <c r="AH76" s="184"/>
      <c r="AI76" s="184"/>
      <c r="AJ76" s="184"/>
      <c r="AK76" s="5"/>
      <c r="AL76" s="184">
        <f t="shared" ref="AL76:AM76" si="215">ROUND(E76*(5/12)+K76*(5/12)+S76+X76-AE76,2)</f>
        <v>1.37</v>
      </c>
      <c r="AM76" s="184">
        <f t="shared" si="215"/>
        <v>1.2</v>
      </c>
      <c r="AN76" s="184">
        <f t="shared" si="5"/>
        <v>0.24</v>
      </c>
      <c r="AO76" s="184">
        <f t="shared" ref="AO76:AP76" si="216">ROUND(H76*(5/12)+N76*(5/12)+U76+Z76-AG76,2)</f>
        <v>0</v>
      </c>
      <c r="AP76" s="184">
        <f t="shared" si="216"/>
        <v>0.23</v>
      </c>
      <c r="AQ76" s="184">
        <f t="shared" ref="AQ76:AR76" si="217">P76+AB76-AI76</f>
        <v>1</v>
      </c>
      <c r="AR76" s="184">
        <f t="shared" si="217"/>
        <v>1</v>
      </c>
      <c r="AS76" s="5"/>
      <c r="AT76" s="176"/>
      <c r="AU76" s="176"/>
      <c r="AV76" s="176"/>
      <c r="AW76" s="176"/>
      <c r="AX76" s="176"/>
      <c r="AY76" s="176"/>
      <c r="AZ76" s="176"/>
      <c r="BA76" s="205" t="s">
        <v>1670</v>
      </c>
      <c r="BB76" s="5"/>
      <c r="BC76" s="62"/>
      <c r="BE76" s="184"/>
      <c r="BF76" s="184"/>
      <c r="BG76" s="184"/>
      <c r="BH76" s="184"/>
      <c r="BI76" s="184"/>
      <c r="BJ76" s="184"/>
      <c r="BK76" s="81"/>
      <c r="BL76" s="81"/>
      <c r="BM76" s="280" t="s">
        <v>1728</v>
      </c>
      <c r="BN76" s="81"/>
    </row>
    <row r="77">
      <c r="A77" s="176">
        <v>73.0</v>
      </c>
      <c r="B77" s="335" t="s">
        <v>1729</v>
      </c>
      <c r="C77" s="287" t="s">
        <v>127</v>
      </c>
      <c r="D77" s="336">
        <v>3.5</v>
      </c>
      <c r="E77" s="179">
        <v>1.0</v>
      </c>
      <c r="F77" s="179">
        <v>0.6</v>
      </c>
      <c r="G77" s="179">
        <v>0.4</v>
      </c>
      <c r="H77" s="337"/>
      <c r="I77" s="297"/>
      <c r="J77" s="338">
        <v>2.0</v>
      </c>
      <c r="K77" s="316">
        <v>0.82</v>
      </c>
      <c r="L77" s="316">
        <v>0.68</v>
      </c>
      <c r="M77" s="316">
        <v>0.5</v>
      </c>
      <c r="N77" s="316"/>
      <c r="O77" s="316"/>
      <c r="P77" s="180">
        <v>1.0</v>
      </c>
      <c r="Q77" s="180">
        <v>1.0</v>
      </c>
      <c r="R77" s="5"/>
      <c r="S77" s="176">
        <v>0.09</v>
      </c>
      <c r="T77" s="176">
        <v>0.1</v>
      </c>
      <c r="U77" s="176">
        <v>0.14</v>
      </c>
      <c r="V77" s="176">
        <v>0.0</v>
      </c>
      <c r="W77" s="5"/>
      <c r="X77" s="184"/>
      <c r="Y77" s="176">
        <v>0.873</v>
      </c>
      <c r="Z77" s="184"/>
      <c r="AA77" s="184"/>
      <c r="AB77" s="184"/>
      <c r="AC77" s="184"/>
      <c r="AD77" s="5"/>
      <c r="AE77" s="176">
        <v>0.6</v>
      </c>
      <c r="AF77" s="176"/>
      <c r="AG77" s="176">
        <v>0.12</v>
      </c>
      <c r="AH77" s="184"/>
      <c r="AI77" s="176"/>
      <c r="AJ77" s="176">
        <v>0.24</v>
      </c>
      <c r="AK77" s="5"/>
      <c r="AL77" s="184">
        <f t="shared" ref="AL77:AM77" si="218">ROUND(E77*(5/12)+K77*(5/12)+S77+X77-AE77,2)</f>
        <v>0.25</v>
      </c>
      <c r="AM77" s="184">
        <f t="shared" si="218"/>
        <v>1.51</v>
      </c>
      <c r="AN77" s="184">
        <f t="shared" si="5"/>
        <v>0.38</v>
      </c>
      <c r="AO77" s="184">
        <f t="shared" ref="AO77:AP77" si="219">ROUND(H77*(5/12)+N77*(5/12)+U77+Z77-AG77,2)</f>
        <v>0.02</v>
      </c>
      <c r="AP77" s="184">
        <f t="shared" si="219"/>
        <v>0</v>
      </c>
      <c r="AQ77" s="184">
        <f t="shared" ref="AQ77:AR77" si="220">P77+AB77-AI77</f>
        <v>1</v>
      </c>
      <c r="AR77" s="184">
        <f t="shared" si="220"/>
        <v>0.76</v>
      </c>
      <c r="AS77" s="5"/>
      <c r="AT77" s="176">
        <v>0.5</v>
      </c>
      <c r="AU77" s="176">
        <v>0.501</v>
      </c>
      <c r="AV77" s="176">
        <v>0.28</v>
      </c>
      <c r="AW77" s="176">
        <v>0.02</v>
      </c>
      <c r="AX77" s="176">
        <v>0.0</v>
      </c>
      <c r="AY77" s="176">
        <v>1.0</v>
      </c>
      <c r="AZ77" s="176">
        <v>1.0</v>
      </c>
      <c r="BA77" s="180" t="s">
        <v>1730</v>
      </c>
      <c r="BB77" s="5"/>
      <c r="BC77" s="62"/>
      <c r="BE77" s="184"/>
      <c r="BF77" s="184"/>
      <c r="BG77" s="184"/>
      <c r="BH77" s="184"/>
      <c r="BI77" s="339">
        <v>1.0</v>
      </c>
      <c r="BJ77" s="184"/>
      <c r="BK77" s="280" t="s">
        <v>1683</v>
      </c>
      <c r="BL77" s="280" t="s">
        <v>1152</v>
      </c>
      <c r="BM77" s="81"/>
      <c r="BN77" s="81"/>
    </row>
    <row r="78">
      <c r="A78" s="176">
        <v>74.0</v>
      </c>
      <c r="B78" s="340" t="s">
        <v>1731</v>
      </c>
      <c r="C78" s="287" t="s">
        <v>127</v>
      </c>
      <c r="D78" s="336">
        <v>2.0</v>
      </c>
      <c r="E78" s="179">
        <v>1.0</v>
      </c>
      <c r="F78" s="179">
        <v>0.1</v>
      </c>
      <c r="G78" s="179">
        <v>0.5</v>
      </c>
      <c r="H78" s="341"/>
      <c r="I78" s="292">
        <v>0.4</v>
      </c>
      <c r="J78" s="294"/>
      <c r="K78" s="294"/>
      <c r="L78" s="342"/>
      <c r="M78" s="342"/>
      <c r="N78" s="294"/>
      <c r="O78" s="316"/>
      <c r="P78" s="180">
        <v>1.0</v>
      </c>
      <c r="Q78" s="180">
        <v>1.0</v>
      </c>
      <c r="R78" s="5"/>
      <c r="S78" s="176">
        <v>0.6</v>
      </c>
      <c r="T78" s="176">
        <v>0.04</v>
      </c>
      <c r="U78" s="176">
        <v>0.03</v>
      </c>
      <c r="V78" s="176">
        <v>0.0</v>
      </c>
      <c r="W78" s="5"/>
      <c r="X78" s="176"/>
      <c r="Y78" s="184"/>
      <c r="Z78" s="184"/>
      <c r="AA78" s="184"/>
      <c r="AB78" s="184"/>
      <c r="AC78" s="184"/>
      <c r="AD78" s="5"/>
      <c r="AE78" s="176">
        <v>0.34</v>
      </c>
      <c r="AF78" s="176"/>
      <c r="AG78" s="176">
        <v>0.09</v>
      </c>
      <c r="AH78" s="184"/>
      <c r="AI78" s="184"/>
      <c r="AJ78" s="176">
        <v>1.26</v>
      </c>
      <c r="AK78" s="5"/>
      <c r="AL78" s="184">
        <f t="shared" ref="AL78:AM78" si="221">ROUND(E78*(5/12)+K78*(5/12)+S78+X78-AE78,2)</f>
        <v>0.68</v>
      </c>
      <c r="AM78" s="184">
        <f t="shared" si="221"/>
        <v>0.08</v>
      </c>
      <c r="AN78" s="184">
        <f t="shared" si="5"/>
        <v>0.21</v>
      </c>
      <c r="AO78" s="184">
        <f t="shared" ref="AO78:AP78" si="222">ROUND(H78*(5/12)+N78*(5/12)+U78+Z78-AG78,2)</f>
        <v>-0.06</v>
      </c>
      <c r="AP78" s="184">
        <f t="shared" si="222"/>
        <v>0.17</v>
      </c>
      <c r="AQ78" s="184">
        <f t="shared" ref="AQ78:AR78" si="223">P78+AB78-AI78</f>
        <v>1</v>
      </c>
      <c r="AR78" s="184">
        <f t="shared" si="223"/>
        <v>-0.26</v>
      </c>
      <c r="AS78" s="5"/>
      <c r="AT78" s="176"/>
      <c r="AU78" s="176"/>
      <c r="AV78" s="176"/>
      <c r="AW78" s="176"/>
      <c r="AX78" s="176"/>
      <c r="AY78" s="176"/>
      <c r="AZ78" s="176"/>
      <c r="BA78" s="205" t="s">
        <v>1670</v>
      </c>
      <c r="BB78" s="5"/>
      <c r="BC78" s="62"/>
      <c r="BE78" s="198">
        <v>0.151</v>
      </c>
      <c r="BF78" s="198"/>
      <c r="BG78" s="301"/>
      <c r="BH78" s="301"/>
      <c r="BI78" s="198">
        <v>1.037</v>
      </c>
      <c r="BJ78" s="302"/>
      <c r="BK78" s="198"/>
      <c r="BL78" s="81"/>
      <c r="BM78" s="81"/>
      <c r="BN78" s="313" t="s">
        <v>1732</v>
      </c>
    </row>
    <row r="79">
      <c r="A79" s="176">
        <v>75.0</v>
      </c>
      <c r="B79" s="343" t="s">
        <v>1733</v>
      </c>
      <c r="C79" s="287" t="s">
        <v>127</v>
      </c>
      <c r="D79" s="336">
        <v>2.67</v>
      </c>
      <c r="E79" s="179">
        <v>1.12</v>
      </c>
      <c r="F79" s="179">
        <v>0.41</v>
      </c>
      <c r="G79" s="179">
        <v>0.3</v>
      </c>
      <c r="H79" s="341"/>
      <c r="I79" s="344"/>
      <c r="J79" s="319">
        <v>2.0</v>
      </c>
      <c r="K79" s="319">
        <v>1.08</v>
      </c>
      <c r="L79" s="319">
        <v>0.5</v>
      </c>
      <c r="M79" s="319">
        <v>0.42</v>
      </c>
      <c r="N79" s="319"/>
      <c r="O79" s="319"/>
      <c r="P79" s="180">
        <v>1.0</v>
      </c>
      <c r="Q79" s="180">
        <v>1.0</v>
      </c>
      <c r="R79" s="5"/>
      <c r="S79" s="176">
        <v>0.24</v>
      </c>
      <c r="T79" s="176">
        <v>0.04</v>
      </c>
      <c r="U79" s="176">
        <v>0.0</v>
      </c>
      <c r="V79" s="176">
        <v>0.0</v>
      </c>
      <c r="W79" s="5"/>
      <c r="X79" s="184"/>
      <c r="Y79" s="184"/>
      <c r="Z79" s="184"/>
      <c r="AA79" s="184"/>
      <c r="AB79" s="184"/>
      <c r="AC79" s="184"/>
      <c r="AD79" s="5"/>
      <c r="AE79" s="176">
        <v>0.47</v>
      </c>
      <c r="AF79" s="176">
        <v>0.004</v>
      </c>
      <c r="AG79" s="184"/>
      <c r="AH79" s="184"/>
      <c r="AI79" s="176"/>
      <c r="AJ79" s="176">
        <v>0.24</v>
      </c>
      <c r="AK79" s="5"/>
      <c r="AL79" s="184">
        <f t="shared" ref="AL79:AM79" si="224">ROUND(E79*(5/12)+K79*(5/12)+S79+X79-AE79,2)</f>
        <v>0.69</v>
      </c>
      <c r="AM79" s="184">
        <f t="shared" si="224"/>
        <v>0.42</v>
      </c>
      <c r="AN79" s="184">
        <f t="shared" si="5"/>
        <v>0.3</v>
      </c>
      <c r="AO79" s="184">
        <f t="shared" ref="AO79:AP79" si="225">ROUND(H79*(5/12)+N79*(5/12)+U79+Z79-AG79,2)</f>
        <v>0</v>
      </c>
      <c r="AP79" s="184">
        <f t="shared" si="225"/>
        <v>0</v>
      </c>
      <c r="AQ79" s="184">
        <f t="shared" ref="AQ79:AR79" si="226">P79+AB79-AI79</f>
        <v>1</v>
      </c>
      <c r="AR79" s="184">
        <f t="shared" si="226"/>
        <v>0.76</v>
      </c>
      <c r="AS79" s="5"/>
      <c r="AT79" s="176">
        <v>1.0</v>
      </c>
      <c r="AU79" s="176">
        <v>0.44</v>
      </c>
      <c r="AV79" s="176">
        <v>0.3</v>
      </c>
      <c r="AW79" s="176">
        <v>0.0</v>
      </c>
      <c r="AX79" s="176">
        <v>0.0</v>
      </c>
      <c r="AY79" s="176">
        <v>1.0</v>
      </c>
      <c r="AZ79" s="176">
        <v>1.0</v>
      </c>
      <c r="BA79" s="230" t="s">
        <v>1734</v>
      </c>
      <c r="BB79" s="5"/>
      <c r="BC79" s="62"/>
      <c r="BE79" s="184"/>
      <c r="BF79" s="184"/>
      <c r="BG79" s="184"/>
      <c r="BH79" s="184"/>
      <c r="BI79" s="184"/>
      <c r="BJ79" s="184"/>
      <c r="BK79" s="81"/>
      <c r="BL79" s="280" t="s">
        <v>1152</v>
      </c>
      <c r="BM79" s="280" t="s">
        <v>1735</v>
      </c>
      <c r="BN79" s="81"/>
    </row>
    <row r="80">
      <c r="A80" s="176">
        <v>76.0</v>
      </c>
      <c r="B80" s="343" t="s">
        <v>1736</v>
      </c>
      <c r="C80" s="287" t="s">
        <v>127</v>
      </c>
      <c r="D80" s="336">
        <v>4.0</v>
      </c>
      <c r="E80" s="292">
        <v>1.16</v>
      </c>
      <c r="F80" s="293"/>
      <c r="G80" s="292">
        <v>0.44</v>
      </c>
      <c r="H80" s="293"/>
      <c r="I80" s="292">
        <v>0.4</v>
      </c>
      <c r="J80" s="294">
        <v>1.0</v>
      </c>
      <c r="K80" s="316">
        <v>2.01</v>
      </c>
      <c r="L80" s="316"/>
      <c r="M80" s="316">
        <v>0.44</v>
      </c>
      <c r="N80" s="316"/>
      <c r="O80" s="316">
        <v>0.55</v>
      </c>
      <c r="P80" s="180">
        <v>1.0</v>
      </c>
      <c r="Q80" s="180">
        <v>1.0</v>
      </c>
      <c r="R80" s="5"/>
      <c r="S80" s="176">
        <v>0.0</v>
      </c>
      <c r="T80" s="176">
        <v>0.06</v>
      </c>
      <c r="U80" s="176">
        <v>0.06</v>
      </c>
      <c r="V80" s="176">
        <v>0.0</v>
      </c>
      <c r="W80" s="5"/>
      <c r="X80" s="184"/>
      <c r="Y80" s="176">
        <v>0.489</v>
      </c>
      <c r="Z80" s="176">
        <v>0.36</v>
      </c>
      <c r="AA80" s="184"/>
      <c r="AB80" s="184"/>
      <c r="AC80" s="176">
        <v>0.33</v>
      </c>
      <c r="AD80" s="5"/>
      <c r="AE80" s="176">
        <v>0.8</v>
      </c>
      <c r="AF80" s="184"/>
      <c r="AG80" s="184"/>
      <c r="AH80" s="184"/>
      <c r="AI80" s="184"/>
      <c r="AJ80" s="176"/>
      <c r="AK80" s="5"/>
      <c r="AL80" s="184">
        <f t="shared" ref="AL80:AM80" si="227">ROUND(E80*(5/12)+K80*(5/12)+S80+X80-AE80,2)</f>
        <v>0.52</v>
      </c>
      <c r="AM80" s="184">
        <f t="shared" si="227"/>
        <v>0.55</v>
      </c>
      <c r="AN80" s="184">
        <f t="shared" si="5"/>
        <v>0.37</v>
      </c>
      <c r="AO80" s="184">
        <f t="shared" ref="AO80:AP80" si="228">ROUND(H80*(5/12)+N80*(5/12)+U80+Z80-AG80,2)</f>
        <v>0.42</v>
      </c>
      <c r="AP80" s="184">
        <f t="shared" si="228"/>
        <v>0.4</v>
      </c>
      <c r="AQ80" s="184">
        <f t="shared" ref="AQ80:AR80" si="229">P80+AB80-AI80</f>
        <v>1</v>
      </c>
      <c r="AR80" s="184">
        <f t="shared" si="229"/>
        <v>1.33</v>
      </c>
      <c r="AS80" s="5"/>
      <c r="AT80" s="176">
        <v>0.5</v>
      </c>
      <c r="AU80" s="176">
        <v>0.031</v>
      </c>
      <c r="AV80" s="176">
        <v>0.2</v>
      </c>
      <c r="AW80" s="176">
        <v>0.33</v>
      </c>
      <c r="AX80" s="176">
        <v>0.04</v>
      </c>
      <c r="AY80" s="176">
        <v>1.0</v>
      </c>
      <c r="AZ80" s="176">
        <v>1.5</v>
      </c>
      <c r="BA80" s="180" t="s">
        <v>1737</v>
      </c>
      <c r="BB80" s="5"/>
      <c r="BC80" s="62"/>
      <c r="BE80" s="198">
        <v>0.14</v>
      </c>
      <c r="BF80" s="301"/>
      <c r="BG80" s="301"/>
      <c r="BH80" s="301"/>
      <c r="BI80" s="198">
        <v>1.27</v>
      </c>
      <c r="BJ80" s="198">
        <v>0.03</v>
      </c>
      <c r="BK80" s="81"/>
      <c r="BL80" s="280" t="s">
        <v>1152</v>
      </c>
      <c r="BM80" s="81"/>
      <c r="BN80" s="81"/>
    </row>
    <row r="81">
      <c r="A81" s="176">
        <v>77.0</v>
      </c>
      <c r="B81" s="335" t="s">
        <v>1738</v>
      </c>
      <c r="C81" s="287" t="s">
        <v>127</v>
      </c>
      <c r="D81" s="336">
        <v>3.66</v>
      </c>
      <c r="E81" s="293"/>
      <c r="F81" s="297"/>
      <c r="G81" s="292">
        <v>0.19</v>
      </c>
      <c r="H81" s="297"/>
      <c r="I81" s="292">
        <v>0.15</v>
      </c>
      <c r="J81" s="316">
        <v>3.64</v>
      </c>
      <c r="K81" s="316"/>
      <c r="L81" s="316"/>
      <c r="M81" s="316">
        <v>0.16</v>
      </c>
      <c r="N81" s="316"/>
      <c r="O81" s="316">
        <v>0.2</v>
      </c>
      <c r="P81" s="180">
        <v>1.0</v>
      </c>
      <c r="Q81" s="180">
        <v>1.0</v>
      </c>
      <c r="R81" s="5"/>
      <c r="S81" s="176">
        <v>0.06</v>
      </c>
      <c r="T81" s="176">
        <v>0.0</v>
      </c>
      <c r="U81" s="176">
        <v>0.0</v>
      </c>
      <c r="V81" s="176">
        <v>0.0</v>
      </c>
      <c r="W81" s="5"/>
      <c r="X81" s="184"/>
      <c r="Y81" s="184"/>
      <c r="Z81" s="184"/>
      <c r="AA81" s="184"/>
      <c r="AB81" s="184"/>
      <c r="AC81" s="184"/>
      <c r="AD81" s="5"/>
      <c r="AE81" s="176">
        <v>0.22</v>
      </c>
      <c r="AF81" s="184"/>
      <c r="AG81" s="184"/>
      <c r="AH81" s="184"/>
      <c r="AI81" s="184"/>
      <c r="AJ81" s="176">
        <v>0.08</v>
      </c>
      <c r="AK81" s="5"/>
      <c r="AL81" s="184">
        <f t="shared" ref="AL81:AM81" si="230">ROUND(E81*(5/12)+K81*(5/12)+S81+X81-AE81,2)</f>
        <v>-0.16</v>
      </c>
      <c r="AM81" s="184">
        <f t="shared" si="230"/>
        <v>0</v>
      </c>
      <c r="AN81" s="184">
        <f t="shared" si="5"/>
        <v>0.15</v>
      </c>
      <c r="AO81" s="184">
        <f t="shared" ref="AO81:AP81" si="231">ROUND(H81*(5/12)+N81*(5/12)+U81+Z81-AG81,2)</f>
        <v>0</v>
      </c>
      <c r="AP81" s="184">
        <f t="shared" si="231"/>
        <v>0.15</v>
      </c>
      <c r="AQ81" s="184">
        <f t="shared" ref="AQ81:AR81" si="232">P81+AB81-AI81</f>
        <v>1</v>
      </c>
      <c r="AR81" s="184">
        <f t="shared" si="232"/>
        <v>0.92</v>
      </c>
      <c r="AS81" s="21"/>
      <c r="AT81" s="176">
        <v>0.16</v>
      </c>
      <c r="AU81" s="176">
        <v>0.0</v>
      </c>
      <c r="AV81" s="176">
        <v>0.2</v>
      </c>
      <c r="AW81" s="176">
        <v>0.0</v>
      </c>
      <c r="AX81" s="176">
        <v>0.15</v>
      </c>
      <c r="AY81" s="176">
        <v>1.0</v>
      </c>
      <c r="AZ81" s="176">
        <v>1.0</v>
      </c>
      <c r="BA81" s="196" t="s">
        <v>1739</v>
      </c>
      <c r="BB81" s="5"/>
      <c r="BC81" s="62"/>
      <c r="BE81" s="184"/>
      <c r="BF81" s="184"/>
      <c r="BG81" s="184"/>
      <c r="BH81" s="184"/>
      <c r="BI81" s="184"/>
      <c r="BJ81" s="184"/>
      <c r="BK81" s="81"/>
      <c r="BL81" s="280" t="s">
        <v>1561</v>
      </c>
      <c r="BM81" s="280"/>
      <c r="BN81" s="81"/>
    </row>
    <row r="82">
      <c r="A82" s="176">
        <v>78.0</v>
      </c>
      <c r="B82" s="340" t="s">
        <v>1740</v>
      </c>
      <c r="C82" s="287" t="s">
        <v>127</v>
      </c>
      <c r="D82" s="336"/>
      <c r="E82" s="292"/>
      <c r="F82" s="297"/>
      <c r="G82" s="297"/>
      <c r="H82" s="297"/>
      <c r="I82" s="297"/>
      <c r="J82" s="294"/>
      <c r="K82" s="342"/>
      <c r="L82" s="316"/>
      <c r="M82" s="316"/>
      <c r="N82" s="316"/>
      <c r="O82" s="316"/>
      <c r="P82" s="180">
        <v>1.0</v>
      </c>
      <c r="Q82" s="180">
        <v>1.0</v>
      </c>
      <c r="R82" s="5"/>
      <c r="S82" s="176">
        <v>0.0</v>
      </c>
      <c r="T82" s="176">
        <v>0.0</v>
      </c>
      <c r="U82" s="176">
        <v>0.0</v>
      </c>
      <c r="V82" s="176">
        <v>0.0</v>
      </c>
      <c r="W82" s="5"/>
      <c r="X82" s="184"/>
      <c r="Y82" s="184"/>
      <c r="Z82" s="184"/>
      <c r="AA82" s="184"/>
      <c r="AB82" s="176">
        <v>1.0</v>
      </c>
      <c r="AC82" s="176">
        <v>0.14</v>
      </c>
      <c r="AD82" s="5"/>
      <c r="AE82" s="176">
        <v>0.07</v>
      </c>
      <c r="AF82" s="184"/>
      <c r="AG82" s="184"/>
      <c r="AH82" s="184"/>
      <c r="AI82" s="184"/>
      <c r="AJ82" s="176"/>
      <c r="AK82" s="5"/>
      <c r="AL82" s="184">
        <f t="shared" ref="AL82:AM82" si="233">ROUND(E82*(5/12)+K82*(5/12)+S82+X82-AE82,2)</f>
        <v>-0.07</v>
      </c>
      <c r="AM82" s="184">
        <f t="shared" si="233"/>
        <v>0</v>
      </c>
      <c r="AN82" s="184">
        <f t="shared" si="5"/>
        <v>0</v>
      </c>
      <c r="AO82" s="184">
        <f t="shared" ref="AO82:AP82" si="234">ROUND(H82*(5/12)+N82*(5/12)+U82+Z82-AG82,2)</f>
        <v>0</v>
      </c>
      <c r="AP82" s="184">
        <f t="shared" si="234"/>
        <v>0</v>
      </c>
      <c r="AQ82" s="184">
        <f t="shared" ref="AQ82:AR82" si="235">P82+AB82-AI82</f>
        <v>2</v>
      </c>
      <c r="AR82" s="184">
        <f t="shared" si="235"/>
        <v>1.14</v>
      </c>
      <c r="AS82" s="5"/>
      <c r="AT82" s="176"/>
      <c r="AU82" s="176"/>
      <c r="AV82" s="176"/>
      <c r="AW82" s="176"/>
      <c r="AX82" s="176"/>
      <c r="AY82" s="176"/>
      <c r="AZ82" s="176"/>
      <c r="BA82" s="180"/>
      <c r="BB82" s="5"/>
      <c r="BC82" s="62"/>
      <c r="BE82" s="184"/>
      <c r="BF82" s="184"/>
      <c r="BG82" s="184"/>
      <c r="BH82" s="184"/>
      <c r="BI82" s="184"/>
      <c r="BJ82" s="184"/>
      <c r="BK82" s="81"/>
      <c r="BL82" s="81"/>
      <c r="BM82" s="81"/>
      <c r="BN82" s="81"/>
    </row>
    <row r="83">
      <c r="A83" s="176">
        <v>79.0</v>
      </c>
      <c r="B83" s="345" t="s">
        <v>1741</v>
      </c>
      <c r="C83" s="287" t="s">
        <v>127</v>
      </c>
      <c r="D83" s="336">
        <v>4.66</v>
      </c>
      <c r="E83" s="292">
        <v>0.19</v>
      </c>
      <c r="F83" s="292">
        <v>0.15</v>
      </c>
      <c r="G83" s="297"/>
      <c r="H83" s="297"/>
      <c r="I83" s="297"/>
      <c r="J83" s="316">
        <v>3.22</v>
      </c>
      <c r="K83" s="316">
        <v>0.61</v>
      </c>
      <c r="L83" s="316">
        <v>0.17</v>
      </c>
      <c r="M83" s="316"/>
      <c r="N83" s="316"/>
      <c r="O83" s="316"/>
      <c r="P83" s="180">
        <v>1.0</v>
      </c>
      <c r="Q83" s="180">
        <v>1.0</v>
      </c>
      <c r="R83" s="5"/>
      <c r="S83" s="176">
        <v>0.06</v>
      </c>
      <c r="T83" s="176">
        <v>0.0</v>
      </c>
      <c r="U83" s="176">
        <v>0.0</v>
      </c>
      <c r="V83" s="176">
        <v>0.0</v>
      </c>
      <c r="W83" s="5"/>
      <c r="X83" s="184"/>
      <c r="Y83" s="184"/>
      <c r="Z83" s="184"/>
      <c r="AA83" s="184"/>
      <c r="AB83" s="184"/>
      <c r="AC83" s="184"/>
      <c r="AD83" s="5"/>
      <c r="AE83" s="176">
        <v>0.22</v>
      </c>
      <c r="AF83" s="184"/>
      <c r="AG83" s="184"/>
      <c r="AH83" s="184"/>
      <c r="AI83" s="184"/>
      <c r="AJ83" s="184"/>
      <c r="AK83" s="5"/>
      <c r="AL83" s="184">
        <f t="shared" ref="AL83:AM83" si="236">ROUND(E83*(5/12)+K83*(5/12)+S83+X83-AE83,2)</f>
        <v>0.17</v>
      </c>
      <c r="AM83" s="184">
        <f t="shared" si="236"/>
        <v>0.13</v>
      </c>
      <c r="AN83" s="184">
        <f t="shared" si="5"/>
        <v>0</v>
      </c>
      <c r="AO83" s="184">
        <f t="shared" ref="AO83:AP83" si="237">ROUND(H83*(5/12)+N83*(5/12)+U83+Z83-AG83,2)</f>
        <v>0</v>
      </c>
      <c r="AP83" s="184">
        <f t="shared" si="237"/>
        <v>0</v>
      </c>
      <c r="AQ83" s="184">
        <f t="shared" ref="AQ83:AR83" si="238">P83+AB83-AI83</f>
        <v>1</v>
      </c>
      <c r="AR83" s="184">
        <f t="shared" si="238"/>
        <v>1</v>
      </c>
      <c r="AS83" s="5"/>
      <c r="AT83" s="176">
        <v>1.0</v>
      </c>
      <c r="AU83" s="176">
        <v>0.13</v>
      </c>
      <c r="AV83" s="176">
        <v>0.0</v>
      </c>
      <c r="AW83" s="176">
        <v>0.0</v>
      </c>
      <c r="AX83" s="176">
        <v>0.0</v>
      </c>
      <c r="AY83" s="176">
        <v>1.0</v>
      </c>
      <c r="AZ83" s="176">
        <v>1.0</v>
      </c>
      <c r="BA83" s="230" t="s">
        <v>1742</v>
      </c>
      <c r="BB83" s="5"/>
      <c r="BC83" s="62"/>
      <c r="BE83" s="194">
        <v>0.52</v>
      </c>
      <c r="BF83" s="184"/>
      <c r="BG83" s="198"/>
      <c r="BH83" s="301"/>
      <c r="BI83" s="194"/>
      <c r="BJ83" s="198"/>
      <c r="BK83" s="180" t="s">
        <v>1743</v>
      </c>
      <c r="BL83" s="280" t="s">
        <v>1561</v>
      </c>
      <c r="BM83" s="280" t="s">
        <v>1744</v>
      </c>
      <c r="BN83" s="81"/>
    </row>
    <row r="84">
      <c r="A84" s="176">
        <v>80.0</v>
      </c>
      <c r="B84" s="340" t="s">
        <v>1745</v>
      </c>
      <c r="C84" s="287" t="s">
        <v>127</v>
      </c>
      <c r="D84" s="346">
        <v>3.67</v>
      </c>
      <c r="E84" s="347"/>
      <c r="F84" s="292">
        <v>0.22</v>
      </c>
      <c r="G84" s="179">
        <v>0.12</v>
      </c>
      <c r="H84" s="179">
        <v>0.35</v>
      </c>
      <c r="I84" s="297"/>
      <c r="J84" s="342"/>
      <c r="K84" s="342"/>
      <c r="L84" s="316"/>
      <c r="M84" s="316"/>
      <c r="N84" s="316"/>
      <c r="O84" s="316"/>
      <c r="P84" s="180">
        <v>1.0</v>
      </c>
      <c r="Q84" s="180">
        <v>1.0</v>
      </c>
      <c r="R84" s="5"/>
      <c r="S84" s="176">
        <v>0.06</v>
      </c>
      <c r="T84" s="176">
        <v>0.0</v>
      </c>
      <c r="U84" s="176">
        <v>0.0</v>
      </c>
      <c r="V84" s="176">
        <v>0.0</v>
      </c>
      <c r="W84" s="5"/>
      <c r="X84" s="176">
        <v>0.23</v>
      </c>
      <c r="Y84" s="184"/>
      <c r="Z84" s="184"/>
      <c r="AA84" s="184"/>
      <c r="AB84" s="176">
        <v>0.5</v>
      </c>
      <c r="AC84" s="176">
        <v>0.76</v>
      </c>
      <c r="AD84" s="5"/>
      <c r="AE84" s="176"/>
      <c r="AF84" s="184"/>
      <c r="AG84" s="184"/>
      <c r="AH84" s="184"/>
      <c r="AI84" s="184"/>
      <c r="AJ84" s="176"/>
      <c r="AK84" s="5"/>
      <c r="AL84" s="184">
        <f t="shared" ref="AL84:AM84" si="239">ROUND(E84*(5/12)+K84*(5/12)+S84+X84-AE84,2)</f>
        <v>0.29</v>
      </c>
      <c r="AM84" s="184">
        <f t="shared" si="239"/>
        <v>0.09</v>
      </c>
      <c r="AN84" s="184">
        <f t="shared" si="5"/>
        <v>0.05</v>
      </c>
      <c r="AO84" s="184">
        <f t="shared" ref="AO84:AP84" si="240">ROUND(H84*(5/12)+N84*(5/12)+U84+Z84-AG84,2)</f>
        <v>0.15</v>
      </c>
      <c r="AP84" s="184">
        <f t="shared" si="240"/>
        <v>0</v>
      </c>
      <c r="AQ84" s="184">
        <f t="shared" ref="AQ84:AR84" si="241">P84+AB84-AI84</f>
        <v>1.5</v>
      </c>
      <c r="AR84" s="184">
        <f t="shared" si="241"/>
        <v>1.76</v>
      </c>
      <c r="AS84" s="5"/>
      <c r="AT84" s="176"/>
      <c r="AU84" s="176"/>
      <c r="AV84" s="176"/>
      <c r="AW84" s="176"/>
      <c r="AX84" s="176"/>
      <c r="AY84" s="176"/>
      <c r="AZ84" s="176"/>
      <c r="BA84" s="180"/>
      <c r="BB84" s="5"/>
      <c r="BC84" s="62"/>
      <c r="BE84" s="184"/>
      <c r="BF84" s="184"/>
      <c r="BG84" s="184"/>
      <c r="BH84" s="184"/>
      <c r="BI84" s="184"/>
      <c r="BJ84" s="184"/>
      <c r="BK84" s="81"/>
      <c r="BL84" s="81"/>
      <c r="BM84" s="81"/>
      <c r="BN84" s="81"/>
    </row>
    <row r="85" ht="16.5" customHeight="1">
      <c r="A85" s="176">
        <v>81.0</v>
      </c>
      <c r="B85" s="345" t="s">
        <v>1746</v>
      </c>
      <c r="C85" s="287" t="s">
        <v>127</v>
      </c>
      <c r="D85" s="348">
        <v>3.16</v>
      </c>
      <c r="E85" s="336">
        <v>1.34</v>
      </c>
      <c r="F85" s="292">
        <v>0.3</v>
      </c>
      <c r="G85" s="292">
        <v>0.2</v>
      </c>
      <c r="H85" s="297"/>
      <c r="I85" s="293"/>
      <c r="J85" s="338">
        <v>2.63</v>
      </c>
      <c r="K85" s="338">
        <v>0.82</v>
      </c>
      <c r="L85" s="338">
        <v>0.1</v>
      </c>
      <c r="M85" s="338">
        <v>0.2</v>
      </c>
      <c r="N85" s="338"/>
      <c r="O85" s="338">
        <v>0.25</v>
      </c>
      <c r="P85" s="180">
        <v>1.0</v>
      </c>
      <c r="Q85" s="180">
        <v>1.0</v>
      </c>
      <c r="R85" s="5"/>
      <c r="S85" s="176">
        <v>0.08</v>
      </c>
      <c r="T85" s="176">
        <v>0.0</v>
      </c>
      <c r="U85" s="176">
        <v>0.0</v>
      </c>
      <c r="V85" s="176">
        <v>0.08</v>
      </c>
      <c r="W85" s="5"/>
      <c r="X85" s="176"/>
      <c r="Y85" s="184"/>
      <c r="Z85" s="184"/>
      <c r="AA85" s="176">
        <v>0.42</v>
      </c>
      <c r="AB85" s="184"/>
      <c r="AC85" s="176">
        <v>0.47</v>
      </c>
      <c r="AD85" s="5"/>
      <c r="AE85" s="184"/>
      <c r="AF85" s="184"/>
      <c r="AG85" s="184"/>
      <c r="AH85" s="184"/>
      <c r="AI85" s="184"/>
      <c r="AJ85" s="176"/>
      <c r="AK85" s="5"/>
      <c r="AL85" s="184">
        <f t="shared" ref="AL85:AM85" si="242">ROUND(E85*(5/12)+K85*(5/12)+S85+X85-AE85,2)</f>
        <v>0.98</v>
      </c>
      <c r="AM85" s="184">
        <f t="shared" si="242"/>
        <v>0.17</v>
      </c>
      <c r="AN85" s="184">
        <f t="shared" si="5"/>
        <v>0.17</v>
      </c>
      <c r="AO85" s="184">
        <f t="shared" ref="AO85:AP85" si="243">ROUND(H85*(5/12)+N85*(5/12)+U85+Z85-AG85,2)</f>
        <v>0</v>
      </c>
      <c r="AP85" s="184">
        <f t="shared" si="243"/>
        <v>0.6</v>
      </c>
      <c r="AQ85" s="184">
        <f t="shared" ref="AQ85:AR85" si="244">P85+AB85-AI85</f>
        <v>1</v>
      </c>
      <c r="AR85" s="184">
        <f t="shared" si="244"/>
        <v>1.47</v>
      </c>
      <c r="AS85" s="5"/>
      <c r="AT85" s="176">
        <v>0.75</v>
      </c>
      <c r="AU85" s="176">
        <v>0.175</v>
      </c>
      <c r="AV85" s="176">
        <v>0.2</v>
      </c>
      <c r="AW85" s="176">
        <v>0.0</v>
      </c>
      <c r="AX85" s="176">
        <v>0.016</v>
      </c>
      <c r="AY85" s="176">
        <v>1.0</v>
      </c>
      <c r="AZ85" s="176">
        <v>2.0</v>
      </c>
      <c r="BA85" s="95" t="s">
        <v>1747</v>
      </c>
      <c r="BB85" s="5"/>
      <c r="BC85" s="62"/>
      <c r="BE85" s="194" t="s">
        <v>1748</v>
      </c>
      <c r="BF85" s="301"/>
      <c r="BG85" s="301"/>
      <c r="BH85" s="301"/>
      <c r="BI85" s="194" t="s">
        <v>1749</v>
      </c>
      <c r="BJ85" s="198" t="s">
        <v>1750</v>
      </c>
      <c r="BK85" s="313" t="s">
        <v>1751</v>
      </c>
      <c r="BL85" s="280" t="s">
        <v>1152</v>
      </c>
      <c r="BM85" s="81"/>
      <c r="BN85" s="81"/>
    </row>
    <row r="86">
      <c r="A86" s="176">
        <v>82.0</v>
      </c>
      <c r="B86" s="343" t="s">
        <v>1752</v>
      </c>
      <c r="C86" s="287" t="s">
        <v>127</v>
      </c>
      <c r="D86" s="336">
        <v>3.66</v>
      </c>
      <c r="E86" s="292">
        <v>0.19</v>
      </c>
      <c r="F86" s="292">
        <v>0.15</v>
      </c>
      <c r="G86" s="297"/>
      <c r="H86" s="297"/>
      <c r="I86" s="297"/>
      <c r="J86" s="294">
        <v>3.33</v>
      </c>
      <c r="K86" s="316">
        <v>0.3</v>
      </c>
      <c r="L86" s="316">
        <v>0.17</v>
      </c>
      <c r="M86" s="316">
        <v>0.2</v>
      </c>
      <c r="N86" s="316"/>
      <c r="O86" s="316"/>
      <c r="P86" s="180">
        <v>1.0</v>
      </c>
      <c r="Q86" s="180">
        <v>1.0</v>
      </c>
      <c r="R86" s="5"/>
      <c r="S86" s="176">
        <v>0.0</v>
      </c>
      <c r="T86" s="176">
        <v>0.0</v>
      </c>
      <c r="U86" s="176">
        <v>0.0</v>
      </c>
      <c r="V86" s="176">
        <v>0.0</v>
      </c>
      <c r="W86" s="5"/>
      <c r="X86" s="176">
        <v>0.5</v>
      </c>
      <c r="Y86" s="184"/>
      <c r="Z86" s="184"/>
      <c r="AA86" s="184"/>
      <c r="AB86" s="176">
        <v>1.0</v>
      </c>
      <c r="AC86" s="184"/>
      <c r="AD86" s="5"/>
      <c r="AE86" s="184"/>
      <c r="AF86" s="184"/>
      <c r="AG86" s="184"/>
      <c r="AH86" s="184"/>
      <c r="AI86" s="184"/>
      <c r="AJ86" s="184"/>
      <c r="AK86" s="5"/>
      <c r="AL86" s="184">
        <f t="shared" ref="AL86:AM86" si="245">ROUND(E86*(5/12)+K86*(5/12)+S86+X86-AE86,2)</f>
        <v>0.7</v>
      </c>
      <c r="AM86" s="184">
        <f t="shared" si="245"/>
        <v>0.13</v>
      </c>
      <c r="AN86" s="184">
        <f t="shared" si="5"/>
        <v>0.08</v>
      </c>
      <c r="AO86" s="184">
        <f t="shared" ref="AO86:AP86" si="246">ROUND(H86*(5/12)+N86*(5/12)+U86+Z86-AG86,2)</f>
        <v>0</v>
      </c>
      <c r="AP86" s="184">
        <f t="shared" si="246"/>
        <v>0</v>
      </c>
      <c r="AQ86" s="184">
        <f t="shared" ref="AQ86:AR86" si="247">P86+AB86-AI86</f>
        <v>2</v>
      </c>
      <c r="AR86" s="184">
        <f t="shared" si="247"/>
        <v>1</v>
      </c>
      <c r="AS86" s="5"/>
      <c r="AT86" s="176">
        <v>1.0</v>
      </c>
      <c r="AU86" s="176">
        <v>0.016</v>
      </c>
      <c r="AV86" s="176">
        <v>0.1</v>
      </c>
      <c r="AW86" s="176">
        <v>0.0</v>
      </c>
      <c r="AX86" s="176">
        <v>0.0</v>
      </c>
      <c r="AY86" s="176">
        <v>2.0</v>
      </c>
      <c r="AZ86" s="176">
        <v>1.0</v>
      </c>
      <c r="BA86" s="95" t="s">
        <v>1753</v>
      </c>
      <c r="BB86" s="5"/>
      <c r="BC86" s="62"/>
      <c r="BE86" s="184"/>
      <c r="BF86" s="184"/>
      <c r="BG86" s="184"/>
      <c r="BH86" s="184"/>
      <c r="BI86" s="184"/>
      <c r="BJ86" s="184"/>
      <c r="BK86" s="81"/>
      <c r="BL86" s="280" t="s">
        <v>1561</v>
      </c>
      <c r="BM86" s="81"/>
      <c r="BN86" s="81"/>
    </row>
    <row r="87">
      <c r="A87" s="176">
        <v>83.0</v>
      </c>
      <c r="B87" s="343" t="s">
        <v>1754</v>
      </c>
      <c r="C87" s="287" t="s">
        <v>127</v>
      </c>
      <c r="D87" s="336">
        <v>3.66</v>
      </c>
      <c r="E87" s="292">
        <v>0.19</v>
      </c>
      <c r="F87" s="292">
        <v>0.15</v>
      </c>
      <c r="G87" s="297"/>
      <c r="H87" s="297"/>
      <c r="I87" s="297"/>
      <c r="J87" s="338">
        <v>3.67</v>
      </c>
      <c r="K87" s="316">
        <v>0.06</v>
      </c>
      <c r="L87" s="316">
        <v>0.17</v>
      </c>
      <c r="M87" s="316">
        <v>0.1</v>
      </c>
      <c r="N87" s="316"/>
      <c r="O87" s="316"/>
      <c r="P87" s="180">
        <v>1.0</v>
      </c>
      <c r="Q87" s="180">
        <v>1.0</v>
      </c>
      <c r="R87" s="5"/>
      <c r="S87" s="176">
        <v>0.0</v>
      </c>
      <c r="T87" s="176">
        <v>0.0</v>
      </c>
      <c r="U87" s="176">
        <v>0.0</v>
      </c>
      <c r="V87" s="176">
        <v>0.0</v>
      </c>
      <c r="W87" s="5"/>
      <c r="X87" s="176">
        <v>0.84</v>
      </c>
      <c r="Y87" s="184"/>
      <c r="Z87" s="184"/>
      <c r="AA87" s="184"/>
      <c r="AB87" s="176">
        <v>0.21</v>
      </c>
      <c r="AC87" s="176">
        <v>0.97</v>
      </c>
      <c r="AD87" s="5"/>
      <c r="AE87" s="184"/>
      <c r="AF87" s="184"/>
      <c r="AG87" s="184"/>
      <c r="AH87" s="184"/>
      <c r="AI87" s="184"/>
      <c r="AJ87" s="176"/>
      <c r="AK87" s="5"/>
      <c r="AL87" s="184">
        <f t="shared" ref="AL87:AM87" si="248">ROUND(E87*(5/12)+K87*(5/12)+S87+X87-AE87,2)</f>
        <v>0.94</v>
      </c>
      <c r="AM87" s="184">
        <f t="shared" si="248"/>
        <v>0.13</v>
      </c>
      <c r="AN87" s="184">
        <f t="shared" si="5"/>
        <v>0.04</v>
      </c>
      <c r="AO87" s="184">
        <f t="shared" ref="AO87:AP87" si="249">ROUND(H87*(5/12)+N87*(5/12)+U87+Z87-AG87,2)</f>
        <v>0</v>
      </c>
      <c r="AP87" s="184">
        <f t="shared" si="249"/>
        <v>0</v>
      </c>
      <c r="AQ87" s="184">
        <f t="shared" ref="AQ87:AR87" si="250">P87+AB87-AI87</f>
        <v>1.21</v>
      </c>
      <c r="AR87" s="184">
        <f t="shared" si="250"/>
        <v>1.97</v>
      </c>
      <c r="AS87" s="5"/>
      <c r="AT87" s="176">
        <v>1.025</v>
      </c>
      <c r="AU87" s="176">
        <v>0.016</v>
      </c>
      <c r="AV87" s="176">
        <v>0.1</v>
      </c>
      <c r="AW87" s="176">
        <v>0.0</v>
      </c>
      <c r="AX87" s="176">
        <v>0.0</v>
      </c>
      <c r="AY87" s="176">
        <v>1.21</v>
      </c>
      <c r="AZ87" s="176">
        <v>2.0</v>
      </c>
      <c r="BA87" s="95" t="s">
        <v>1755</v>
      </c>
      <c r="BB87" s="5"/>
      <c r="BC87" s="62"/>
      <c r="BE87" s="184"/>
      <c r="BF87" s="184"/>
      <c r="BG87" s="184"/>
      <c r="BH87" s="184"/>
      <c r="BI87" s="184"/>
      <c r="BJ87" s="184"/>
      <c r="BK87" s="81"/>
      <c r="BL87" s="280" t="s">
        <v>1152</v>
      </c>
      <c r="BM87" s="81"/>
      <c r="BN87" s="81"/>
    </row>
    <row r="88">
      <c r="A88" s="176">
        <v>84.0</v>
      </c>
      <c r="B88" s="343" t="s">
        <v>1362</v>
      </c>
      <c r="C88" s="287" t="s">
        <v>127</v>
      </c>
      <c r="D88" s="336">
        <v>4.66</v>
      </c>
      <c r="E88" s="292">
        <v>0.19</v>
      </c>
      <c r="F88" s="292">
        <v>0.15</v>
      </c>
      <c r="G88" s="297"/>
      <c r="H88" s="297"/>
      <c r="I88" s="297"/>
      <c r="J88" s="316">
        <v>3.67</v>
      </c>
      <c r="K88" s="316">
        <v>0.06</v>
      </c>
      <c r="L88" s="316">
        <v>0.17</v>
      </c>
      <c r="M88" s="316">
        <v>0.1</v>
      </c>
      <c r="N88" s="316"/>
      <c r="O88" s="316"/>
      <c r="P88" s="180">
        <v>1.0</v>
      </c>
      <c r="Q88" s="180">
        <v>1.0</v>
      </c>
      <c r="R88" s="5"/>
      <c r="S88" s="176">
        <v>0.0</v>
      </c>
      <c r="T88" s="176">
        <v>0.0</v>
      </c>
      <c r="U88" s="176">
        <v>0.0</v>
      </c>
      <c r="V88" s="176">
        <v>0.0</v>
      </c>
      <c r="W88" s="5"/>
      <c r="X88" s="184"/>
      <c r="Y88" s="184"/>
      <c r="Z88" s="184"/>
      <c r="AA88" s="184"/>
      <c r="AB88" s="176">
        <v>1.0</v>
      </c>
      <c r="AC88" s="184"/>
      <c r="AD88" s="5"/>
      <c r="AE88" s="184"/>
      <c r="AF88" s="184"/>
      <c r="AG88" s="184"/>
      <c r="AH88" s="184"/>
      <c r="AI88" s="184"/>
      <c r="AJ88" s="184"/>
      <c r="AK88" s="5"/>
      <c r="AL88" s="184">
        <f t="shared" ref="AL88:AM88" si="251">ROUND(E88*(5/12)+K88*(5/12)+S88+X88-AE88,2)</f>
        <v>0.1</v>
      </c>
      <c r="AM88" s="184">
        <f t="shared" si="251"/>
        <v>0.13</v>
      </c>
      <c r="AN88" s="184">
        <f t="shared" si="5"/>
        <v>0.04</v>
      </c>
      <c r="AO88" s="184">
        <f t="shared" ref="AO88:AP88" si="252">ROUND(H88*(5/12)+N88*(5/12)+U88+Z88-AG88,2)</f>
        <v>0</v>
      </c>
      <c r="AP88" s="184">
        <f t="shared" si="252"/>
        <v>0</v>
      </c>
      <c r="AQ88" s="184">
        <f t="shared" ref="AQ88:AR88" si="253">P88+AB88-AI88</f>
        <v>2</v>
      </c>
      <c r="AR88" s="184">
        <f t="shared" si="253"/>
        <v>1</v>
      </c>
      <c r="AS88" s="5"/>
      <c r="AT88" s="176">
        <v>0.0</v>
      </c>
      <c r="AU88" s="176">
        <v>0.0</v>
      </c>
      <c r="AV88" s="176">
        <v>0.05</v>
      </c>
      <c r="AW88" s="176">
        <v>0.0</v>
      </c>
      <c r="AX88" s="176">
        <v>0.0</v>
      </c>
      <c r="AY88" s="176">
        <v>1.0</v>
      </c>
      <c r="AZ88" s="176">
        <v>1.0</v>
      </c>
      <c r="BA88" s="95" t="s">
        <v>1756</v>
      </c>
      <c r="BB88" s="5"/>
      <c r="BC88" s="62"/>
      <c r="BE88" s="184"/>
      <c r="BF88" s="184"/>
      <c r="BG88" s="184"/>
      <c r="BH88" s="184"/>
      <c r="BI88" s="184"/>
      <c r="BJ88" s="184"/>
      <c r="BK88" s="81"/>
      <c r="BL88" s="280"/>
      <c r="BM88" s="81"/>
      <c r="BN88" s="81"/>
    </row>
    <row r="89">
      <c r="A89" s="176">
        <v>85.0</v>
      </c>
      <c r="B89" s="340" t="s">
        <v>1757</v>
      </c>
      <c r="C89" s="287" t="s">
        <v>127</v>
      </c>
      <c r="D89" s="336">
        <v>3.33</v>
      </c>
      <c r="E89" s="293"/>
      <c r="F89" s="297"/>
      <c r="G89" s="297"/>
      <c r="H89" s="292">
        <v>0.67</v>
      </c>
      <c r="I89" s="293"/>
      <c r="J89" s="294"/>
      <c r="K89" s="294"/>
      <c r="L89" s="338"/>
      <c r="M89" s="338"/>
      <c r="N89" s="338"/>
      <c r="O89" s="294"/>
      <c r="P89" s="180">
        <v>1.0</v>
      </c>
      <c r="Q89" s="180">
        <v>1.0</v>
      </c>
      <c r="R89" s="5"/>
      <c r="S89" s="176">
        <v>0.06</v>
      </c>
      <c r="T89" s="176">
        <v>0.0</v>
      </c>
      <c r="U89" s="176">
        <v>0.0</v>
      </c>
      <c r="V89" s="176">
        <v>0.06</v>
      </c>
      <c r="W89" s="5"/>
      <c r="X89" s="176">
        <v>0.05</v>
      </c>
      <c r="Y89" s="184"/>
      <c r="Z89" s="184"/>
      <c r="AA89" s="176">
        <v>0.025</v>
      </c>
      <c r="AB89" s="184"/>
      <c r="AC89" s="184"/>
      <c r="AD89" s="5"/>
      <c r="AE89" s="184"/>
      <c r="AF89" s="184"/>
      <c r="AG89" s="184"/>
      <c r="AH89" s="184"/>
      <c r="AI89" s="176">
        <v>0.417</v>
      </c>
      <c r="AJ89" s="176">
        <v>0.417</v>
      </c>
      <c r="AK89" s="5"/>
      <c r="AL89" s="184">
        <f t="shared" ref="AL89:AM89" si="254">ROUND(E89*(5/12)+K89*(5/12)+S89+X89-AE89,2)</f>
        <v>0.11</v>
      </c>
      <c r="AM89" s="184">
        <f t="shared" si="254"/>
        <v>0</v>
      </c>
      <c r="AN89" s="184">
        <f t="shared" si="5"/>
        <v>0</v>
      </c>
      <c r="AO89" s="184">
        <f t="shared" ref="AO89:AP89" si="255">ROUND(H89*(5/12)+N89*(5/12)+U89+Z89-AG89,2)</f>
        <v>0.28</v>
      </c>
      <c r="AP89" s="184">
        <f t="shared" si="255"/>
        <v>0.09</v>
      </c>
      <c r="AQ89" s="184">
        <f t="shared" ref="AQ89:AR89" si="256">P89+AB89-AI89</f>
        <v>0.583</v>
      </c>
      <c r="AR89" s="184">
        <f t="shared" si="256"/>
        <v>0.583</v>
      </c>
      <c r="AS89" s="5"/>
      <c r="AT89" s="176"/>
      <c r="AU89" s="176"/>
      <c r="AV89" s="176"/>
      <c r="AW89" s="176"/>
      <c r="AX89" s="176"/>
      <c r="AY89" s="176"/>
      <c r="AZ89" s="176"/>
      <c r="BA89" s="180"/>
      <c r="BB89" s="5"/>
      <c r="BC89" s="62"/>
      <c r="BE89" s="184"/>
      <c r="BF89" s="184"/>
      <c r="BG89" s="184"/>
      <c r="BH89" s="184"/>
      <c r="BI89" s="184"/>
      <c r="BJ89" s="184"/>
      <c r="BK89" s="81"/>
      <c r="BL89" s="280" t="s">
        <v>1152</v>
      </c>
      <c r="BM89" s="81"/>
      <c r="BN89" s="81"/>
    </row>
    <row r="90">
      <c r="A90" s="176">
        <v>86.0</v>
      </c>
      <c r="B90" s="340" t="s">
        <v>1758</v>
      </c>
      <c r="C90" s="287" t="s">
        <v>127</v>
      </c>
      <c r="D90" s="336">
        <v>3.66</v>
      </c>
      <c r="E90" s="292">
        <v>0.19</v>
      </c>
      <c r="F90" s="292">
        <v>0.15</v>
      </c>
      <c r="G90" s="297"/>
      <c r="H90" s="297"/>
      <c r="I90" s="297"/>
      <c r="J90" s="294"/>
      <c r="K90" s="294"/>
      <c r="L90" s="316"/>
      <c r="M90" s="316"/>
      <c r="N90" s="316"/>
      <c r="O90" s="316"/>
      <c r="P90" s="180">
        <v>1.0</v>
      </c>
      <c r="Q90" s="180">
        <v>1.0</v>
      </c>
      <c r="R90" s="5"/>
      <c r="S90" s="176">
        <v>0.17</v>
      </c>
      <c r="T90" s="176">
        <v>0.0</v>
      </c>
      <c r="U90" s="176">
        <v>0.0</v>
      </c>
      <c r="V90" s="176">
        <v>0.0</v>
      </c>
      <c r="W90" s="5"/>
      <c r="X90" s="176">
        <v>0.27</v>
      </c>
      <c r="Y90" s="184"/>
      <c r="Z90" s="184"/>
      <c r="AA90" s="184"/>
      <c r="AB90" s="176">
        <v>0.834</v>
      </c>
      <c r="AC90" s="176">
        <v>0.834</v>
      </c>
      <c r="AD90" s="5"/>
      <c r="AE90" s="184"/>
      <c r="AF90" s="184"/>
      <c r="AG90" s="184"/>
      <c r="AH90" s="184"/>
      <c r="AI90" s="184"/>
      <c r="AJ90" s="184"/>
      <c r="AK90" s="5"/>
      <c r="AL90" s="184">
        <f t="shared" ref="AL90:AM90" si="257">ROUND(E90*(5/12)+K90*(5/12)+S90+X90-AE90,2)</f>
        <v>0.52</v>
      </c>
      <c r="AM90" s="184">
        <f t="shared" si="257"/>
        <v>0.06</v>
      </c>
      <c r="AN90" s="184">
        <f t="shared" si="5"/>
        <v>0</v>
      </c>
      <c r="AO90" s="184">
        <f t="shared" ref="AO90:AP90" si="258">ROUND(H90*(5/12)+N90*(5/12)+U90+Z90-AG90,2)</f>
        <v>0</v>
      </c>
      <c r="AP90" s="184">
        <f t="shared" si="258"/>
        <v>0</v>
      </c>
      <c r="AQ90" s="184">
        <f t="shared" ref="AQ90:AR90" si="259">P90+AB90-AI90</f>
        <v>1.834</v>
      </c>
      <c r="AR90" s="184">
        <f t="shared" si="259"/>
        <v>1.834</v>
      </c>
      <c r="AS90" s="5"/>
      <c r="AT90" s="176"/>
      <c r="AU90" s="176"/>
      <c r="AV90" s="176"/>
      <c r="AW90" s="176"/>
      <c r="AX90" s="176"/>
      <c r="AY90" s="176"/>
      <c r="AZ90" s="176"/>
      <c r="BA90" s="95"/>
      <c r="BB90" s="5"/>
      <c r="BC90" s="62"/>
      <c r="BE90" s="184"/>
      <c r="BF90" s="184"/>
      <c r="BG90" s="184"/>
      <c r="BH90" s="184"/>
      <c r="BI90" s="184"/>
      <c r="BJ90" s="184"/>
      <c r="BK90" s="81"/>
      <c r="BL90" s="81"/>
      <c r="BM90" s="81"/>
      <c r="BN90" s="81"/>
    </row>
    <row r="91">
      <c r="A91" s="176">
        <v>87.0</v>
      </c>
      <c r="B91" s="343" t="s">
        <v>1365</v>
      </c>
      <c r="C91" s="287" t="s">
        <v>127</v>
      </c>
      <c r="D91" s="349">
        <v>4.0</v>
      </c>
      <c r="E91" s="350">
        <v>0.47</v>
      </c>
      <c r="F91" s="351"/>
      <c r="G91" s="351"/>
      <c r="H91" s="350">
        <v>0.2</v>
      </c>
      <c r="I91" s="351"/>
      <c r="J91" s="352">
        <v>3.5</v>
      </c>
      <c r="K91" s="352"/>
      <c r="L91" s="352"/>
      <c r="M91" s="352"/>
      <c r="N91" s="352">
        <v>0.5</v>
      </c>
      <c r="O91" s="353"/>
      <c r="P91" s="180">
        <v>1.0</v>
      </c>
      <c r="Q91" s="180">
        <v>1.0</v>
      </c>
      <c r="R91" s="5"/>
      <c r="S91" s="176">
        <v>0.0</v>
      </c>
      <c r="T91" s="176">
        <v>0.0</v>
      </c>
      <c r="U91" s="176">
        <v>0.0</v>
      </c>
      <c r="V91" s="176">
        <v>0.0</v>
      </c>
      <c r="W91" s="5"/>
      <c r="X91" s="184"/>
      <c r="Y91" s="184"/>
      <c r="Z91" s="184"/>
      <c r="AA91" s="184"/>
      <c r="AB91" s="184"/>
      <c r="AC91" s="184"/>
      <c r="AD91" s="5"/>
      <c r="AE91" s="184"/>
      <c r="AF91" s="184"/>
      <c r="AG91" s="176"/>
      <c r="AH91" s="184"/>
      <c r="AI91" s="184"/>
      <c r="AJ91" s="184"/>
      <c r="AK91" s="5"/>
      <c r="AL91" s="184">
        <f t="shared" ref="AL91:AM91" si="260">ROUND(E91*(5/12)+K91*(5/12)+S91+X91-AE91,2)</f>
        <v>0.2</v>
      </c>
      <c r="AM91" s="184">
        <f t="shared" si="260"/>
        <v>0</v>
      </c>
      <c r="AN91" s="184">
        <f t="shared" si="5"/>
        <v>0</v>
      </c>
      <c r="AO91" s="184">
        <f t="shared" ref="AO91:AP91" si="261">ROUND(H91*(5/12)+N91*(5/12)+U91+Z91-AG91,2)</f>
        <v>0.29</v>
      </c>
      <c r="AP91" s="184">
        <f t="shared" si="261"/>
        <v>0</v>
      </c>
      <c r="AQ91" s="184">
        <f t="shared" ref="AQ91:AR91" si="262">P91+AB91-AI91</f>
        <v>1</v>
      </c>
      <c r="AR91" s="184">
        <f t="shared" si="262"/>
        <v>1</v>
      </c>
      <c r="AS91" s="5"/>
      <c r="AT91" s="176">
        <v>0.25</v>
      </c>
      <c r="AU91" s="176">
        <v>0.0</v>
      </c>
      <c r="AV91" s="176">
        <v>0.0</v>
      </c>
      <c r="AW91" s="176">
        <v>0.33</v>
      </c>
      <c r="AX91" s="176">
        <v>0.0</v>
      </c>
      <c r="AY91" s="176">
        <v>0.5</v>
      </c>
      <c r="AZ91" s="176">
        <v>1.0</v>
      </c>
      <c r="BA91" s="180" t="s">
        <v>1759</v>
      </c>
      <c r="BB91" s="5"/>
      <c r="BC91" s="62"/>
      <c r="BE91" s="198">
        <v>0.118</v>
      </c>
      <c r="BF91" s="301"/>
      <c r="BG91" s="301"/>
      <c r="BH91" s="301"/>
      <c r="BI91" s="198">
        <v>0.402</v>
      </c>
      <c r="BJ91" s="184"/>
      <c r="BK91" s="280" t="s">
        <v>1760</v>
      </c>
      <c r="BL91" s="280" t="s">
        <v>1561</v>
      </c>
      <c r="BM91" s="81"/>
      <c r="BN91" s="81"/>
    </row>
    <row r="92">
      <c r="A92" s="176">
        <v>88.0</v>
      </c>
      <c r="B92" s="343" t="s">
        <v>1761</v>
      </c>
      <c r="C92" s="287" t="s">
        <v>127</v>
      </c>
      <c r="D92" s="349">
        <v>3.16</v>
      </c>
      <c r="E92" s="350">
        <v>0.56</v>
      </c>
      <c r="F92" s="351"/>
      <c r="G92" s="351"/>
      <c r="H92" s="350">
        <v>0.28</v>
      </c>
      <c r="I92" s="351"/>
      <c r="J92" s="353"/>
      <c r="K92" s="353"/>
      <c r="L92" s="353"/>
      <c r="M92" s="353"/>
      <c r="N92" s="353"/>
      <c r="O92" s="353"/>
      <c r="P92" s="180">
        <v>1.0</v>
      </c>
      <c r="Q92" s="180">
        <v>1.0</v>
      </c>
      <c r="R92" s="5"/>
      <c r="S92" s="176">
        <v>0.0</v>
      </c>
      <c r="T92" s="176">
        <v>0.0</v>
      </c>
      <c r="U92" s="176">
        <v>0.0</v>
      </c>
      <c r="V92" s="176">
        <v>0.0</v>
      </c>
      <c r="W92" s="5"/>
      <c r="X92" s="184"/>
      <c r="Y92" s="184"/>
      <c r="Z92" s="184"/>
      <c r="AA92" s="184"/>
      <c r="AB92" s="184"/>
      <c r="AC92" s="184"/>
      <c r="AD92" s="5"/>
      <c r="AE92" s="184"/>
      <c r="AF92" s="184"/>
      <c r="AG92" s="176"/>
      <c r="AH92" s="184"/>
      <c r="AI92" s="184"/>
      <c r="AJ92" s="184"/>
      <c r="AK92" s="5"/>
      <c r="AL92" s="184">
        <f t="shared" ref="AL92:AM92" si="263">ROUND(E92*(5/12)+K92*(5/12)+S92+X92-AE92,2)</f>
        <v>0.23</v>
      </c>
      <c r="AM92" s="184">
        <f t="shared" si="263"/>
        <v>0</v>
      </c>
      <c r="AN92" s="184">
        <f t="shared" si="5"/>
        <v>0</v>
      </c>
      <c r="AO92" s="184">
        <f t="shared" ref="AO92:AP92" si="264">ROUND(H92*(5/12)+N92*(5/12)+U92+Z92-AG92,2)</f>
        <v>0.12</v>
      </c>
      <c r="AP92" s="184">
        <f t="shared" si="264"/>
        <v>0</v>
      </c>
      <c r="AQ92" s="184">
        <f t="shared" ref="AQ92:AR92" si="265">P92+AB92-AI92</f>
        <v>1</v>
      </c>
      <c r="AR92" s="184">
        <f t="shared" si="265"/>
        <v>1</v>
      </c>
      <c r="AS92" s="5"/>
      <c r="AT92" s="184"/>
      <c r="AU92" s="184"/>
      <c r="AV92" s="184"/>
      <c r="AW92" s="184"/>
      <c r="AX92" s="184"/>
      <c r="AY92" s="176"/>
      <c r="AZ92" s="176"/>
      <c r="BA92" s="180" t="s">
        <v>1670</v>
      </c>
      <c r="BB92" s="5"/>
      <c r="BC92" s="62"/>
      <c r="BE92" s="184"/>
      <c r="BF92" s="184"/>
      <c r="BG92" s="184"/>
      <c r="BH92" s="184"/>
      <c r="BI92" s="184"/>
      <c r="BJ92" s="184"/>
      <c r="BK92" s="81"/>
      <c r="BL92" s="280" t="s">
        <v>1152</v>
      </c>
      <c r="BM92" s="81"/>
      <c r="BN92" s="81"/>
    </row>
    <row r="93">
      <c r="A93" s="176">
        <v>89.0</v>
      </c>
      <c r="B93" s="340" t="s">
        <v>1762</v>
      </c>
      <c r="C93" s="287" t="s">
        <v>127</v>
      </c>
      <c r="D93" s="349"/>
      <c r="E93" s="350"/>
      <c r="F93" s="350"/>
      <c r="G93" s="350"/>
      <c r="H93" s="350"/>
      <c r="I93" s="350"/>
      <c r="J93" s="353"/>
      <c r="K93" s="353"/>
      <c r="L93" s="353"/>
      <c r="M93" s="353"/>
      <c r="N93" s="353"/>
      <c r="O93" s="353"/>
      <c r="P93" s="180">
        <v>1.0</v>
      </c>
      <c r="Q93" s="180">
        <v>1.0</v>
      </c>
      <c r="R93" s="5"/>
      <c r="S93" s="176">
        <v>0.0</v>
      </c>
      <c r="T93" s="176">
        <v>0.0</v>
      </c>
      <c r="U93" s="176">
        <v>0.0</v>
      </c>
      <c r="V93" s="176">
        <v>0.0</v>
      </c>
      <c r="W93" s="5"/>
      <c r="X93" s="184"/>
      <c r="Y93" s="184"/>
      <c r="Z93" s="184"/>
      <c r="AA93" s="184"/>
      <c r="AB93" s="184"/>
      <c r="AC93" s="184"/>
      <c r="AD93" s="5"/>
      <c r="AE93" s="184"/>
      <c r="AF93" s="184"/>
      <c r="AG93" s="176"/>
      <c r="AH93" s="184"/>
      <c r="AI93" s="184"/>
      <c r="AJ93" s="184"/>
      <c r="AK93" s="5"/>
      <c r="AL93" s="184">
        <f t="shared" ref="AL93:AM93" si="266">ROUND(E93*(5/12)+K93*(5/12)+S93+X93-AE93,2)</f>
        <v>0</v>
      </c>
      <c r="AM93" s="184">
        <f t="shared" si="266"/>
        <v>0</v>
      </c>
      <c r="AN93" s="184">
        <f t="shared" si="5"/>
        <v>0</v>
      </c>
      <c r="AO93" s="184">
        <f t="shared" ref="AO93:AP93" si="267">ROUND(H93*(5/12)+N93*(5/12)+U93+Z93-AG93,2)</f>
        <v>0</v>
      </c>
      <c r="AP93" s="184">
        <f t="shared" si="267"/>
        <v>0</v>
      </c>
      <c r="AQ93" s="184">
        <f t="shared" ref="AQ93:AR93" si="268">P93+AB93-AI93</f>
        <v>1</v>
      </c>
      <c r="AR93" s="184">
        <f t="shared" si="268"/>
        <v>1</v>
      </c>
      <c r="AS93" s="5"/>
      <c r="AT93" s="184"/>
      <c r="AU93" s="184"/>
      <c r="AV93" s="184"/>
      <c r="AW93" s="184"/>
      <c r="AX93" s="184"/>
      <c r="AY93" s="176"/>
      <c r="AZ93" s="176"/>
      <c r="BA93" s="354"/>
      <c r="BB93" s="5"/>
      <c r="BC93" s="62"/>
      <c r="BE93" s="184"/>
      <c r="BF93" s="184"/>
      <c r="BG93" s="184"/>
      <c r="BH93" s="184"/>
      <c r="BI93" s="184"/>
      <c r="BJ93" s="184"/>
      <c r="BK93" s="81"/>
      <c r="BL93" s="81"/>
      <c r="BM93" s="81"/>
      <c r="BN93" s="81"/>
    </row>
    <row r="94">
      <c r="A94" s="176">
        <v>90.0</v>
      </c>
      <c r="B94" s="343" t="s">
        <v>1763</v>
      </c>
      <c r="C94" s="287" t="s">
        <v>127</v>
      </c>
      <c r="D94" s="349">
        <v>3.33</v>
      </c>
      <c r="E94" s="350">
        <v>0.46</v>
      </c>
      <c r="F94" s="350">
        <v>0.21</v>
      </c>
      <c r="G94" s="351"/>
      <c r="H94" s="351"/>
      <c r="I94" s="351"/>
      <c r="J94" s="352">
        <v>3.0</v>
      </c>
      <c r="K94" s="352">
        <v>0.7</v>
      </c>
      <c r="L94" s="352"/>
      <c r="M94" s="352"/>
      <c r="N94" s="352"/>
      <c r="O94" s="352">
        <v>0.3</v>
      </c>
      <c r="P94" s="180">
        <v>1.0</v>
      </c>
      <c r="Q94" s="180">
        <v>1.0</v>
      </c>
      <c r="R94" s="5"/>
      <c r="S94" s="176"/>
      <c r="T94" s="176"/>
      <c r="U94" s="176"/>
      <c r="V94" s="176"/>
      <c r="W94" s="5"/>
      <c r="X94" s="184"/>
      <c r="Y94" s="184"/>
      <c r="Z94" s="184"/>
      <c r="AA94" s="184"/>
      <c r="AB94" s="184"/>
      <c r="AC94" s="184"/>
      <c r="AD94" s="5"/>
      <c r="AE94" s="176">
        <v>0.2</v>
      </c>
      <c r="AF94" s="176">
        <v>0.029</v>
      </c>
      <c r="AG94" s="176"/>
      <c r="AH94" s="176"/>
      <c r="AI94" s="184"/>
      <c r="AJ94" s="184"/>
      <c r="AK94" s="5"/>
      <c r="AL94" s="184">
        <f t="shared" ref="AL94:AM94" si="269">ROUND(E94*(5/12)+K94*(5/12)+S94+X94-AE94,2)</f>
        <v>0.28</v>
      </c>
      <c r="AM94" s="184">
        <f t="shared" si="269"/>
        <v>0.06</v>
      </c>
      <c r="AN94" s="184">
        <f t="shared" si="5"/>
        <v>0</v>
      </c>
      <c r="AO94" s="184">
        <f t="shared" ref="AO94:AP94" si="270">ROUND(H94*(5/12)+N94*(5/12)+U94+Z94-AG94,2)</f>
        <v>0</v>
      </c>
      <c r="AP94" s="184">
        <f t="shared" si="270"/>
        <v>0.13</v>
      </c>
      <c r="AQ94" s="184">
        <f t="shared" ref="AQ94:AR94" si="271">P94+AB94-AI94</f>
        <v>1</v>
      </c>
      <c r="AR94" s="184">
        <f t="shared" si="271"/>
        <v>1</v>
      </c>
      <c r="AS94" s="5"/>
      <c r="AT94" s="176">
        <v>0.75</v>
      </c>
      <c r="AU94" s="176">
        <v>0.06</v>
      </c>
      <c r="AV94" s="176">
        <v>0.0</v>
      </c>
      <c r="AW94" s="176">
        <v>0.0</v>
      </c>
      <c r="AX94" s="176">
        <v>0.0</v>
      </c>
      <c r="AY94" s="176">
        <v>1.0</v>
      </c>
      <c r="AZ94" s="176">
        <v>1.0</v>
      </c>
      <c r="BA94" s="180" t="s">
        <v>1764</v>
      </c>
      <c r="BB94" s="5"/>
      <c r="BC94" s="62"/>
      <c r="BE94" s="184"/>
      <c r="BF94" s="184"/>
      <c r="BG94" s="184"/>
      <c r="BH94" s="184"/>
      <c r="BI94" s="198">
        <v>1.0</v>
      </c>
      <c r="BJ94" s="184"/>
      <c r="BK94" s="280" t="s">
        <v>1765</v>
      </c>
      <c r="BL94" s="280" t="s">
        <v>1561</v>
      </c>
      <c r="BM94" s="81"/>
      <c r="BN94" s="81"/>
    </row>
    <row r="95">
      <c r="A95" s="176">
        <v>91.0</v>
      </c>
      <c r="B95" s="343" t="s">
        <v>1766</v>
      </c>
      <c r="C95" s="287" t="s">
        <v>127</v>
      </c>
      <c r="D95" s="349">
        <v>3.67</v>
      </c>
      <c r="E95" s="350">
        <v>0.33</v>
      </c>
      <c r="F95" s="351"/>
      <c r="G95" s="350"/>
      <c r="H95" s="350"/>
      <c r="I95" s="350"/>
      <c r="J95" s="352">
        <v>3.66</v>
      </c>
      <c r="K95" s="352">
        <v>0.34</v>
      </c>
      <c r="L95" s="353"/>
      <c r="M95" s="353"/>
      <c r="N95" s="353"/>
      <c r="O95" s="353"/>
      <c r="P95" s="180">
        <v>0.83</v>
      </c>
      <c r="Q95" s="180">
        <v>0.83</v>
      </c>
      <c r="R95" s="5"/>
      <c r="S95" s="176"/>
      <c r="T95" s="176"/>
      <c r="U95" s="176"/>
      <c r="V95" s="176"/>
      <c r="W95" s="5"/>
      <c r="X95" s="184"/>
      <c r="Y95" s="184"/>
      <c r="Z95" s="184"/>
      <c r="AA95" s="184"/>
      <c r="AB95" s="184"/>
      <c r="AC95" s="184"/>
      <c r="AD95" s="5"/>
      <c r="AE95" s="176"/>
      <c r="AF95" s="184"/>
      <c r="AG95" s="176"/>
      <c r="AH95" s="176"/>
      <c r="AI95" s="184"/>
      <c r="AJ95" s="184"/>
      <c r="AK95" s="5"/>
      <c r="AL95" s="184">
        <f t="shared" ref="AL95:AM95" si="272">ROUND(E95*(5/12)+K95*(5/12)+S95+X95-AE95,2)</f>
        <v>0.28</v>
      </c>
      <c r="AM95" s="184">
        <f t="shared" si="272"/>
        <v>0</v>
      </c>
      <c r="AN95" s="184">
        <f t="shared" si="5"/>
        <v>0</v>
      </c>
      <c r="AO95" s="184">
        <f t="shared" ref="AO95:AP95" si="273">ROUND(H95*(5/12)+N95*(5/12)+U95+Z95-AG95,2)</f>
        <v>0</v>
      </c>
      <c r="AP95" s="184">
        <f t="shared" si="273"/>
        <v>0</v>
      </c>
      <c r="AQ95" s="184">
        <f t="shared" ref="AQ95:AR95" si="274">P95+AB95-AI95</f>
        <v>0.83</v>
      </c>
      <c r="AR95" s="184">
        <f t="shared" si="274"/>
        <v>0.83</v>
      </c>
      <c r="AS95" s="5"/>
      <c r="AT95" s="176">
        <v>0.245</v>
      </c>
      <c r="AU95" s="176">
        <v>0.0</v>
      </c>
      <c r="AV95" s="176">
        <v>0.0</v>
      </c>
      <c r="AW95" s="176">
        <v>0.0</v>
      </c>
      <c r="AX95" s="176">
        <v>0.0</v>
      </c>
      <c r="AY95" s="176">
        <v>0.83</v>
      </c>
      <c r="AZ95" s="176">
        <v>1.0</v>
      </c>
      <c r="BA95" s="180" t="s">
        <v>1767</v>
      </c>
      <c r="BB95" s="5"/>
      <c r="BC95" s="62"/>
      <c r="BE95" s="184"/>
      <c r="BF95" s="184"/>
      <c r="BG95" s="184"/>
      <c r="BH95" s="184"/>
      <c r="BI95" s="184"/>
      <c r="BJ95" s="184"/>
      <c r="BK95" s="81"/>
      <c r="BL95" s="280" t="s">
        <v>1561</v>
      </c>
      <c r="BM95" s="81"/>
      <c r="BN95" s="81"/>
    </row>
    <row r="96">
      <c r="A96" s="176">
        <v>92.0</v>
      </c>
      <c r="B96" s="343" t="s">
        <v>1768</v>
      </c>
      <c r="C96" s="287" t="s">
        <v>127</v>
      </c>
      <c r="D96" s="349">
        <v>3.67</v>
      </c>
      <c r="E96" s="350">
        <v>0.33</v>
      </c>
      <c r="F96" s="351"/>
      <c r="G96" s="350"/>
      <c r="H96" s="350"/>
      <c r="I96" s="350"/>
      <c r="J96" s="352">
        <v>3.34</v>
      </c>
      <c r="K96" s="352">
        <v>0.66</v>
      </c>
      <c r="L96" s="353"/>
      <c r="M96" s="353"/>
      <c r="N96" s="353"/>
      <c r="O96" s="353"/>
      <c r="P96" s="180">
        <v>0.83</v>
      </c>
      <c r="Q96" s="180">
        <v>0.83</v>
      </c>
      <c r="R96" s="5"/>
      <c r="S96" s="176"/>
      <c r="T96" s="176"/>
      <c r="U96" s="176"/>
      <c r="V96" s="176"/>
      <c r="W96" s="5"/>
      <c r="X96" s="184"/>
      <c r="Y96" s="184"/>
      <c r="Z96" s="184"/>
      <c r="AA96" s="184"/>
      <c r="AB96" s="184"/>
      <c r="AC96" s="184"/>
      <c r="AD96" s="5"/>
      <c r="AE96" s="176"/>
      <c r="AF96" s="184"/>
      <c r="AG96" s="176"/>
      <c r="AH96" s="176"/>
      <c r="AI96" s="184"/>
      <c r="AJ96" s="184"/>
      <c r="AK96" s="5"/>
      <c r="AL96" s="184">
        <f t="shared" ref="AL96:AM96" si="275">ROUND(E96*(5/12)+K96*(5/12)+S96+X96-AE96,2)</f>
        <v>0.41</v>
      </c>
      <c r="AM96" s="184">
        <f t="shared" si="275"/>
        <v>0</v>
      </c>
      <c r="AN96" s="184">
        <f t="shared" si="5"/>
        <v>0</v>
      </c>
      <c r="AO96" s="184">
        <f t="shared" ref="AO96:AP96" si="276">ROUND(H96*(5/12)+N96*(5/12)+U96+Z96-AG96,2)</f>
        <v>0</v>
      </c>
      <c r="AP96" s="184">
        <f t="shared" si="276"/>
        <v>0</v>
      </c>
      <c r="AQ96" s="184">
        <f t="shared" ref="AQ96:AR96" si="277">P96+AB96-AI96</f>
        <v>0.83</v>
      </c>
      <c r="AR96" s="184">
        <f t="shared" si="277"/>
        <v>0.83</v>
      </c>
      <c r="AS96" s="5"/>
      <c r="AT96" s="176">
        <v>0.245</v>
      </c>
      <c r="AU96" s="176">
        <v>0.0</v>
      </c>
      <c r="AV96" s="176">
        <v>0.0</v>
      </c>
      <c r="AW96" s="176">
        <v>0.0</v>
      </c>
      <c r="AX96" s="176">
        <v>0.0</v>
      </c>
      <c r="AY96" s="176">
        <v>0.83</v>
      </c>
      <c r="AZ96" s="176">
        <v>1.0</v>
      </c>
      <c r="BA96" s="180" t="s">
        <v>1769</v>
      </c>
      <c r="BB96" s="5"/>
      <c r="BC96" s="62"/>
      <c r="BE96" s="184"/>
      <c r="BF96" s="184"/>
      <c r="BG96" s="184"/>
      <c r="BH96" s="184"/>
      <c r="BI96" s="184"/>
      <c r="BJ96" s="184"/>
      <c r="BK96" s="81"/>
      <c r="BL96" s="280" t="s">
        <v>1561</v>
      </c>
      <c r="BM96" s="81"/>
      <c r="BN96" s="81"/>
    </row>
    <row r="97">
      <c r="A97" s="176">
        <v>93.0</v>
      </c>
      <c r="B97" s="343" t="s">
        <v>1770</v>
      </c>
      <c r="C97" s="287" t="s">
        <v>127</v>
      </c>
      <c r="D97" s="349">
        <v>4.67</v>
      </c>
      <c r="E97" s="350">
        <v>0.33</v>
      </c>
      <c r="F97" s="351"/>
      <c r="G97" s="350"/>
      <c r="H97" s="350"/>
      <c r="I97" s="350"/>
      <c r="J97" s="353">
        <v>3.33</v>
      </c>
      <c r="K97" s="353">
        <v>0.47</v>
      </c>
      <c r="L97" s="352"/>
      <c r="M97" s="353">
        <v>0.2</v>
      </c>
      <c r="N97" s="352"/>
      <c r="O97" s="352"/>
      <c r="P97" s="180">
        <v>0.83</v>
      </c>
      <c r="Q97" s="180">
        <v>0.83</v>
      </c>
      <c r="R97" s="5"/>
      <c r="S97" s="176"/>
      <c r="T97" s="176"/>
      <c r="U97" s="176"/>
      <c r="V97" s="176"/>
      <c r="W97" s="5"/>
      <c r="X97" s="184"/>
      <c r="Y97" s="184"/>
      <c r="Z97" s="184"/>
      <c r="AA97" s="184"/>
      <c r="AB97" s="184"/>
      <c r="AC97" s="184"/>
      <c r="AD97" s="5"/>
      <c r="AE97" s="176"/>
      <c r="AF97" s="184"/>
      <c r="AG97" s="176"/>
      <c r="AH97" s="176"/>
      <c r="AI97" s="184"/>
      <c r="AJ97" s="184"/>
      <c r="AK97" s="5"/>
      <c r="AL97" s="184">
        <f t="shared" ref="AL97:AM97" si="278">ROUND(E97*(5/12)+K97*(5/12)+S97+X97-AE97,2)</f>
        <v>0.33</v>
      </c>
      <c r="AM97" s="184">
        <f t="shared" si="278"/>
        <v>0</v>
      </c>
      <c r="AN97" s="184">
        <f t="shared" si="5"/>
        <v>0.08</v>
      </c>
      <c r="AO97" s="184">
        <f t="shared" ref="AO97:AP97" si="279">ROUND(H97*(5/12)+N97*(5/12)+U97+Z97-AG97,2)</f>
        <v>0</v>
      </c>
      <c r="AP97" s="184">
        <f t="shared" si="279"/>
        <v>0</v>
      </c>
      <c r="AQ97" s="184">
        <f t="shared" ref="AQ97:AR97" si="280">P97+AB97-AI97</f>
        <v>0.83</v>
      </c>
      <c r="AR97" s="184">
        <f t="shared" si="280"/>
        <v>0.83</v>
      </c>
      <c r="AS97" s="5"/>
      <c r="AT97" s="176">
        <v>0.66</v>
      </c>
      <c r="AU97" s="176">
        <v>0.0</v>
      </c>
      <c r="AV97" s="176">
        <v>0.1</v>
      </c>
      <c r="AW97" s="176">
        <v>0.0</v>
      </c>
      <c r="AX97" s="176">
        <v>0.0</v>
      </c>
      <c r="AY97" s="176">
        <v>1.0</v>
      </c>
      <c r="AZ97" s="176">
        <v>1.0</v>
      </c>
      <c r="BA97" s="196" t="s">
        <v>1771</v>
      </c>
      <c r="BB97" s="5"/>
      <c r="BC97" s="62"/>
      <c r="BE97" s="184"/>
      <c r="BF97" s="184"/>
      <c r="BG97" s="184"/>
      <c r="BH97" s="184"/>
      <c r="BI97" s="184"/>
      <c r="BJ97" s="184"/>
      <c r="BK97" s="81"/>
      <c r="BL97" s="280" t="s">
        <v>1152</v>
      </c>
      <c r="BM97" s="81"/>
      <c r="BN97" s="81"/>
    </row>
    <row r="98">
      <c r="A98" s="176">
        <v>94.0</v>
      </c>
      <c r="B98" s="340" t="s">
        <v>1772</v>
      </c>
      <c r="C98" s="287" t="s">
        <v>127</v>
      </c>
      <c r="D98" s="349">
        <v>3.33</v>
      </c>
      <c r="E98" s="350">
        <v>0.47</v>
      </c>
      <c r="F98" s="351"/>
      <c r="G98" s="350"/>
      <c r="H98" s="350"/>
      <c r="I98" s="350"/>
      <c r="J98" s="353">
        <v>3.33</v>
      </c>
      <c r="K98" s="353">
        <v>0.4</v>
      </c>
      <c r="L98" s="353">
        <v>0.27</v>
      </c>
      <c r="M98" s="352"/>
      <c r="N98" s="353"/>
      <c r="O98" s="353"/>
      <c r="P98" s="180">
        <v>0.83</v>
      </c>
      <c r="Q98" s="180">
        <v>0.83</v>
      </c>
      <c r="R98" s="5"/>
      <c r="S98" s="176"/>
      <c r="T98" s="176"/>
      <c r="U98" s="176"/>
      <c r="V98" s="176"/>
      <c r="W98" s="5"/>
      <c r="X98" s="184"/>
      <c r="Y98" s="184"/>
      <c r="Z98" s="184"/>
      <c r="AA98" s="184"/>
      <c r="AB98" s="184"/>
      <c r="AC98" s="184"/>
      <c r="AD98" s="5"/>
      <c r="AE98" s="176"/>
      <c r="AF98" s="184"/>
      <c r="AG98" s="176"/>
      <c r="AH98" s="176"/>
      <c r="AI98" s="184"/>
      <c r="AJ98" s="184"/>
      <c r="AK98" s="5"/>
      <c r="AL98" s="184">
        <f t="shared" ref="AL98:AM98" si="281">ROUND(E98*(5/12)+K98*(5/12)+S98+X98-AE98,2)</f>
        <v>0.36</v>
      </c>
      <c r="AM98" s="184">
        <f t="shared" si="281"/>
        <v>0.11</v>
      </c>
      <c r="AN98" s="184">
        <f t="shared" si="5"/>
        <v>0</v>
      </c>
      <c r="AO98" s="184">
        <f t="shared" ref="AO98:AP98" si="282">ROUND(H98*(5/12)+N98*(5/12)+U98+Z98-AG98,2)</f>
        <v>0</v>
      </c>
      <c r="AP98" s="184">
        <f t="shared" si="282"/>
        <v>0</v>
      </c>
      <c r="AQ98" s="184">
        <f t="shared" ref="AQ98:AR98" si="283">P98+AB98-AI98</f>
        <v>0.83</v>
      </c>
      <c r="AR98" s="184">
        <f t="shared" si="283"/>
        <v>0.83</v>
      </c>
      <c r="AS98" s="5"/>
      <c r="AT98" s="176"/>
      <c r="AU98" s="176"/>
      <c r="AV98" s="176"/>
      <c r="AW98" s="184"/>
      <c r="AX98" s="176"/>
      <c r="AY98" s="176"/>
      <c r="AZ98" s="176"/>
      <c r="BA98" s="180"/>
      <c r="BB98" s="5"/>
      <c r="BC98" s="62"/>
      <c r="BE98" s="184"/>
      <c r="BF98" s="184"/>
      <c r="BG98" s="184"/>
      <c r="BH98" s="184"/>
      <c r="BI98" s="184"/>
      <c r="BJ98" s="184"/>
      <c r="BK98" s="81"/>
      <c r="BL98" s="81"/>
      <c r="BM98" s="81"/>
      <c r="BN98" s="81"/>
    </row>
    <row r="99">
      <c r="A99" s="176">
        <v>95.0</v>
      </c>
      <c r="B99" s="343" t="s">
        <v>1773</v>
      </c>
      <c r="C99" s="287" t="s">
        <v>127</v>
      </c>
      <c r="D99" s="349">
        <v>3.66</v>
      </c>
      <c r="E99" s="350">
        <v>0.34</v>
      </c>
      <c r="F99" s="351"/>
      <c r="G99" s="350"/>
      <c r="H99" s="350"/>
      <c r="I99" s="350"/>
      <c r="J99" s="353">
        <v>3.34</v>
      </c>
      <c r="K99" s="353">
        <v>0.66</v>
      </c>
      <c r="L99" s="353"/>
      <c r="M99" s="353"/>
      <c r="N99" s="353"/>
      <c r="O99" s="353"/>
      <c r="P99" s="180">
        <v>0.75</v>
      </c>
      <c r="Q99" s="180">
        <v>0.75</v>
      </c>
      <c r="R99" s="5"/>
      <c r="S99" s="176"/>
      <c r="T99" s="176"/>
      <c r="U99" s="176"/>
      <c r="V99" s="176"/>
      <c r="W99" s="5"/>
      <c r="X99" s="184"/>
      <c r="Y99" s="184"/>
      <c r="Z99" s="184"/>
      <c r="AA99" s="184"/>
      <c r="AB99" s="184"/>
      <c r="AC99" s="184"/>
      <c r="AD99" s="5"/>
      <c r="AE99" s="176"/>
      <c r="AF99" s="184"/>
      <c r="AG99" s="176"/>
      <c r="AH99" s="176"/>
      <c r="AI99" s="184"/>
      <c r="AJ99" s="184"/>
      <c r="AK99" s="5"/>
      <c r="AL99" s="184">
        <f t="shared" ref="AL99:AM99" si="284">ROUND(E99*(5/12)+K99*(5/12)+S99+X99-AE99,2)</f>
        <v>0.42</v>
      </c>
      <c r="AM99" s="184">
        <f t="shared" si="284"/>
        <v>0</v>
      </c>
      <c r="AN99" s="184">
        <f t="shared" si="5"/>
        <v>0</v>
      </c>
      <c r="AO99" s="184">
        <f t="shared" ref="AO99:AP99" si="285">ROUND(H99*(5/12)+N99*(5/12)+U99+Z99-AG99,2)</f>
        <v>0</v>
      </c>
      <c r="AP99" s="184">
        <f t="shared" si="285"/>
        <v>0</v>
      </c>
      <c r="AQ99" s="184">
        <f t="shared" ref="AQ99:AR99" si="286">P99+AB99-AI99</f>
        <v>0.75</v>
      </c>
      <c r="AR99" s="184">
        <f t="shared" si="286"/>
        <v>0.75</v>
      </c>
      <c r="AS99" s="5"/>
      <c r="AT99" s="176">
        <v>0.0</v>
      </c>
      <c r="AU99" s="176">
        <v>0.0</v>
      </c>
      <c r="AV99" s="176">
        <v>0.0</v>
      </c>
      <c r="AW99" s="176">
        <v>0.0</v>
      </c>
      <c r="AX99" s="176">
        <v>0.0</v>
      </c>
      <c r="AY99" s="176">
        <v>0.0</v>
      </c>
      <c r="AZ99" s="176">
        <v>0.0</v>
      </c>
      <c r="BA99" s="195" t="s">
        <v>1774</v>
      </c>
      <c r="BB99" s="5"/>
      <c r="BC99" s="62"/>
      <c r="BE99" s="184"/>
      <c r="BF99" s="184"/>
      <c r="BG99" s="184"/>
      <c r="BH99" s="184"/>
      <c r="BI99" s="184"/>
      <c r="BJ99" s="184"/>
      <c r="BK99" s="81"/>
      <c r="BL99" s="81"/>
      <c r="BM99" s="81"/>
      <c r="BN99" s="81"/>
    </row>
    <row r="100">
      <c r="A100" s="176">
        <v>96.0</v>
      </c>
      <c r="B100" s="343" t="s">
        <v>1775</v>
      </c>
      <c r="C100" s="287" t="s">
        <v>127</v>
      </c>
      <c r="D100" s="349">
        <v>3.83</v>
      </c>
      <c r="E100" s="350">
        <v>0.17</v>
      </c>
      <c r="F100" s="351"/>
      <c r="G100" s="350"/>
      <c r="H100" s="350"/>
      <c r="I100" s="350"/>
      <c r="J100" s="353">
        <v>3.66</v>
      </c>
      <c r="K100" s="353">
        <v>0.34</v>
      </c>
      <c r="L100" s="353"/>
      <c r="M100" s="353"/>
      <c r="N100" s="353"/>
      <c r="O100" s="353"/>
      <c r="P100" s="180">
        <v>0.66</v>
      </c>
      <c r="Q100" s="180">
        <v>0.66</v>
      </c>
      <c r="R100" s="5"/>
      <c r="S100" s="176"/>
      <c r="T100" s="176"/>
      <c r="U100" s="176"/>
      <c r="V100" s="176"/>
      <c r="W100" s="5"/>
      <c r="X100" s="184"/>
      <c r="Y100" s="184"/>
      <c r="Z100" s="184"/>
      <c r="AA100" s="184"/>
      <c r="AB100" s="184"/>
      <c r="AC100" s="184"/>
      <c r="AD100" s="5"/>
      <c r="AE100" s="176"/>
      <c r="AF100" s="184"/>
      <c r="AG100" s="176"/>
      <c r="AH100" s="176"/>
      <c r="AI100" s="184"/>
      <c r="AJ100" s="184"/>
      <c r="AK100" s="5"/>
      <c r="AL100" s="184">
        <f t="shared" ref="AL100:AM100" si="287">ROUND(E100*(5/12)+K100*(5/12)+S100+X100-AE100,2)</f>
        <v>0.21</v>
      </c>
      <c r="AM100" s="184">
        <f t="shared" si="287"/>
        <v>0</v>
      </c>
      <c r="AN100" s="184">
        <f t="shared" si="5"/>
        <v>0</v>
      </c>
      <c r="AO100" s="184">
        <f t="shared" ref="AO100:AP100" si="288">ROUND(H100*(5/12)+N100*(5/12)+U100+Z100-AG100,2)</f>
        <v>0</v>
      </c>
      <c r="AP100" s="184">
        <f t="shared" si="288"/>
        <v>0</v>
      </c>
      <c r="AQ100" s="184">
        <f t="shared" ref="AQ100:AR100" si="289">P100+AB100-AI100</f>
        <v>0.66</v>
      </c>
      <c r="AR100" s="184">
        <f t="shared" si="289"/>
        <v>0.66</v>
      </c>
      <c r="AS100" s="5"/>
      <c r="AT100" s="176">
        <v>0.0</v>
      </c>
      <c r="AU100" s="176">
        <v>0.0</v>
      </c>
      <c r="AV100" s="176">
        <v>0.0</v>
      </c>
      <c r="AW100" s="176">
        <v>0.0</v>
      </c>
      <c r="AX100" s="176">
        <v>0.0</v>
      </c>
      <c r="AY100" s="176">
        <v>0.0</v>
      </c>
      <c r="AZ100" s="176">
        <v>0.0</v>
      </c>
      <c r="BA100" s="195" t="s">
        <v>1776</v>
      </c>
      <c r="BB100" s="5"/>
      <c r="BC100" s="62"/>
      <c r="BE100" s="184"/>
      <c r="BF100" s="184"/>
      <c r="BG100" s="184"/>
      <c r="BH100" s="184"/>
      <c r="BI100" s="184"/>
      <c r="BJ100" s="184"/>
      <c r="BK100" s="81"/>
      <c r="BL100" s="81"/>
      <c r="BM100" s="81"/>
      <c r="BN100" s="81"/>
    </row>
    <row r="101">
      <c r="A101" s="176">
        <v>97.0</v>
      </c>
      <c r="B101" s="343" t="s">
        <v>1777</v>
      </c>
      <c r="C101" s="287" t="s">
        <v>127</v>
      </c>
      <c r="D101" s="349">
        <v>4.0</v>
      </c>
      <c r="E101" s="351"/>
      <c r="F101" s="351"/>
      <c r="G101" s="350"/>
      <c r="H101" s="350"/>
      <c r="I101" s="350"/>
      <c r="J101" s="353">
        <v>3.66</v>
      </c>
      <c r="K101" s="353">
        <v>0.14</v>
      </c>
      <c r="L101" s="352"/>
      <c r="M101" s="352"/>
      <c r="N101" s="353">
        <v>0.2</v>
      </c>
      <c r="O101" s="352"/>
      <c r="P101" s="180">
        <v>0.66</v>
      </c>
      <c r="Q101" s="180">
        <v>0.66</v>
      </c>
      <c r="R101" s="5"/>
      <c r="S101" s="176"/>
      <c r="T101" s="176"/>
      <c r="U101" s="176"/>
      <c r="V101" s="176"/>
      <c r="W101" s="5"/>
      <c r="X101" s="184"/>
      <c r="Y101" s="184"/>
      <c r="Z101" s="184"/>
      <c r="AA101" s="184"/>
      <c r="AB101" s="184"/>
      <c r="AC101" s="184"/>
      <c r="AD101" s="5"/>
      <c r="AE101" s="176"/>
      <c r="AF101" s="184"/>
      <c r="AG101" s="176"/>
      <c r="AH101" s="176"/>
      <c r="AI101" s="184"/>
      <c r="AJ101" s="184"/>
      <c r="AK101" s="5"/>
      <c r="AL101" s="184">
        <f t="shared" ref="AL101:AM101" si="290">ROUND(E101*(5/12)+K101*(5/12)+S101+X101-AE101,2)</f>
        <v>0.06</v>
      </c>
      <c r="AM101" s="184">
        <f t="shared" si="290"/>
        <v>0</v>
      </c>
      <c r="AN101" s="184">
        <f t="shared" si="5"/>
        <v>0</v>
      </c>
      <c r="AO101" s="184">
        <f t="shared" ref="AO101:AP101" si="291">ROUND(H101*(5/12)+N101*(5/12)+U101+Z101-AG101,2)</f>
        <v>0.08</v>
      </c>
      <c r="AP101" s="184">
        <f t="shared" si="291"/>
        <v>0</v>
      </c>
      <c r="AQ101" s="184">
        <f t="shared" ref="AQ101:AR101" si="292">P101+AB101-AI101</f>
        <v>0.66</v>
      </c>
      <c r="AR101" s="184">
        <f t="shared" si="292"/>
        <v>0.66</v>
      </c>
      <c r="AS101" s="5"/>
      <c r="AT101" s="176">
        <v>0.0</v>
      </c>
      <c r="AU101" s="176">
        <v>0.0</v>
      </c>
      <c r="AV101" s="176">
        <v>0.0</v>
      </c>
      <c r="AW101" s="176">
        <v>0.0</v>
      </c>
      <c r="AX101" s="176">
        <v>0.0</v>
      </c>
      <c r="AY101" s="176">
        <v>0.0</v>
      </c>
      <c r="AZ101" s="176">
        <v>0.0</v>
      </c>
      <c r="BA101" s="195" t="s">
        <v>1778</v>
      </c>
      <c r="BB101" s="5"/>
      <c r="BC101" s="62"/>
      <c r="BE101" s="184"/>
      <c r="BF101" s="184"/>
      <c r="BG101" s="184"/>
      <c r="BH101" s="184"/>
      <c r="BI101" s="184"/>
      <c r="BJ101" s="184"/>
      <c r="BK101" s="81"/>
      <c r="BL101" s="81"/>
      <c r="BM101" s="81"/>
      <c r="BN101" s="81"/>
    </row>
    <row r="102">
      <c r="A102" s="176">
        <v>98.0</v>
      </c>
      <c r="B102" s="343" t="s">
        <v>1779</v>
      </c>
      <c r="C102" s="287" t="s">
        <v>127</v>
      </c>
      <c r="D102" s="349">
        <v>4.0</v>
      </c>
      <c r="E102" s="351"/>
      <c r="F102" s="351"/>
      <c r="G102" s="350"/>
      <c r="H102" s="350"/>
      <c r="I102" s="350"/>
      <c r="J102" s="353">
        <v>3.0</v>
      </c>
      <c r="K102" s="353">
        <v>0.6</v>
      </c>
      <c r="L102" s="352"/>
      <c r="M102" s="353">
        <v>0.2</v>
      </c>
      <c r="N102" s="353">
        <v>0.2</v>
      </c>
      <c r="O102" s="352"/>
      <c r="P102" s="180">
        <v>0.66</v>
      </c>
      <c r="Q102" s="180">
        <v>0.66</v>
      </c>
      <c r="R102" s="5"/>
      <c r="S102" s="176"/>
      <c r="T102" s="176"/>
      <c r="U102" s="176"/>
      <c r="V102" s="176"/>
      <c r="W102" s="5"/>
      <c r="X102" s="184"/>
      <c r="Y102" s="184"/>
      <c r="Z102" s="184"/>
      <c r="AA102" s="184"/>
      <c r="AB102" s="184"/>
      <c r="AC102" s="184"/>
      <c r="AD102" s="5"/>
      <c r="AE102" s="176"/>
      <c r="AF102" s="184"/>
      <c r="AG102" s="176"/>
      <c r="AH102" s="176"/>
      <c r="AI102" s="184"/>
      <c r="AJ102" s="184"/>
      <c r="AK102" s="5"/>
      <c r="AL102" s="184">
        <f t="shared" ref="AL102:AM102" si="293">ROUND(E102*(5/12)+K102*(5/12)+S102+X102-AE102,2)</f>
        <v>0.25</v>
      </c>
      <c r="AM102" s="184">
        <f t="shared" si="293"/>
        <v>0</v>
      </c>
      <c r="AN102" s="184">
        <f t="shared" si="5"/>
        <v>0.08</v>
      </c>
      <c r="AO102" s="184">
        <f t="shared" ref="AO102:AP102" si="294">ROUND(H102*(5/12)+N102*(5/12)+U102+Z102-AG102,2)</f>
        <v>0.08</v>
      </c>
      <c r="AP102" s="184">
        <f t="shared" si="294"/>
        <v>0</v>
      </c>
      <c r="AQ102" s="184">
        <f t="shared" ref="AQ102:AR102" si="295">P102+AB102-AI102</f>
        <v>0.66</v>
      </c>
      <c r="AR102" s="184">
        <f t="shared" si="295"/>
        <v>0.66</v>
      </c>
      <c r="AS102" s="5"/>
      <c r="AT102" s="176"/>
      <c r="AU102" s="176"/>
      <c r="AV102" s="176"/>
      <c r="AW102" s="184"/>
      <c r="AX102" s="176"/>
      <c r="AY102" s="176"/>
      <c r="AZ102" s="176"/>
      <c r="BA102" s="180"/>
      <c r="BB102" s="5"/>
      <c r="BC102" s="62"/>
      <c r="BE102" s="184"/>
      <c r="BF102" s="184"/>
      <c r="BG102" s="184"/>
      <c r="BH102" s="184"/>
      <c r="BI102" s="184"/>
      <c r="BJ102" s="184"/>
      <c r="BK102" s="81"/>
      <c r="BL102" s="81"/>
      <c r="BM102" s="81"/>
      <c r="BN102" s="81"/>
    </row>
    <row r="103">
      <c r="A103" s="176">
        <v>99.0</v>
      </c>
      <c r="B103" s="343" t="s">
        <v>1780</v>
      </c>
      <c r="C103" s="287" t="s">
        <v>127</v>
      </c>
      <c r="D103" s="349">
        <v>4.0</v>
      </c>
      <c r="E103" s="351"/>
      <c r="F103" s="351"/>
      <c r="G103" s="350"/>
      <c r="H103" s="350"/>
      <c r="I103" s="350"/>
      <c r="J103" s="353">
        <v>3.33</v>
      </c>
      <c r="K103" s="353">
        <v>0.47</v>
      </c>
      <c r="L103" s="352"/>
      <c r="M103" s="353">
        <v>0.2</v>
      </c>
      <c r="N103" s="352"/>
      <c r="O103" s="352"/>
      <c r="P103" s="180">
        <v>0.58</v>
      </c>
      <c r="Q103" s="180">
        <v>0.58</v>
      </c>
      <c r="R103" s="5"/>
      <c r="S103" s="176"/>
      <c r="T103" s="176"/>
      <c r="U103" s="176"/>
      <c r="V103" s="176"/>
      <c r="W103" s="5"/>
      <c r="X103" s="184"/>
      <c r="Y103" s="184"/>
      <c r="Z103" s="184"/>
      <c r="AA103" s="184"/>
      <c r="AB103" s="184"/>
      <c r="AC103" s="184"/>
      <c r="AD103" s="5"/>
      <c r="AE103" s="176"/>
      <c r="AF103" s="184"/>
      <c r="AG103" s="176"/>
      <c r="AH103" s="176"/>
      <c r="AI103" s="184"/>
      <c r="AJ103" s="184"/>
      <c r="AK103" s="5"/>
      <c r="AL103" s="184">
        <f t="shared" ref="AL103:AM103" si="296">ROUND(E103*(5/12)+K103*(5/12)+S103+X103-AE103,2)</f>
        <v>0.2</v>
      </c>
      <c r="AM103" s="184">
        <f t="shared" si="296"/>
        <v>0</v>
      </c>
      <c r="AN103" s="184">
        <f t="shared" si="5"/>
        <v>0.08</v>
      </c>
      <c r="AO103" s="184">
        <f t="shared" ref="AO103:AP103" si="297">ROUND(H103*(5/12)+N103*(5/12)+U103+Z103-AG103,2)</f>
        <v>0</v>
      </c>
      <c r="AP103" s="184">
        <f t="shared" si="297"/>
        <v>0</v>
      </c>
      <c r="AQ103" s="184">
        <f t="shared" ref="AQ103:AR103" si="298">P103+AB103-AI103</f>
        <v>0.58</v>
      </c>
      <c r="AR103" s="184">
        <f t="shared" si="298"/>
        <v>0.58</v>
      </c>
      <c r="AS103" s="5"/>
      <c r="AT103" s="176">
        <v>0.0</v>
      </c>
      <c r="AU103" s="176">
        <v>0.0</v>
      </c>
      <c r="AV103" s="176">
        <v>0.0</v>
      </c>
      <c r="AW103" s="176">
        <v>0.0</v>
      </c>
      <c r="AX103" s="176">
        <v>0.0</v>
      </c>
      <c r="AY103" s="176">
        <v>0.0</v>
      </c>
      <c r="AZ103" s="176">
        <v>1.0</v>
      </c>
      <c r="BA103" s="195" t="s">
        <v>1781</v>
      </c>
      <c r="BB103" s="5"/>
      <c r="BC103" s="62"/>
      <c r="BE103" s="72">
        <v>0.23</v>
      </c>
      <c r="BF103" s="77"/>
      <c r="BG103" s="77"/>
      <c r="BH103" s="77"/>
      <c r="BI103" s="72" t="s">
        <v>1782</v>
      </c>
      <c r="BJ103" s="184"/>
      <c r="BK103" s="81"/>
      <c r="BL103" s="280" t="s">
        <v>1152</v>
      </c>
      <c r="BM103" s="81"/>
      <c r="BN103" s="81"/>
    </row>
    <row r="104">
      <c r="A104" s="176">
        <v>100.0</v>
      </c>
      <c r="B104" s="343" t="s">
        <v>1783</v>
      </c>
      <c r="C104" s="287" t="s">
        <v>127</v>
      </c>
      <c r="D104" s="349">
        <v>4.0</v>
      </c>
      <c r="E104" s="351"/>
      <c r="F104" s="351"/>
      <c r="G104" s="350"/>
      <c r="H104" s="350"/>
      <c r="I104" s="350"/>
      <c r="J104" s="353">
        <v>3.34</v>
      </c>
      <c r="K104" s="353">
        <v>0.66</v>
      </c>
      <c r="L104" s="353"/>
      <c r="M104" s="353"/>
      <c r="N104" s="353"/>
      <c r="O104" s="353"/>
      <c r="P104" s="180">
        <v>0.58</v>
      </c>
      <c r="Q104" s="180">
        <v>0.58</v>
      </c>
      <c r="R104" s="5"/>
      <c r="S104" s="176"/>
      <c r="T104" s="176"/>
      <c r="U104" s="176"/>
      <c r="V104" s="176"/>
      <c r="W104" s="5"/>
      <c r="X104" s="184"/>
      <c r="Y104" s="184"/>
      <c r="Z104" s="184"/>
      <c r="AA104" s="184"/>
      <c r="AB104" s="184"/>
      <c r="AC104" s="184"/>
      <c r="AD104" s="5"/>
      <c r="AE104" s="176"/>
      <c r="AF104" s="184"/>
      <c r="AG104" s="176"/>
      <c r="AH104" s="176"/>
      <c r="AI104" s="184"/>
      <c r="AJ104" s="184"/>
      <c r="AK104" s="5"/>
      <c r="AL104" s="184">
        <f t="shared" ref="AL104:AM104" si="299">ROUND(E104*(5/12)+K104*(5/12)+S104+X104-AE104,2)</f>
        <v>0.28</v>
      </c>
      <c r="AM104" s="184">
        <f t="shared" si="299"/>
        <v>0</v>
      </c>
      <c r="AN104" s="184">
        <f t="shared" si="5"/>
        <v>0</v>
      </c>
      <c r="AO104" s="184">
        <f t="shared" ref="AO104:AP104" si="300">ROUND(H104*(5/12)+N104*(5/12)+U104+Z104-AG104,2)</f>
        <v>0</v>
      </c>
      <c r="AP104" s="184">
        <f t="shared" si="300"/>
        <v>0</v>
      </c>
      <c r="AQ104" s="184">
        <f t="shared" ref="AQ104:AR104" si="301">P104+AB104-AI104</f>
        <v>0.58</v>
      </c>
      <c r="AR104" s="184">
        <f t="shared" si="301"/>
        <v>0.58</v>
      </c>
      <c r="AS104" s="5"/>
      <c r="AT104" s="176">
        <v>0.0</v>
      </c>
      <c r="AU104" s="176">
        <v>0.0</v>
      </c>
      <c r="AV104" s="176">
        <v>0.0</v>
      </c>
      <c r="AW104" s="176">
        <v>0.0</v>
      </c>
      <c r="AX104" s="176">
        <v>0.0</v>
      </c>
      <c r="AY104" s="176">
        <v>0.0</v>
      </c>
      <c r="AZ104" s="176">
        <v>0.0</v>
      </c>
      <c r="BA104" s="195" t="s">
        <v>1784</v>
      </c>
      <c r="BB104" s="5"/>
      <c r="BC104" s="62"/>
      <c r="BE104" s="184"/>
      <c r="BF104" s="184"/>
      <c r="BG104" s="184"/>
      <c r="BH104" s="184"/>
      <c r="BI104" s="184"/>
      <c r="BJ104" s="184"/>
      <c r="BK104" s="81"/>
      <c r="BL104" s="81"/>
      <c r="BM104" s="81"/>
      <c r="BN104" s="81"/>
    </row>
    <row r="105">
      <c r="A105" s="176">
        <v>101.0</v>
      </c>
      <c r="B105" s="343" t="s">
        <v>1785</v>
      </c>
      <c r="C105" s="287" t="s">
        <v>127</v>
      </c>
      <c r="D105" s="349">
        <v>3.67</v>
      </c>
      <c r="E105" s="350">
        <v>0.33</v>
      </c>
      <c r="F105" s="351"/>
      <c r="G105" s="350"/>
      <c r="H105" s="350"/>
      <c r="I105" s="350"/>
      <c r="J105" s="353"/>
      <c r="K105" s="353"/>
      <c r="L105" s="353"/>
      <c r="M105" s="353"/>
      <c r="N105" s="353"/>
      <c r="O105" s="353"/>
      <c r="P105" s="180">
        <v>0.58</v>
      </c>
      <c r="Q105" s="180">
        <v>0.58</v>
      </c>
      <c r="R105" s="5"/>
      <c r="S105" s="176"/>
      <c r="T105" s="176"/>
      <c r="U105" s="176"/>
      <c r="V105" s="176"/>
      <c r="W105" s="5"/>
      <c r="X105" s="184"/>
      <c r="Y105" s="184"/>
      <c r="Z105" s="184"/>
      <c r="AA105" s="184"/>
      <c r="AB105" s="184"/>
      <c r="AC105" s="184"/>
      <c r="AD105" s="5"/>
      <c r="AE105" s="176"/>
      <c r="AF105" s="184"/>
      <c r="AG105" s="176"/>
      <c r="AH105" s="176"/>
      <c r="AI105" s="184"/>
      <c r="AJ105" s="184"/>
      <c r="AK105" s="5"/>
      <c r="AL105" s="184">
        <f t="shared" ref="AL105:AM105" si="302">ROUND(E105*(5/12)+K105*(5/12)+S105+X105-AE105,2)</f>
        <v>0.14</v>
      </c>
      <c r="AM105" s="184">
        <f t="shared" si="302"/>
        <v>0</v>
      </c>
      <c r="AN105" s="184">
        <f t="shared" si="5"/>
        <v>0</v>
      </c>
      <c r="AO105" s="184">
        <f t="shared" ref="AO105:AP105" si="303">ROUND(H105*(5/12)+N105*(5/12)+U105+Z105-AG105,2)</f>
        <v>0</v>
      </c>
      <c r="AP105" s="184">
        <f t="shared" si="303"/>
        <v>0</v>
      </c>
      <c r="AQ105" s="184">
        <f t="shared" ref="AQ105:AR105" si="304">P105+AB105-AI105</f>
        <v>0.58</v>
      </c>
      <c r="AR105" s="184">
        <f t="shared" si="304"/>
        <v>0.58</v>
      </c>
      <c r="AS105" s="5"/>
      <c r="AT105" s="176"/>
      <c r="AU105" s="176"/>
      <c r="AV105" s="176"/>
      <c r="AW105" s="184"/>
      <c r="AX105" s="176"/>
      <c r="AY105" s="176"/>
      <c r="AZ105" s="176"/>
      <c r="BA105" s="180" t="s">
        <v>1670</v>
      </c>
      <c r="BB105" s="5"/>
      <c r="BC105" s="62"/>
      <c r="BE105" s="184"/>
      <c r="BF105" s="184"/>
      <c r="BG105" s="184"/>
      <c r="BH105" s="184"/>
      <c r="BI105" s="184"/>
      <c r="BJ105" s="184"/>
      <c r="BK105" s="81"/>
      <c r="BL105" s="81"/>
      <c r="BM105" s="81"/>
      <c r="BN105" s="81"/>
    </row>
    <row r="106">
      <c r="A106" s="176">
        <v>102.0</v>
      </c>
      <c r="B106" s="340" t="s">
        <v>1786</v>
      </c>
      <c r="C106" s="287" t="s">
        <v>127</v>
      </c>
      <c r="D106" s="349">
        <v>4.0</v>
      </c>
      <c r="E106" s="351"/>
      <c r="F106" s="351"/>
      <c r="G106" s="350"/>
      <c r="H106" s="350"/>
      <c r="I106" s="350"/>
      <c r="J106" s="353">
        <v>3.66</v>
      </c>
      <c r="K106" s="353">
        <v>0.34</v>
      </c>
      <c r="L106" s="353"/>
      <c r="M106" s="353"/>
      <c r="N106" s="353"/>
      <c r="O106" s="353"/>
      <c r="P106" s="180">
        <v>0.5</v>
      </c>
      <c r="Q106" s="180">
        <v>0.5</v>
      </c>
      <c r="R106" s="5"/>
      <c r="S106" s="176"/>
      <c r="T106" s="176"/>
      <c r="U106" s="176"/>
      <c r="V106" s="176"/>
      <c r="W106" s="5"/>
      <c r="X106" s="184"/>
      <c r="Y106" s="184"/>
      <c r="Z106" s="184"/>
      <c r="AA106" s="184"/>
      <c r="AB106" s="184"/>
      <c r="AC106" s="184"/>
      <c r="AD106" s="5"/>
      <c r="AE106" s="176"/>
      <c r="AF106" s="184"/>
      <c r="AG106" s="176"/>
      <c r="AH106" s="176"/>
      <c r="AI106" s="184"/>
      <c r="AJ106" s="184"/>
      <c r="AK106" s="5"/>
      <c r="AL106" s="184">
        <f t="shared" ref="AL106:AM106" si="305">ROUND(E106*(5/12)+K106*(5/12)+S106+X106-AE106,2)</f>
        <v>0.14</v>
      </c>
      <c r="AM106" s="184">
        <f t="shared" si="305"/>
        <v>0</v>
      </c>
      <c r="AN106" s="184">
        <f t="shared" si="5"/>
        <v>0</v>
      </c>
      <c r="AO106" s="184">
        <f t="shared" ref="AO106:AP106" si="306">ROUND(H106*(5/12)+N106*(5/12)+U106+Z106-AG106,2)</f>
        <v>0</v>
      </c>
      <c r="AP106" s="184">
        <f t="shared" si="306"/>
        <v>0</v>
      </c>
      <c r="AQ106" s="184">
        <f t="shared" ref="AQ106:AR106" si="307">P106+AB106-AI106</f>
        <v>0.5</v>
      </c>
      <c r="AR106" s="184">
        <f t="shared" si="307"/>
        <v>0.5</v>
      </c>
      <c r="AS106" s="5"/>
      <c r="AT106" s="176"/>
      <c r="AU106" s="176"/>
      <c r="AV106" s="176"/>
      <c r="AW106" s="184"/>
      <c r="AX106" s="176"/>
      <c r="AY106" s="176"/>
      <c r="AZ106" s="176"/>
      <c r="BA106" s="180" t="s">
        <v>1670</v>
      </c>
      <c r="BB106" s="5"/>
      <c r="BC106" s="62"/>
      <c r="BE106" s="184"/>
      <c r="BF106" s="184"/>
      <c r="BG106" s="184"/>
      <c r="BH106" s="184"/>
      <c r="BI106" s="184"/>
      <c r="BJ106" s="184"/>
      <c r="BK106" s="81"/>
      <c r="BL106" s="81"/>
      <c r="BM106" s="81"/>
      <c r="BN106" s="81"/>
    </row>
    <row r="107">
      <c r="A107" s="176">
        <v>103.0</v>
      </c>
      <c r="B107" s="343" t="s">
        <v>1787</v>
      </c>
      <c r="C107" s="287" t="s">
        <v>127</v>
      </c>
      <c r="D107" s="349">
        <v>2.0</v>
      </c>
      <c r="E107" s="350">
        <v>2.0</v>
      </c>
      <c r="F107" s="351"/>
      <c r="G107" s="350"/>
      <c r="H107" s="350"/>
      <c r="I107" s="350"/>
      <c r="J107" s="353"/>
      <c r="K107" s="353"/>
      <c r="L107" s="353"/>
      <c r="M107" s="353"/>
      <c r="N107" s="353"/>
      <c r="O107" s="353"/>
      <c r="P107" s="180">
        <v>0.5</v>
      </c>
      <c r="Q107" s="180">
        <v>0.5</v>
      </c>
      <c r="R107" s="5"/>
      <c r="S107" s="176"/>
      <c r="T107" s="176"/>
      <c r="U107" s="176"/>
      <c r="V107" s="176"/>
      <c r="W107" s="5"/>
      <c r="X107" s="184"/>
      <c r="Y107" s="184"/>
      <c r="Z107" s="184"/>
      <c r="AA107" s="184"/>
      <c r="AB107" s="184"/>
      <c r="AC107" s="184"/>
      <c r="AD107" s="5"/>
      <c r="AE107" s="176"/>
      <c r="AF107" s="184"/>
      <c r="AG107" s="176"/>
      <c r="AH107" s="176"/>
      <c r="AI107" s="184"/>
      <c r="AJ107" s="184"/>
      <c r="AK107" s="5"/>
      <c r="AL107" s="184">
        <f t="shared" ref="AL107:AM107" si="308">ROUND(E107*(5/12)+K107*(5/12)+S107+X107-AE107,2)</f>
        <v>0.83</v>
      </c>
      <c r="AM107" s="184">
        <f t="shared" si="308"/>
        <v>0</v>
      </c>
      <c r="AN107" s="184">
        <f t="shared" si="5"/>
        <v>0</v>
      </c>
      <c r="AO107" s="184">
        <f t="shared" ref="AO107:AP107" si="309">ROUND(H107*(5/12)+N107*(5/12)+U107+Z107-AG107,2)</f>
        <v>0</v>
      </c>
      <c r="AP107" s="184">
        <f t="shared" si="309"/>
        <v>0</v>
      </c>
      <c r="AQ107" s="184">
        <f t="shared" ref="AQ107:AR107" si="310">P107+AB107-AI107</f>
        <v>0.5</v>
      </c>
      <c r="AR107" s="184">
        <f t="shared" si="310"/>
        <v>0.5</v>
      </c>
      <c r="AS107" s="5"/>
      <c r="AT107" s="176"/>
      <c r="AU107" s="176"/>
      <c r="AV107" s="176"/>
      <c r="AW107" s="184"/>
      <c r="AX107" s="176"/>
      <c r="AY107" s="176"/>
      <c r="AZ107" s="176"/>
      <c r="BA107" s="180" t="s">
        <v>1670</v>
      </c>
      <c r="BB107" s="5"/>
      <c r="BC107" s="62"/>
      <c r="BE107" s="184"/>
      <c r="BF107" s="184"/>
      <c r="BG107" s="184"/>
      <c r="BH107" s="184"/>
      <c r="BI107" s="184"/>
      <c r="BJ107" s="184"/>
      <c r="BK107" s="81"/>
      <c r="BL107" s="81"/>
      <c r="BM107" s="81"/>
      <c r="BN107" s="81"/>
    </row>
    <row r="108">
      <c r="A108" s="176">
        <v>104.0</v>
      </c>
      <c r="B108" s="355" t="s">
        <v>1788</v>
      </c>
      <c r="C108" s="287" t="s">
        <v>127</v>
      </c>
      <c r="D108" s="349">
        <v>2.0</v>
      </c>
      <c r="E108" s="351"/>
      <c r="F108" s="351"/>
      <c r="G108" s="350"/>
      <c r="H108" s="350"/>
      <c r="I108" s="350"/>
      <c r="J108" s="353"/>
      <c r="K108" s="353"/>
      <c r="L108" s="353"/>
      <c r="M108" s="353"/>
      <c r="N108" s="353"/>
      <c r="O108" s="353"/>
      <c r="P108" s="180">
        <v>1.0</v>
      </c>
      <c r="Q108" s="180">
        <v>1.0</v>
      </c>
      <c r="R108" s="5"/>
      <c r="S108" s="176"/>
      <c r="T108" s="176"/>
      <c r="U108" s="176"/>
      <c r="V108" s="176"/>
      <c r="W108" s="5"/>
      <c r="X108" s="184"/>
      <c r="Y108" s="184"/>
      <c r="Z108" s="184"/>
      <c r="AA108" s="184"/>
      <c r="AB108" s="184"/>
      <c r="AC108" s="184"/>
      <c r="AD108" s="5"/>
      <c r="AE108" s="176"/>
      <c r="AF108" s="184"/>
      <c r="AG108" s="176"/>
      <c r="AH108" s="176"/>
      <c r="AI108" s="184"/>
      <c r="AJ108" s="184"/>
      <c r="AK108" s="5"/>
      <c r="AL108" s="184">
        <f t="shared" ref="AL108:AM108" si="311">ROUND(E108*(5/12)+K108*(5/12)+S108+X108-AE108,2)</f>
        <v>0</v>
      </c>
      <c r="AM108" s="184">
        <f t="shared" si="311"/>
        <v>0</v>
      </c>
      <c r="AN108" s="184">
        <f t="shared" si="5"/>
        <v>0</v>
      </c>
      <c r="AO108" s="184">
        <f t="shared" ref="AO108:AP108" si="312">ROUND(H108*(5/12)+N108*(5/12)+U108+Z108-AG108,2)</f>
        <v>0</v>
      </c>
      <c r="AP108" s="184">
        <f t="shared" si="312"/>
        <v>0</v>
      </c>
      <c r="AQ108" s="184">
        <f t="shared" ref="AQ108:AR108" si="313">P108+AB108-AI108</f>
        <v>1</v>
      </c>
      <c r="AR108" s="184">
        <f t="shared" si="313"/>
        <v>1</v>
      </c>
      <c r="AS108" s="5"/>
      <c r="AT108" s="176"/>
      <c r="AU108" s="176"/>
      <c r="AV108" s="176"/>
      <c r="AW108" s="184"/>
      <c r="AX108" s="176"/>
      <c r="AY108" s="176"/>
      <c r="AZ108" s="176"/>
      <c r="BA108" s="180" t="s">
        <v>1670</v>
      </c>
      <c r="BB108" s="5"/>
      <c r="BC108" s="62"/>
      <c r="BE108" s="184"/>
      <c r="BF108" s="184"/>
      <c r="BG108" s="184"/>
      <c r="BH108" s="184"/>
      <c r="BI108" s="184"/>
      <c r="BJ108" s="184"/>
      <c r="BK108" s="81"/>
      <c r="BL108" s="81"/>
      <c r="BM108" s="81"/>
      <c r="BN108" s="81"/>
    </row>
    <row r="109">
      <c r="A109" s="176">
        <v>105.0</v>
      </c>
      <c r="B109" s="343" t="s">
        <v>1789</v>
      </c>
      <c r="C109" s="287" t="s">
        <v>127</v>
      </c>
      <c r="D109" s="349"/>
      <c r="E109" s="351"/>
      <c r="F109" s="351"/>
      <c r="G109" s="350"/>
      <c r="H109" s="350"/>
      <c r="I109" s="350"/>
      <c r="J109" s="353">
        <v>3.66</v>
      </c>
      <c r="K109" s="353">
        <v>0.34</v>
      </c>
      <c r="L109" s="352"/>
      <c r="M109" s="352"/>
      <c r="N109" s="352"/>
      <c r="O109" s="352"/>
      <c r="P109" s="180">
        <v>0.41</v>
      </c>
      <c r="Q109" s="180">
        <v>0.41</v>
      </c>
      <c r="R109" s="5"/>
      <c r="S109" s="176"/>
      <c r="T109" s="176"/>
      <c r="U109" s="176"/>
      <c r="V109" s="176"/>
      <c r="W109" s="5"/>
      <c r="X109" s="184"/>
      <c r="Y109" s="184"/>
      <c r="Z109" s="184"/>
      <c r="AA109" s="184"/>
      <c r="AB109" s="184"/>
      <c r="AC109" s="184"/>
      <c r="AD109" s="5"/>
      <c r="AE109" s="176"/>
      <c r="AF109" s="184"/>
      <c r="AG109" s="176"/>
      <c r="AH109" s="176"/>
      <c r="AI109" s="184"/>
      <c r="AJ109" s="184"/>
      <c r="AK109" s="5"/>
      <c r="AL109" s="184">
        <f t="shared" ref="AL109:AM109" si="314">ROUND(E109*(5/12)+K109*(5/12)+S109+X109-AE109,2)</f>
        <v>0.14</v>
      </c>
      <c r="AM109" s="184">
        <f t="shared" si="314"/>
        <v>0</v>
      </c>
      <c r="AN109" s="184">
        <f t="shared" si="5"/>
        <v>0</v>
      </c>
      <c r="AO109" s="184">
        <f t="shared" ref="AO109:AP109" si="315">ROUND(H109*(5/12)+N109*(5/12)+U109+Z109-AG109,2)</f>
        <v>0</v>
      </c>
      <c r="AP109" s="184">
        <f t="shared" si="315"/>
        <v>0</v>
      </c>
      <c r="AQ109" s="184">
        <f t="shared" ref="AQ109:AR109" si="316">P109+AB109-AI109</f>
        <v>0.41</v>
      </c>
      <c r="AR109" s="184">
        <f t="shared" si="316"/>
        <v>0.41</v>
      </c>
      <c r="AS109" s="5"/>
      <c r="AT109" s="176">
        <v>0.0</v>
      </c>
      <c r="AU109" s="176">
        <v>0.0</v>
      </c>
      <c r="AV109" s="176">
        <v>0.0</v>
      </c>
      <c r="AW109" s="176">
        <v>0.0</v>
      </c>
      <c r="AX109" s="176">
        <v>0.0</v>
      </c>
      <c r="AY109" s="176">
        <v>0.0</v>
      </c>
      <c r="AZ109" s="176">
        <v>0.0</v>
      </c>
      <c r="BA109" s="195" t="s">
        <v>1790</v>
      </c>
      <c r="BB109" s="5"/>
      <c r="BC109" s="62"/>
      <c r="BE109" s="184"/>
      <c r="BF109" s="184"/>
      <c r="BG109" s="184"/>
      <c r="BH109" s="184"/>
      <c r="BI109" s="184"/>
      <c r="BJ109" s="184"/>
      <c r="BK109" s="81"/>
      <c r="BL109" s="81"/>
      <c r="BM109" s="81"/>
      <c r="BN109" s="81"/>
    </row>
    <row r="110">
      <c r="A110" s="176">
        <v>106.0</v>
      </c>
      <c r="B110" s="343" t="s">
        <v>1791</v>
      </c>
      <c r="C110" s="287" t="s">
        <v>127</v>
      </c>
      <c r="D110" s="349"/>
      <c r="E110" s="351"/>
      <c r="F110" s="351"/>
      <c r="G110" s="350"/>
      <c r="H110" s="350"/>
      <c r="I110" s="350"/>
      <c r="J110" s="353">
        <v>3.66</v>
      </c>
      <c r="K110" s="353">
        <v>0.34</v>
      </c>
      <c r="L110" s="352"/>
      <c r="M110" s="352"/>
      <c r="N110" s="352"/>
      <c r="O110" s="352"/>
      <c r="P110" s="180">
        <v>0.41</v>
      </c>
      <c r="Q110" s="180">
        <v>0.41</v>
      </c>
      <c r="R110" s="5"/>
      <c r="S110" s="176"/>
      <c r="T110" s="176"/>
      <c r="U110" s="176"/>
      <c r="V110" s="176"/>
      <c r="W110" s="5"/>
      <c r="X110" s="184"/>
      <c r="Y110" s="184"/>
      <c r="Z110" s="184"/>
      <c r="AA110" s="184"/>
      <c r="AB110" s="184"/>
      <c r="AC110" s="184"/>
      <c r="AD110" s="5"/>
      <c r="AE110" s="176"/>
      <c r="AF110" s="184"/>
      <c r="AG110" s="176"/>
      <c r="AH110" s="176"/>
      <c r="AI110" s="184"/>
      <c r="AJ110" s="184"/>
      <c r="AK110" s="5"/>
      <c r="AL110" s="184">
        <f t="shared" ref="AL110:AM110" si="317">ROUND(E110*(5/12)+K110*(5/12)+S110+X110-AE110,2)</f>
        <v>0.14</v>
      </c>
      <c r="AM110" s="184">
        <f t="shared" si="317"/>
        <v>0</v>
      </c>
      <c r="AN110" s="184">
        <f t="shared" si="5"/>
        <v>0</v>
      </c>
      <c r="AO110" s="184">
        <f t="shared" ref="AO110:AP110" si="318">ROUND(H110*(5/12)+N110*(5/12)+U110+Z110-AG110,2)</f>
        <v>0</v>
      </c>
      <c r="AP110" s="184">
        <f t="shared" si="318"/>
        <v>0</v>
      </c>
      <c r="AQ110" s="184">
        <f t="shared" ref="AQ110:AR110" si="319">P110+AB110-AI110</f>
        <v>0.41</v>
      </c>
      <c r="AR110" s="184">
        <f t="shared" si="319"/>
        <v>0.41</v>
      </c>
      <c r="AS110" s="5"/>
      <c r="AT110" s="176">
        <v>0.0</v>
      </c>
      <c r="AU110" s="176">
        <v>0.0</v>
      </c>
      <c r="AV110" s="176">
        <v>0.0</v>
      </c>
      <c r="AW110" s="176">
        <v>0.0</v>
      </c>
      <c r="AX110" s="176">
        <v>0.0</v>
      </c>
      <c r="AY110" s="176">
        <v>0.0</v>
      </c>
      <c r="AZ110" s="176">
        <v>0.0</v>
      </c>
      <c r="BA110" s="195" t="s">
        <v>1790</v>
      </c>
      <c r="BB110" s="5"/>
      <c r="BC110" s="62"/>
      <c r="BE110" s="184"/>
      <c r="BF110" s="184"/>
      <c r="BG110" s="184"/>
      <c r="BH110" s="184"/>
      <c r="BI110" s="184"/>
      <c r="BJ110" s="184"/>
      <c r="BK110" s="81"/>
      <c r="BL110" s="81"/>
      <c r="BM110" s="81"/>
      <c r="BN110" s="81"/>
    </row>
    <row r="111">
      <c r="A111" s="176">
        <v>107.0</v>
      </c>
      <c r="B111" s="343" t="s">
        <v>1792</v>
      </c>
      <c r="C111" s="287" t="s">
        <v>127</v>
      </c>
      <c r="D111" s="349"/>
      <c r="E111" s="351"/>
      <c r="F111" s="351"/>
      <c r="G111" s="350"/>
      <c r="H111" s="350"/>
      <c r="I111" s="350"/>
      <c r="J111" s="353">
        <v>3.0</v>
      </c>
      <c r="K111" s="353">
        <v>0.7</v>
      </c>
      <c r="L111" s="352"/>
      <c r="M111" s="353">
        <v>0.1</v>
      </c>
      <c r="N111" s="353">
        <v>0.2</v>
      </c>
      <c r="O111" s="352"/>
      <c r="P111" s="180">
        <v>0.33</v>
      </c>
      <c r="Q111" s="180">
        <v>0.33</v>
      </c>
      <c r="R111" s="5"/>
      <c r="S111" s="176"/>
      <c r="T111" s="176"/>
      <c r="U111" s="176"/>
      <c r="V111" s="176"/>
      <c r="W111" s="5"/>
      <c r="X111" s="184"/>
      <c r="Y111" s="184"/>
      <c r="Z111" s="184"/>
      <c r="AA111" s="184"/>
      <c r="AB111" s="184"/>
      <c r="AC111" s="184"/>
      <c r="AD111" s="5"/>
      <c r="AE111" s="176"/>
      <c r="AF111" s="184"/>
      <c r="AG111" s="176"/>
      <c r="AH111" s="176"/>
      <c r="AI111" s="184"/>
      <c r="AJ111" s="184"/>
      <c r="AK111" s="5"/>
      <c r="AL111" s="184">
        <f t="shared" ref="AL111:AM111" si="320">ROUND(E111*(5/12)+K111*(5/12)+S111+X111-AE111,2)</f>
        <v>0.29</v>
      </c>
      <c r="AM111" s="184">
        <f t="shared" si="320"/>
        <v>0</v>
      </c>
      <c r="AN111" s="184">
        <f t="shared" si="5"/>
        <v>0.04</v>
      </c>
      <c r="AO111" s="184">
        <f t="shared" ref="AO111:AP111" si="321">ROUND(H111*(5/12)+N111*(5/12)+U111+Z111-AG111,2)</f>
        <v>0.08</v>
      </c>
      <c r="AP111" s="184">
        <f t="shared" si="321"/>
        <v>0</v>
      </c>
      <c r="AQ111" s="184">
        <f t="shared" ref="AQ111:AR111" si="322">P111+AB111-AI111</f>
        <v>0.33</v>
      </c>
      <c r="AR111" s="184">
        <f t="shared" si="322"/>
        <v>0.33</v>
      </c>
      <c r="AS111" s="5"/>
      <c r="AT111" s="176">
        <v>0.5</v>
      </c>
      <c r="AU111" s="176">
        <v>0.0</v>
      </c>
      <c r="AV111" s="176">
        <v>0.05</v>
      </c>
      <c r="AW111" s="176">
        <v>0.0</v>
      </c>
      <c r="AX111" s="176">
        <v>0.0</v>
      </c>
      <c r="AY111" s="176">
        <v>1.0</v>
      </c>
      <c r="AZ111" s="176">
        <v>0.5</v>
      </c>
      <c r="BA111" s="356" t="s">
        <v>1793</v>
      </c>
      <c r="BB111" s="5"/>
      <c r="BC111" s="62"/>
      <c r="BE111" s="184"/>
      <c r="BF111" s="184"/>
      <c r="BG111" s="184"/>
      <c r="BH111" s="184"/>
      <c r="BI111" s="184"/>
      <c r="BJ111" s="184"/>
      <c r="BK111" s="81"/>
      <c r="BL111" s="280" t="s">
        <v>1561</v>
      </c>
      <c r="BM111" s="81"/>
      <c r="BN111" s="81"/>
    </row>
    <row r="112">
      <c r="A112" s="176">
        <v>108.0</v>
      </c>
      <c r="B112" s="343" t="s">
        <v>1794</v>
      </c>
      <c r="C112" s="287" t="s">
        <v>127</v>
      </c>
      <c r="D112" s="349"/>
      <c r="E112" s="351"/>
      <c r="F112" s="351"/>
      <c r="G112" s="350"/>
      <c r="H112" s="350"/>
      <c r="I112" s="350"/>
      <c r="J112" s="353">
        <v>3.66</v>
      </c>
      <c r="K112" s="353">
        <v>0.34</v>
      </c>
      <c r="L112" s="352"/>
      <c r="M112" s="352"/>
      <c r="N112" s="352"/>
      <c r="O112" s="352"/>
      <c r="P112" s="180">
        <v>0.33</v>
      </c>
      <c r="Q112" s="180">
        <v>0.33</v>
      </c>
      <c r="R112" s="5"/>
      <c r="S112" s="176"/>
      <c r="T112" s="176"/>
      <c r="U112" s="176"/>
      <c r="V112" s="176"/>
      <c r="W112" s="5"/>
      <c r="X112" s="184"/>
      <c r="Y112" s="184"/>
      <c r="Z112" s="184"/>
      <c r="AA112" s="184"/>
      <c r="AB112" s="184"/>
      <c r="AC112" s="184"/>
      <c r="AD112" s="5"/>
      <c r="AE112" s="176"/>
      <c r="AF112" s="184"/>
      <c r="AG112" s="176"/>
      <c r="AH112" s="176"/>
      <c r="AI112" s="184"/>
      <c r="AJ112" s="184"/>
      <c r="AK112" s="5"/>
      <c r="AL112" s="184">
        <f t="shared" ref="AL112:AM112" si="323">ROUND(E112*(5/12)+K112*(5/12)+S112+X112-AE112,2)</f>
        <v>0.14</v>
      </c>
      <c r="AM112" s="184">
        <f t="shared" si="323"/>
        <v>0</v>
      </c>
      <c r="AN112" s="184">
        <f t="shared" si="5"/>
        <v>0</v>
      </c>
      <c r="AO112" s="184">
        <f t="shared" ref="AO112:AP112" si="324">ROUND(H112*(5/12)+N112*(5/12)+U112+Z112-AG112,2)</f>
        <v>0</v>
      </c>
      <c r="AP112" s="184">
        <f t="shared" si="324"/>
        <v>0</v>
      </c>
      <c r="AQ112" s="184">
        <f t="shared" ref="AQ112:AR112" si="325">P112+AB112-AI112</f>
        <v>0.33</v>
      </c>
      <c r="AR112" s="184">
        <f t="shared" si="325"/>
        <v>0.33</v>
      </c>
      <c r="AS112" s="5"/>
      <c r="AT112" s="176">
        <v>0.0</v>
      </c>
      <c r="AU112" s="176">
        <v>0.0</v>
      </c>
      <c r="AV112" s="176">
        <v>0.0</v>
      </c>
      <c r="AW112" s="176">
        <v>0.0</v>
      </c>
      <c r="AX112" s="176">
        <v>0.0</v>
      </c>
      <c r="AY112" s="176">
        <v>0.0</v>
      </c>
      <c r="AZ112" s="176">
        <v>0.0</v>
      </c>
      <c r="BA112" s="195" t="s">
        <v>1795</v>
      </c>
      <c r="BB112" s="5"/>
      <c r="BC112" s="62"/>
      <c r="BE112" s="184"/>
      <c r="BF112" s="184"/>
      <c r="BG112" s="184"/>
      <c r="BH112" s="184"/>
      <c r="BI112" s="184"/>
      <c r="BJ112" s="184"/>
      <c r="BK112" s="81"/>
      <c r="BL112" s="81"/>
      <c r="BM112" s="81"/>
      <c r="BN112" s="81"/>
    </row>
    <row r="113">
      <c r="A113" s="176">
        <v>109.0</v>
      </c>
      <c r="B113" s="343" t="s">
        <v>1796</v>
      </c>
      <c r="C113" s="287" t="s">
        <v>127</v>
      </c>
      <c r="D113" s="349"/>
      <c r="E113" s="351"/>
      <c r="F113" s="351"/>
      <c r="G113" s="350"/>
      <c r="H113" s="350"/>
      <c r="I113" s="350"/>
      <c r="J113" s="353">
        <v>3.67</v>
      </c>
      <c r="K113" s="353">
        <v>0.33</v>
      </c>
      <c r="L113" s="352"/>
      <c r="M113" s="352"/>
      <c r="N113" s="352"/>
      <c r="O113" s="352"/>
      <c r="P113" s="180">
        <v>0.25</v>
      </c>
      <c r="Q113" s="180">
        <v>0.25</v>
      </c>
      <c r="R113" s="5"/>
      <c r="S113" s="176"/>
      <c r="T113" s="176"/>
      <c r="U113" s="176"/>
      <c r="V113" s="176"/>
      <c r="W113" s="5"/>
      <c r="X113" s="184"/>
      <c r="Y113" s="184"/>
      <c r="Z113" s="184"/>
      <c r="AA113" s="184"/>
      <c r="AB113" s="184"/>
      <c r="AC113" s="184"/>
      <c r="AD113" s="5"/>
      <c r="AE113" s="176"/>
      <c r="AF113" s="184"/>
      <c r="AG113" s="176"/>
      <c r="AH113" s="176"/>
      <c r="AI113" s="184"/>
      <c r="AJ113" s="184"/>
      <c r="AK113" s="5"/>
      <c r="AL113" s="184">
        <f t="shared" ref="AL113:AM113" si="326">ROUND(E113*(5/12)+K113*(5/12)+S113+X113-AE113,2)</f>
        <v>0.14</v>
      </c>
      <c r="AM113" s="184">
        <f t="shared" si="326"/>
        <v>0</v>
      </c>
      <c r="AN113" s="184">
        <f t="shared" si="5"/>
        <v>0</v>
      </c>
      <c r="AO113" s="184">
        <f t="shared" ref="AO113:AP113" si="327">ROUND(H113*(5/12)+N113*(5/12)+U113+Z113-AG113,2)</f>
        <v>0</v>
      </c>
      <c r="AP113" s="184">
        <f t="shared" si="327"/>
        <v>0</v>
      </c>
      <c r="AQ113" s="184">
        <f t="shared" ref="AQ113:AR113" si="328">P113+AB113-AI113</f>
        <v>0.25</v>
      </c>
      <c r="AR113" s="184">
        <f t="shared" si="328"/>
        <v>0.25</v>
      </c>
      <c r="AS113" s="5"/>
      <c r="AT113" s="176">
        <v>0.0</v>
      </c>
      <c r="AU113" s="176">
        <v>0.0</v>
      </c>
      <c r="AV113" s="176">
        <v>0.0</v>
      </c>
      <c r="AW113" s="176">
        <v>0.0</v>
      </c>
      <c r="AX113" s="176">
        <v>0.0</v>
      </c>
      <c r="AY113" s="176">
        <v>0.0</v>
      </c>
      <c r="AZ113" s="176">
        <v>0.0</v>
      </c>
      <c r="BA113" s="195" t="s">
        <v>1797</v>
      </c>
      <c r="BB113" s="5"/>
      <c r="BC113" s="62"/>
      <c r="BE113" s="184"/>
      <c r="BF113" s="184"/>
      <c r="BG113" s="184"/>
      <c r="BH113" s="184"/>
      <c r="BI113" s="184"/>
      <c r="BJ113" s="184"/>
      <c r="BK113" s="81"/>
      <c r="BL113" s="280" t="s">
        <v>1561</v>
      </c>
      <c r="BM113" s="81"/>
      <c r="BN113" s="81"/>
    </row>
    <row r="114">
      <c r="A114" s="176">
        <v>110.0</v>
      </c>
      <c r="B114" s="343" t="s">
        <v>1798</v>
      </c>
      <c r="C114" s="287" t="s">
        <v>127</v>
      </c>
      <c r="D114" s="349"/>
      <c r="E114" s="351"/>
      <c r="F114" s="351"/>
      <c r="G114" s="350"/>
      <c r="H114" s="350"/>
      <c r="I114" s="350"/>
      <c r="J114" s="353">
        <v>3.0</v>
      </c>
      <c r="K114" s="353">
        <v>0.6</v>
      </c>
      <c r="L114" s="353">
        <v>0.2</v>
      </c>
      <c r="M114" s="352"/>
      <c r="N114" s="353">
        <v>0.2</v>
      </c>
      <c r="O114" s="352"/>
      <c r="P114" s="180">
        <v>0.16</v>
      </c>
      <c r="Q114" s="180">
        <v>0.16</v>
      </c>
      <c r="R114" s="5"/>
      <c r="S114" s="176"/>
      <c r="T114" s="176"/>
      <c r="U114" s="176"/>
      <c r="V114" s="176"/>
      <c r="W114" s="5"/>
      <c r="X114" s="184"/>
      <c r="Y114" s="184"/>
      <c r="Z114" s="184"/>
      <c r="AA114" s="184"/>
      <c r="AB114" s="184"/>
      <c r="AC114" s="184"/>
      <c r="AD114" s="5"/>
      <c r="AE114" s="176"/>
      <c r="AF114" s="184"/>
      <c r="AG114" s="176"/>
      <c r="AH114" s="176"/>
      <c r="AI114" s="184"/>
      <c r="AJ114" s="184"/>
      <c r="AK114" s="5"/>
      <c r="AL114" s="184">
        <f t="shared" ref="AL114:AM114" si="329">ROUND(E114*(5/12)+K114*(5/12)+S114+X114-AE114,2)</f>
        <v>0.25</v>
      </c>
      <c r="AM114" s="184">
        <f t="shared" si="329"/>
        <v>0.08</v>
      </c>
      <c r="AN114" s="184">
        <f t="shared" si="5"/>
        <v>0</v>
      </c>
      <c r="AO114" s="184">
        <f t="shared" ref="AO114:AP114" si="330">ROUND(H114*(5/12)+N114*(5/12)+U114+Z114-AG114,2)</f>
        <v>0.08</v>
      </c>
      <c r="AP114" s="184">
        <f t="shared" si="330"/>
        <v>0</v>
      </c>
      <c r="AQ114" s="184">
        <f t="shared" ref="AQ114:AR114" si="331">P114+AB114-AI114</f>
        <v>0.16</v>
      </c>
      <c r="AR114" s="184">
        <f t="shared" si="331"/>
        <v>0.16</v>
      </c>
      <c r="AS114" s="5"/>
      <c r="AT114" s="176">
        <v>0.0</v>
      </c>
      <c r="AU114" s="176">
        <v>0.013</v>
      </c>
      <c r="AV114" s="176">
        <v>0.0</v>
      </c>
      <c r="AW114" s="176">
        <v>0.0</v>
      </c>
      <c r="AX114" s="176">
        <v>0.0</v>
      </c>
      <c r="AY114" s="176">
        <v>0.0</v>
      </c>
      <c r="AZ114" s="176">
        <v>0.0</v>
      </c>
      <c r="BA114" s="195" t="s">
        <v>1799</v>
      </c>
      <c r="BB114" s="5"/>
      <c r="BC114" s="62"/>
      <c r="BE114" s="184"/>
      <c r="BF114" s="184"/>
      <c r="BG114" s="184"/>
      <c r="BH114" s="184"/>
      <c r="BI114" s="184"/>
      <c r="BJ114" s="184"/>
      <c r="BK114" s="81"/>
      <c r="BL114" s="81"/>
      <c r="BM114" s="81"/>
      <c r="BN114" s="81"/>
    </row>
    <row r="115">
      <c r="A115" s="176">
        <v>111.0</v>
      </c>
      <c r="B115" s="343" t="s">
        <v>1800</v>
      </c>
      <c r="C115" s="287" t="s">
        <v>127</v>
      </c>
      <c r="D115" s="349"/>
      <c r="E115" s="351"/>
      <c r="F115" s="351"/>
      <c r="G115" s="350"/>
      <c r="H115" s="350"/>
      <c r="I115" s="350"/>
      <c r="J115" s="353">
        <v>3.33</v>
      </c>
      <c r="K115" s="353">
        <v>0.27</v>
      </c>
      <c r="L115" s="353">
        <v>0.2</v>
      </c>
      <c r="M115" s="352"/>
      <c r="N115" s="353">
        <v>0.2</v>
      </c>
      <c r="O115" s="352"/>
      <c r="P115" s="180">
        <v>0.16</v>
      </c>
      <c r="Q115" s="180">
        <v>0.16</v>
      </c>
      <c r="R115" s="5"/>
      <c r="S115" s="176"/>
      <c r="T115" s="176"/>
      <c r="U115" s="176"/>
      <c r="V115" s="176"/>
      <c r="W115" s="5"/>
      <c r="X115" s="184"/>
      <c r="Y115" s="184"/>
      <c r="Z115" s="184"/>
      <c r="AA115" s="184"/>
      <c r="AB115" s="184"/>
      <c r="AC115" s="184"/>
      <c r="AD115" s="5"/>
      <c r="AE115" s="176"/>
      <c r="AF115" s="184"/>
      <c r="AG115" s="176"/>
      <c r="AH115" s="176"/>
      <c r="AI115" s="184"/>
      <c r="AJ115" s="184"/>
      <c r="AK115" s="5"/>
      <c r="AL115" s="184">
        <f t="shared" ref="AL115:AM115" si="332">ROUND(E115*(5/12)+K115*(5/12)+S115+X115-AE115,2)</f>
        <v>0.11</v>
      </c>
      <c r="AM115" s="184">
        <f t="shared" si="332"/>
        <v>0.08</v>
      </c>
      <c r="AN115" s="184">
        <f t="shared" si="5"/>
        <v>0</v>
      </c>
      <c r="AO115" s="184">
        <f t="shared" ref="AO115:AP115" si="333">ROUND(H115*(5/12)+N115*(5/12)+U115+Z115-AG115,2)</f>
        <v>0.08</v>
      </c>
      <c r="AP115" s="184">
        <f t="shared" si="333"/>
        <v>0</v>
      </c>
      <c r="AQ115" s="184">
        <f t="shared" ref="AQ115:AR115" si="334">P115+AB115-AI115</f>
        <v>0.16</v>
      </c>
      <c r="AR115" s="184">
        <f t="shared" si="334"/>
        <v>0.16</v>
      </c>
      <c r="AS115" s="5"/>
      <c r="AT115" s="176">
        <v>0.0</v>
      </c>
      <c r="AU115" s="176">
        <v>0.0</v>
      </c>
      <c r="AV115" s="176">
        <v>0.0</v>
      </c>
      <c r="AW115" s="176">
        <v>0.0</v>
      </c>
      <c r="AX115" s="176">
        <v>0.0</v>
      </c>
      <c r="AY115" s="176">
        <v>0.0</v>
      </c>
      <c r="AZ115" s="176">
        <v>0.0</v>
      </c>
      <c r="BA115" s="195" t="s">
        <v>1801</v>
      </c>
      <c r="BB115" s="5"/>
      <c r="BC115" s="62"/>
      <c r="BE115" s="184"/>
      <c r="BF115" s="184"/>
      <c r="BG115" s="184"/>
      <c r="BH115" s="184"/>
      <c r="BI115" s="184"/>
      <c r="BJ115" s="184"/>
      <c r="BK115" s="81"/>
      <c r="BL115" s="81"/>
      <c r="BM115" s="81"/>
      <c r="BN115" s="81"/>
    </row>
    <row r="116">
      <c r="A116" s="176"/>
      <c r="B116" s="343"/>
      <c r="C116" s="287"/>
      <c r="D116" s="349"/>
      <c r="E116" s="350"/>
      <c r="F116" s="351"/>
      <c r="G116" s="350"/>
      <c r="H116" s="350"/>
      <c r="I116" s="350"/>
      <c r="J116" s="353"/>
      <c r="K116" s="353"/>
      <c r="L116" s="352"/>
      <c r="M116" s="353"/>
      <c r="N116" s="352"/>
      <c r="O116" s="353"/>
      <c r="P116" s="180"/>
      <c r="Q116" s="180"/>
      <c r="R116" s="5"/>
      <c r="S116" s="176"/>
      <c r="T116" s="176"/>
      <c r="U116" s="176"/>
      <c r="V116" s="176"/>
      <c r="W116" s="5"/>
      <c r="X116" s="184"/>
      <c r="Y116" s="184"/>
      <c r="Z116" s="184"/>
      <c r="AA116" s="184"/>
      <c r="AB116" s="184"/>
      <c r="AC116" s="184"/>
      <c r="AD116" s="5"/>
      <c r="AE116" s="176"/>
      <c r="AF116" s="184"/>
      <c r="AG116" s="176"/>
      <c r="AH116" s="176"/>
      <c r="AI116" s="184"/>
      <c r="AJ116" s="184"/>
      <c r="AK116" s="5"/>
      <c r="AL116" s="184"/>
      <c r="AM116" s="184"/>
      <c r="AN116" s="184"/>
      <c r="AO116" s="184"/>
      <c r="AP116" s="184"/>
      <c r="AQ116" s="184"/>
      <c r="AR116" s="184"/>
      <c r="AS116" s="5"/>
      <c r="AT116" s="176"/>
      <c r="AU116" s="176"/>
      <c r="AV116" s="176"/>
      <c r="AW116" s="184"/>
      <c r="AX116" s="176"/>
      <c r="AY116" s="176"/>
      <c r="AZ116" s="176"/>
      <c r="BA116" s="180"/>
      <c r="BB116" s="5"/>
      <c r="BC116" s="62"/>
      <c r="BE116" s="184"/>
      <c r="BF116" s="184"/>
      <c r="BG116" s="184"/>
      <c r="BH116" s="184"/>
      <c r="BI116" s="184"/>
      <c r="BJ116" s="184"/>
      <c r="BK116" s="81"/>
      <c r="BL116" s="81"/>
      <c r="BM116" s="81"/>
      <c r="BN116" s="81"/>
    </row>
    <row r="117">
      <c r="A117" s="176">
        <v>112.0</v>
      </c>
      <c r="B117" s="286" t="s">
        <v>1148</v>
      </c>
      <c r="C117" s="287" t="s">
        <v>1149</v>
      </c>
      <c r="D117" s="235">
        <v>2.0</v>
      </c>
      <c r="E117" s="357">
        <v>0.4</v>
      </c>
      <c r="F117" s="358"/>
      <c r="G117" s="235">
        <v>0.2</v>
      </c>
      <c r="H117" s="235">
        <v>0.1</v>
      </c>
      <c r="I117" s="357">
        <v>0.3</v>
      </c>
      <c r="J117" s="359">
        <v>1.0</v>
      </c>
      <c r="K117" s="359">
        <v>0.6</v>
      </c>
      <c r="L117" s="360"/>
      <c r="M117" s="359">
        <v>0.2</v>
      </c>
      <c r="N117" s="360"/>
      <c r="O117" s="359">
        <v>0.2</v>
      </c>
      <c r="P117" s="180">
        <v>1.0</v>
      </c>
      <c r="Q117" s="180">
        <v>1.0</v>
      </c>
      <c r="R117" s="5"/>
      <c r="S117" s="176">
        <v>0.17</v>
      </c>
      <c r="T117" s="176">
        <v>0.0</v>
      </c>
      <c r="U117" s="176">
        <v>0.0</v>
      </c>
      <c r="V117" s="176">
        <v>0.0</v>
      </c>
      <c r="W117" s="5"/>
      <c r="X117" s="184"/>
      <c r="Y117" s="184"/>
      <c r="Z117" s="184"/>
      <c r="AA117" s="184"/>
      <c r="AB117" s="184"/>
      <c r="AC117" s="184"/>
      <c r="AD117" s="5"/>
      <c r="AE117" s="176">
        <v>0.8</v>
      </c>
      <c r="AF117" s="184"/>
      <c r="AG117" s="176">
        <v>0.16</v>
      </c>
      <c r="AH117" s="176">
        <v>0.06</v>
      </c>
      <c r="AI117" s="184"/>
      <c r="AJ117" s="184"/>
      <c r="AK117" s="5"/>
      <c r="AL117" s="184">
        <f t="shared" ref="AL117:AM117" si="335">ROUND(E117*(5/12)+K117*(5/12)+S117+X117-AE117,2)</f>
        <v>-0.21</v>
      </c>
      <c r="AM117" s="184">
        <f t="shared" si="335"/>
        <v>0</v>
      </c>
      <c r="AN117" s="184">
        <f t="shared" ref="AN117:AN229" si="339">ROUND(G117*(5/12)+M117*(5/12),2)</f>
        <v>0.17</v>
      </c>
      <c r="AO117" s="184">
        <f t="shared" ref="AO117:AP117" si="336">ROUND(H117*(5/12)+N117*(5/12)+U117+Z117-AG117,2)</f>
        <v>-0.12</v>
      </c>
      <c r="AP117" s="184">
        <f t="shared" si="336"/>
        <v>0.15</v>
      </c>
      <c r="AQ117" s="184">
        <f t="shared" ref="AQ117:AR117" si="337">P117+AB117-AI117</f>
        <v>1</v>
      </c>
      <c r="AR117" s="184">
        <f t="shared" si="337"/>
        <v>1</v>
      </c>
      <c r="AS117" s="5"/>
      <c r="AT117" s="176">
        <v>0.21</v>
      </c>
      <c r="AU117" s="176">
        <v>0.0</v>
      </c>
      <c r="AV117" s="176">
        <v>0.2</v>
      </c>
      <c r="AW117" s="176">
        <v>0.12</v>
      </c>
      <c r="AX117" s="176">
        <v>0.187</v>
      </c>
      <c r="AY117" s="176">
        <v>1.0</v>
      </c>
      <c r="AZ117" s="176">
        <v>1.0</v>
      </c>
      <c r="BA117" s="196" t="s">
        <v>1802</v>
      </c>
      <c r="BB117" s="5"/>
      <c r="BC117" s="62"/>
      <c r="BE117" s="184"/>
      <c r="BF117" s="184"/>
      <c r="BG117" s="184"/>
      <c r="BH117" s="184"/>
      <c r="BI117" s="184"/>
      <c r="BJ117" s="184"/>
      <c r="BK117" s="81"/>
      <c r="BL117" s="280" t="s">
        <v>1561</v>
      </c>
      <c r="BM117" s="81"/>
      <c r="BN117" s="81"/>
    </row>
    <row r="118">
      <c r="A118" s="176">
        <v>113.0</v>
      </c>
      <c r="B118" s="343" t="s">
        <v>1803</v>
      </c>
      <c r="C118" s="287" t="s">
        <v>1149</v>
      </c>
      <c r="D118" s="361">
        <v>1.75</v>
      </c>
      <c r="E118" s="362">
        <v>1.35</v>
      </c>
      <c r="F118" s="362">
        <v>0.3</v>
      </c>
      <c r="G118" s="362">
        <v>0.6</v>
      </c>
      <c r="H118" s="363"/>
      <c r="I118" s="363"/>
      <c r="J118" s="364">
        <v>2.0</v>
      </c>
      <c r="K118" s="364">
        <v>1.7</v>
      </c>
      <c r="L118" s="364">
        <v>0.3</v>
      </c>
      <c r="M118" s="365"/>
      <c r="N118" s="365"/>
      <c r="O118" s="365"/>
      <c r="P118" s="180">
        <v>1.0</v>
      </c>
      <c r="Q118" s="180">
        <v>1.0</v>
      </c>
      <c r="R118" s="5"/>
      <c r="S118" s="176">
        <v>0.17</v>
      </c>
      <c r="T118" s="176">
        <v>0.17</v>
      </c>
      <c r="U118" s="176">
        <v>0.0</v>
      </c>
      <c r="V118" s="176">
        <v>0.0</v>
      </c>
      <c r="W118" s="5"/>
      <c r="X118" s="176">
        <v>1.36</v>
      </c>
      <c r="Y118" s="176">
        <v>1.003</v>
      </c>
      <c r="Z118" s="184"/>
      <c r="AA118" s="184"/>
      <c r="AB118" s="184"/>
      <c r="AC118" s="184"/>
      <c r="AD118" s="5"/>
      <c r="AE118" s="184"/>
      <c r="AF118" s="184"/>
      <c r="AG118" s="184"/>
      <c r="AH118" s="184"/>
      <c r="AI118" s="184"/>
      <c r="AJ118" s="184"/>
      <c r="AK118" s="5"/>
      <c r="AL118" s="184">
        <f t="shared" ref="AL118:AM118" si="338">ROUND(E118*(5/12)+K118*(5/12)+S118+X118-AE118,2)</f>
        <v>2.8</v>
      </c>
      <c r="AM118" s="184">
        <f t="shared" si="338"/>
        <v>1.42</v>
      </c>
      <c r="AN118" s="184">
        <f t="shared" si="339"/>
        <v>0.25</v>
      </c>
      <c r="AO118" s="184">
        <f t="shared" ref="AO118:AP118" si="340">ROUND(H118*(5/12)+N118*(5/12)+U118+Z118-AG118,2)</f>
        <v>0</v>
      </c>
      <c r="AP118" s="184">
        <f t="shared" si="340"/>
        <v>0</v>
      </c>
      <c r="AQ118" s="184">
        <f t="shared" ref="AQ118:AR118" si="341">P118+AB118-AI118</f>
        <v>1</v>
      </c>
      <c r="AR118" s="184">
        <f t="shared" si="341"/>
        <v>1</v>
      </c>
      <c r="AS118" s="5"/>
      <c r="AT118" s="176">
        <v>0.0</v>
      </c>
      <c r="AU118" s="176">
        <v>0.0</v>
      </c>
      <c r="AV118" s="176">
        <v>0.0</v>
      </c>
      <c r="AW118" s="176">
        <v>0.0</v>
      </c>
      <c r="AX118" s="176">
        <v>0.0</v>
      </c>
      <c r="AY118" s="176">
        <v>0.0</v>
      </c>
      <c r="AZ118" s="176">
        <v>1.0</v>
      </c>
      <c r="BA118" s="180" t="s">
        <v>1804</v>
      </c>
      <c r="BB118" s="5"/>
      <c r="BC118" s="62"/>
      <c r="BE118" s="184"/>
      <c r="BF118" s="184"/>
      <c r="BG118" s="184"/>
      <c r="BH118" s="184"/>
      <c r="BI118" s="184"/>
      <c r="BJ118" s="184"/>
      <c r="BK118" s="81"/>
      <c r="BL118" s="81"/>
      <c r="BM118" s="81"/>
      <c r="BN118" s="81"/>
    </row>
    <row r="119">
      <c r="A119" s="176">
        <v>114.0</v>
      </c>
      <c r="B119" s="343" t="s">
        <v>1153</v>
      </c>
      <c r="C119" s="287" t="s">
        <v>1149</v>
      </c>
      <c r="D119" s="349">
        <v>3.0</v>
      </c>
      <c r="E119" s="350">
        <v>0.65</v>
      </c>
      <c r="F119" s="351"/>
      <c r="G119" s="350">
        <v>0.2</v>
      </c>
      <c r="H119" s="366"/>
      <c r="I119" s="350">
        <v>0.15</v>
      </c>
      <c r="J119" s="364">
        <v>3.33</v>
      </c>
      <c r="K119" s="364">
        <v>0.57</v>
      </c>
      <c r="L119" s="365"/>
      <c r="M119" s="365"/>
      <c r="N119" s="365"/>
      <c r="O119" s="364">
        <v>0.1</v>
      </c>
      <c r="P119" s="180">
        <v>1.0</v>
      </c>
      <c r="Q119" s="180">
        <v>1.0</v>
      </c>
      <c r="R119" s="5"/>
      <c r="S119" s="176">
        <v>0.16</v>
      </c>
      <c r="T119" s="176">
        <v>0.0</v>
      </c>
      <c r="U119" s="176">
        <v>0.0</v>
      </c>
      <c r="V119" s="176">
        <v>0.07</v>
      </c>
      <c r="W119" s="5"/>
      <c r="X119" s="176">
        <v>0.33</v>
      </c>
      <c r="Y119" s="176">
        <v>0.125</v>
      </c>
      <c r="Z119" s="184"/>
      <c r="AA119" s="176">
        <v>0.17</v>
      </c>
      <c r="AB119" s="176">
        <v>1.0</v>
      </c>
      <c r="AC119" s="184"/>
      <c r="AD119" s="5"/>
      <c r="AE119" s="176"/>
      <c r="AF119" s="184"/>
      <c r="AG119" s="184"/>
      <c r="AH119" s="184"/>
      <c r="AI119" s="184"/>
      <c r="AJ119" s="184"/>
      <c r="AK119" s="5"/>
      <c r="AL119" s="184">
        <f t="shared" ref="AL119:AM119" si="342">ROUND(E119*(5/12)+K119*(5/12)+S119+X119-AE119,2)</f>
        <v>1</v>
      </c>
      <c r="AM119" s="184">
        <f t="shared" si="342"/>
        <v>0.13</v>
      </c>
      <c r="AN119" s="184">
        <f t="shared" si="339"/>
        <v>0.08</v>
      </c>
      <c r="AO119" s="184">
        <f t="shared" ref="AO119:AP119" si="343">ROUND(H119*(5/12)+N119*(5/12)+U119+Z119-AG119,2)</f>
        <v>0</v>
      </c>
      <c r="AP119" s="184">
        <f t="shared" si="343"/>
        <v>0.34</v>
      </c>
      <c r="AQ119" s="184">
        <f t="shared" ref="AQ119:AR119" si="344">P119+AB119-AI119</f>
        <v>2</v>
      </c>
      <c r="AR119" s="184">
        <f t="shared" si="344"/>
        <v>1</v>
      </c>
      <c r="AS119" s="5"/>
      <c r="AT119" s="176">
        <v>1.0</v>
      </c>
      <c r="AU119" s="176">
        <v>0.13</v>
      </c>
      <c r="AV119" s="176">
        <v>0.1</v>
      </c>
      <c r="AW119" s="176">
        <v>0.0</v>
      </c>
      <c r="AX119" s="176">
        <v>0.34</v>
      </c>
      <c r="AY119" s="176">
        <v>1.5</v>
      </c>
      <c r="AZ119" s="176">
        <v>1.0</v>
      </c>
      <c r="BA119" s="180" t="s">
        <v>1805</v>
      </c>
      <c r="BB119" s="5"/>
      <c r="BC119" s="62"/>
      <c r="BE119" s="184"/>
      <c r="BF119" s="184"/>
      <c r="BG119" s="184"/>
      <c r="BH119" s="184"/>
      <c r="BI119" s="184"/>
      <c r="BJ119" s="184"/>
      <c r="BK119" s="81"/>
      <c r="BL119" s="280" t="s">
        <v>1561</v>
      </c>
      <c r="BM119" s="81"/>
      <c r="BN119" s="81"/>
    </row>
    <row r="120">
      <c r="A120" s="176">
        <v>115.0</v>
      </c>
      <c r="B120" s="343" t="s">
        <v>1156</v>
      </c>
      <c r="C120" s="287" t="s">
        <v>1149</v>
      </c>
      <c r="D120" s="349">
        <v>3.67</v>
      </c>
      <c r="E120" s="350">
        <v>0.03</v>
      </c>
      <c r="F120" s="362">
        <v>0.3</v>
      </c>
      <c r="G120" s="362"/>
      <c r="H120" s="366"/>
      <c r="I120" s="366"/>
      <c r="J120" s="364">
        <v>3.67</v>
      </c>
      <c r="K120" s="364">
        <v>0.13</v>
      </c>
      <c r="L120" s="364">
        <v>0.2</v>
      </c>
      <c r="M120" s="365"/>
      <c r="N120" s="365"/>
      <c r="O120" s="365"/>
      <c r="P120" s="180">
        <v>1.0</v>
      </c>
      <c r="Q120" s="180">
        <v>1.0</v>
      </c>
      <c r="R120" s="5"/>
      <c r="S120" s="176">
        <v>0.03</v>
      </c>
      <c r="T120" s="176">
        <v>0.13</v>
      </c>
      <c r="U120" s="176">
        <v>0.0</v>
      </c>
      <c r="V120" s="176">
        <v>0.0</v>
      </c>
      <c r="W120" s="5"/>
      <c r="X120" s="176">
        <v>1.83</v>
      </c>
      <c r="Y120" s="176">
        <v>2.42</v>
      </c>
      <c r="Z120" s="184"/>
      <c r="AA120" s="184"/>
      <c r="AB120" s="176">
        <v>1.0</v>
      </c>
      <c r="AC120" s="176">
        <v>1.0</v>
      </c>
      <c r="AD120" s="5"/>
      <c r="AE120" s="184"/>
      <c r="AF120" s="184"/>
      <c r="AG120" s="184"/>
      <c r="AH120" s="184"/>
      <c r="AI120" s="184"/>
      <c r="AJ120" s="184"/>
      <c r="AK120" s="5"/>
      <c r="AL120" s="184">
        <f t="shared" ref="AL120:AM120" si="345">ROUND(E120*(5/12)+K120*(5/12)+S120+X120-AE120,2)</f>
        <v>1.93</v>
      </c>
      <c r="AM120" s="184">
        <f t="shared" si="345"/>
        <v>2.76</v>
      </c>
      <c r="AN120" s="184">
        <f t="shared" si="339"/>
        <v>0</v>
      </c>
      <c r="AO120" s="184">
        <f t="shared" ref="AO120:AP120" si="346">ROUND(H120*(5/12)+N120*(5/12)+U120+Z120-AG120,2)</f>
        <v>0</v>
      </c>
      <c r="AP120" s="184">
        <f t="shared" si="346"/>
        <v>0</v>
      </c>
      <c r="AQ120" s="184">
        <f t="shared" ref="AQ120:AR120" si="347">P120+AB120-AI120</f>
        <v>2</v>
      </c>
      <c r="AR120" s="184">
        <f t="shared" si="347"/>
        <v>2</v>
      </c>
      <c r="AS120" s="5"/>
      <c r="AT120" s="176">
        <v>0.0</v>
      </c>
      <c r="AU120" s="176">
        <v>0.0</v>
      </c>
      <c r="AV120" s="176">
        <v>0.0</v>
      </c>
      <c r="AW120" s="176">
        <v>0.0</v>
      </c>
      <c r="AX120" s="176">
        <v>0.0</v>
      </c>
      <c r="AY120" s="176">
        <v>0.0</v>
      </c>
      <c r="AZ120" s="176">
        <v>0.0</v>
      </c>
      <c r="BA120" s="195" t="s">
        <v>1806</v>
      </c>
      <c r="BB120" s="5"/>
      <c r="BC120" s="62"/>
      <c r="BE120" s="184"/>
      <c r="BF120" s="184"/>
      <c r="BG120" s="184"/>
      <c r="BH120" s="184"/>
      <c r="BI120" s="184"/>
      <c r="BJ120" s="184"/>
      <c r="BK120" s="81"/>
      <c r="BL120" s="81"/>
      <c r="BM120" s="81"/>
      <c r="BN120" s="81"/>
    </row>
    <row r="121">
      <c r="A121" s="176">
        <v>116.0</v>
      </c>
      <c r="B121" s="345" t="s">
        <v>81</v>
      </c>
      <c r="C121" s="287" t="s">
        <v>1149</v>
      </c>
      <c r="D121" s="349">
        <v>3.33</v>
      </c>
      <c r="E121" s="350">
        <v>0.56</v>
      </c>
      <c r="F121" s="350">
        <v>0.1</v>
      </c>
      <c r="G121" s="366"/>
      <c r="H121" s="366"/>
      <c r="I121" s="366"/>
      <c r="J121" s="364">
        <v>4.0</v>
      </c>
      <c r="K121" s="365"/>
      <c r="L121" s="364">
        <v>0.2</v>
      </c>
      <c r="M121" s="364">
        <v>0.8</v>
      </c>
      <c r="N121" s="365"/>
      <c r="O121" s="365"/>
      <c r="P121" s="180">
        <v>1.0</v>
      </c>
      <c r="Q121" s="180">
        <v>1.0</v>
      </c>
      <c r="R121" s="5"/>
      <c r="S121" s="176">
        <v>0.0</v>
      </c>
      <c r="T121" s="176">
        <v>0.0</v>
      </c>
      <c r="U121" s="176">
        <v>0.0</v>
      </c>
      <c r="V121" s="176">
        <v>0.0</v>
      </c>
      <c r="W121" s="5"/>
      <c r="X121" s="198"/>
      <c r="Y121" s="184"/>
      <c r="Z121" s="184"/>
      <c r="AA121" s="184"/>
      <c r="AB121" s="184"/>
      <c r="AC121" s="198"/>
      <c r="AD121" s="5"/>
      <c r="AE121" s="176">
        <v>0.57</v>
      </c>
      <c r="AF121" s="184"/>
      <c r="AG121" s="184"/>
      <c r="AH121" s="184"/>
      <c r="AI121" s="184"/>
      <c r="AJ121" s="184"/>
      <c r="AK121" s="5"/>
      <c r="AL121" s="184">
        <f t="shared" ref="AL121:AM121" si="348">ROUND(E121*(5/12)+K121*(5/12)+S121+X121-AE121,2)</f>
        <v>-0.34</v>
      </c>
      <c r="AM121" s="184">
        <f t="shared" si="348"/>
        <v>0.13</v>
      </c>
      <c r="AN121" s="184">
        <f t="shared" si="339"/>
        <v>0.33</v>
      </c>
      <c r="AO121" s="184">
        <f t="shared" ref="AO121:AP121" si="349">ROUND(H121*(5/12)+N121*(5/12)+U121+Z121-AG121,2)</f>
        <v>0</v>
      </c>
      <c r="AP121" s="184">
        <f t="shared" si="349"/>
        <v>0</v>
      </c>
      <c r="AQ121" s="184">
        <f t="shared" ref="AQ121:AR121" si="350">P121+AB121-AI121</f>
        <v>1</v>
      </c>
      <c r="AR121" s="184">
        <f t="shared" si="350"/>
        <v>1</v>
      </c>
      <c r="AS121" s="5"/>
      <c r="AT121" s="176">
        <v>0.37</v>
      </c>
      <c r="AU121" s="176">
        <v>0.167</v>
      </c>
      <c r="AV121" s="176">
        <v>0.3</v>
      </c>
      <c r="AW121" s="176">
        <v>0.0</v>
      </c>
      <c r="AX121" s="176">
        <v>0.0</v>
      </c>
      <c r="AY121" s="176">
        <v>1.0</v>
      </c>
      <c r="AZ121" s="176">
        <v>1.0</v>
      </c>
      <c r="BA121" s="180" t="s">
        <v>1807</v>
      </c>
      <c r="BB121" s="5"/>
      <c r="BC121" s="62"/>
      <c r="BE121" s="198">
        <v>0.4125</v>
      </c>
      <c r="BF121" s="184"/>
      <c r="BG121" s="184"/>
      <c r="BH121" s="184"/>
      <c r="BI121" s="184"/>
      <c r="BJ121" s="198"/>
      <c r="BK121" s="198"/>
      <c r="BL121" s="280" t="s">
        <v>1561</v>
      </c>
      <c r="BM121" s="280" t="s">
        <v>1808</v>
      </c>
      <c r="BN121" s="81"/>
    </row>
    <row r="122">
      <c r="A122" s="176">
        <v>117.0</v>
      </c>
      <c r="B122" s="367" t="s">
        <v>1167</v>
      </c>
      <c r="C122" s="287" t="s">
        <v>1149</v>
      </c>
      <c r="D122" s="349">
        <v>3.0</v>
      </c>
      <c r="E122" s="362">
        <v>0.45</v>
      </c>
      <c r="F122" s="362">
        <v>0.15</v>
      </c>
      <c r="G122" s="368"/>
      <c r="H122" s="362">
        <v>0.4</v>
      </c>
      <c r="I122" s="368"/>
      <c r="J122" s="364">
        <v>3.33</v>
      </c>
      <c r="K122" s="365"/>
      <c r="L122" s="365"/>
      <c r="M122" s="365"/>
      <c r="N122" s="364">
        <v>0.8</v>
      </c>
      <c r="O122" s="364">
        <v>0.2</v>
      </c>
      <c r="P122" s="180">
        <v>1.0</v>
      </c>
      <c r="Q122" s="180">
        <v>1.0</v>
      </c>
      <c r="R122" s="5"/>
      <c r="S122" s="176">
        <v>0.11</v>
      </c>
      <c r="T122" s="176">
        <v>0.0</v>
      </c>
      <c r="U122" s="176">
        <v>0.15</v>
      </c>
      <c r="V122" s="176">
        <v>0.0</v>
      </c>
      <c r="W122" s="5"/>
      <c r="X122" s="184"/>
      <c r="Y122" s="184"/>
      <c r="Z122" s="176">
        <v>0.38</v>
      </c>
      <c r="AA122" s="184"/>
      <c r="AB122" s="184"/>
      <c r="AC122" s="176">
        <v>0.25</v>
      </c>
      <c r="AD122" s="5"/>
      <c r="AE122" s="176">
        <v>0.47</v>
      </c>
      <c r="AF122" s="184"/>
      <c r="AG122" s="184"/>
      <c r="AH122" s="184"/>
      <c r="AI122" s="184"/>
      <c r="AJ122" s="184"/>
      <c r="AK122" s="5"/>
      <c r="AL122" s="184">
        <f t="shared" ref="AL122:AM122" si="351">ROUND(E122*(5/12)+K122*(5/12)+S122+X122-AE122,2)</f>
        <v>-0.17</v>
      </c>
      <c r="AM122" s="184">
        <f t="shared" si="351"/>
        <v>0.06</v>
      </c>
      <c r="AN122" s="184">
        <f t="shared" si="339"/>
        <v>0</v>
      </c>
      <c r="AO122" s="184">
        <f t="shared" ref="AO122:AP122" si="352">ROUND(H122*(5/12)+N122*(5/12)+U122+Z122-AG122,2)</f>
        <v>1.03</v>
      </c>
      <c r="AP122" s="184">
        <f t="shared" si="352"/>
        <v>0.08</v>
      </c>
      <c r="AQ122" s="184">
        <f t="shared" ref="AQ122:AR122" si="353">P122+AB122-AI122</f>
        <v>1</v>
      </c>
      <c r="AR122" s="184">
        <f t="shared" si="353"/>
        <v>1.25</v>
      </c>
      <c r="AS122" s="5"/>
      <c r="AT122" s="176">
        <v>0.17</v>
      </c>
      <c r="AU122" s="176">
        <v>0.154</v>
      </c>
      <c r="AV122" s="176">
        <v>0.0</v>
      </c>
      <c r="AW122" s="176">
        <v>1.33</v>
      </c>
      <c r="AX122" s="176">
        <v>0.08</v>
      </c>
      <c r="AY122" s="176">
        <v>1.0</v>
      </c>
      <c r="AZ122" s="176">
        <v>2.0</v>
      </c>
      <c r="BA122" s="180" t="s">
        <v>1809</v>
      </c>
      <c r="BB122" s="5"/>
      <c r="BC122" s="62"/>
      <c r="BE122" s="184"/>
      <c r="BF122" s="184"/>
      <c r="BG122" s="184"/>
      <c r="BH122" s="184"/>
      <c r="BI122" s="184"/>
      <c r="BJ122" s="184"/>
      <c r="BK122" s="81"/>
      <c r="BL122" s="280" t="s">
        <v>1561</v>
      </c>
      <c r="BM122" s="81"/>
      <c r="BN122" s="81"/>
    </row>
    <row r="123">
      <c r="A123" s="176">
        <v>118.0</v>
      </c>
      <c r="B123" s="343" t="s">
        <v>1160</v>
      </c>
      <c r="C123" s="287" t="s">
        <v>1149</v>
      </c>
      <c r="D123" s="349">
        <v>3.67</v>
      </c>
      <c r="E123" s="350">
        <v>0.18</v>
      </c>
      <c r="F123" s="350">
        <v>0.15</v>
      </c>
      <c r="G123" s="366"/>
      <c r="H123" s="366"/>
      <c r="I123" s="366"/>
      <c r="J123" s="353">
        <v>3.67</v>
      </c>
      <c r="K123" s="353">
        <v>0.23</v>
      </c>
      <c r="L123" s="353">
        <v>0.1</v>
      </c>
      <c r="M123" s="369"/>
      <c r="N123" s="369"/>
      <c r="O123" s="369"/>
      <c r="P123" s="180">
        <v>1.0</v>
      </c>
      <c r="Q123" s="180">
        <v>1.0</v>
      </c>
      <c r="R123" s="5"/>
      <c r="S123" s="176">
        <v>0.0</v>
      </c>
      <c r="T123" s="176">
        <v>0.0</v>
      </c>
      <c r="U123" s="176">
        <v>0.0</v>
      </c>
      <c r="V123" s="176">
        <v>0.0</v>
      </c>
      <c r="W123" s="5"/>
      <c r="X123" s="184"/>
      <c r="Y123" s="184"/>
      <c r="Z123" s="184"/>
      <c r="AA123" s="184"/>
      <c r="AB123" s="184"/>
      <c r="AC123" s="184"/>
      <c r="AD123" s="5"/>
      <c r="AE123" s="176">
        <v>0.045</v>
      </c>
      <c r="AF123" s="184"/>
      <c r="AG123" s="184"/>
      <c r="AH123" s="184"/>
      <c r="AI123" s="184"/>
      <c r="AJ123" s="184"/>
      <c r="AK123" s="5"/>
      <c r="AL123" s="184">
        <f t="shared" ref="AL123:AM123" si="354">ROUND(E123*(5/12)+K123*(5/12)+S123+X123-AE123,2)</f>
        <v>0.13</v>
      </c>
      <c r="AM123" s="184">
        <f t="shared" si="354"/>
        <v>0.1</v>
      </c>
      <c r="AN123" s="184">
        <f t="shared" si="339"/>
        <v>0</v>
      </c>
      <c r="AO123" s="184">
        <f t="shared" ref="AO123:AP123" si="355">ROUND(H123*(5/12)+N123*(5/12)+U123+Z123-AG123,2)</f>
        <v>0</v>
      </c>
      <c r="AP123" s="184">
        <f t="shared" si="355"/>
        <v>0</v>
      </c>
      <c r="AQ123" s="184">
        <f t="shared" ref="AQ123:AR123" si="356">P123+AB123-AI123</f>
        <v>1</v>
      </c>
      <c r="AR123" s="184">
        <f t="shared" si="356"/>
        <v>1</v>
      </c>
      <c r="AS123" s="5"/>
      <c r="AT123" s="176">
        <v>0.13</v>
      </c>
      <c r="AU123" s="176">
        <v>0.1</v>
      </c>
      <c r="AV123" s="176">
        <v>0.0</v>
      </c>
      <c r="AW123" s="176">
        <v>0.0</v>
      </c>
      <c r="AX123" s="176">
        <v>0.0</v>
      </c>
      <c r="AY123" s="176">
        <v>1.0</v>
      </c>
      <c r="AZ123" s="176">
        <v>1.0</v>
      </c>
      <c r="BA123" s="180"/>
      <c r="BB123" s="5"/>
      <c r="BC123" s="62"/>
      <c r="BE123" s="184"/>
      <c r="BF123" s="184"/>
      <c r="BG123" s="184"/>
      <c r="BH123" s="184"/>
      <c r="BI123" s="184"/>
      <c r="BJ123" s="184"/>
      <c r="BK123" s="81"/>
      <c r="BL123" s="280" t="s">
        <v>1561</v>
      </c>
      <c r="BM123" s="280" t="s">
        <v>1810</v>
      </c>
      <c r="BN123" s="81"/>
    </row>
    <row r="124">
      <c r="A124" s="176">
        <v>119.0</v>
      </c>
      <c r="B124" s="343" t="s">
        <v>1163</v>
      </c>
      <c r="C124" s="287" t="s">
        <v>1149</v>
      </c>
      <c r="D124" s="349">
        <v>3.75</v>
      </c>
      <c r="E124" s="350">
        <v>0.15</v>
      </c>
      <c r="F124" s="366"/>
      <c r="G124" s="366"/>
      <c r="H124" s="366"/>
      <c r="I124" s="350">
        <v>0.1</v>
      </c>
      <c r="J124" s="353">
        <v>3.67</v>
      </c>
      <c r="K124" s="353">
        <v>0.23</v>
      </c>
      <c r="L124" s="369"/>
      <c r="M124" s="369"/>
      <c r="N124" s="369"/>
      <c r="O124" s="353">
        <v>0.1</v>
      </c>
      <c r="P124" s="180">
        <v>1.0</v>
      </c>
      <c r="Q124" s="180">
        <v>1.0</v>
      </c>
      <c r="R124" s="5"/>
      <c r="S124" s="176">
        <v>0.0</v>
      </c>
      <c r="T124" s="176">
        <v>0.0</v>
      </c>
      <c r="U124" s="176">
        <v>0.0</v>
      </c>
      <c r="V124" s="176">
        <v>0.0</v>
      </c>
      <c r="W124" s="5"/>
      <c r="X124" s="184"/>
      <c r="Y124" s="184"/>
      <c r="Z124" s="184"/>
      <c r="AA124" s="184"/>
      <c r="AB124" s="184"/>
      <c r="AC124" s="184"/>
      <c r="AD124" s="5"/>
      <c r="AE124" s="176">
        <v>0.02</v>
      </c>
      <c r="AF124" s="184"/>
      <c r="AG124" s="184"/>
      <c r="AH124" s="184"/>
      <c r="AI124" s="184"/>
      <c r="AJ124" s="184"/>
      <c r="AK124" s="5"/>
      <c r="AL124" s="184">
        <f t="shared" ref="AL124:AM124" si="357">ROUND(E124*(5/12)+K124*(5/12)+S124+X124-AE124,2)</f>
        <v>0.14</v>
      </c>
      <c r="AM124" s="184">
        <f t="shared" si="357"/>
        <v>0</v>
      </c>
      <c r="AN124" s="184">
        <f t="shared" si="339"/>
        <v>0</v>
      </c>
      <c r="AO124" s="184">
        <f t="shared" ref="AO124:AP124" si="358">ROUND(H124*(5/12)+N124*(5/12)+U124+Z124-AG124,2)</f>
        <v>0</v>
      </c>
      <c r="AP124" s="184">
        <f t="shared" si="358"/>
        <v>0.08</v>
      </c>
      <c r="AQ124" s="184">
        <f t="shared" ref="AQ124:AR124" si="359">P124+AB124-AI124</f>
        <v>1</v>
      </c>
      <c r="AR124" s="184">
        <f t="shared" si="359"/>
        <v>1</v>
      </c>
      <c r="AS124" s="5"/>
      <c r="AT124" s="176">
        <v>0.0</v>
      </c>
      <c r="AU124" s="176">
        <v>0.0</v>
      </c>
      <c r="AV124" s="176">
        <v>0.0</v>
      </c>
      <c r="AW124" s="176">
        <v>0.0</v>
      </c>
      <c r="AX124" s="176">
        <v>0.0</v>
      </c>
      <c r="AY124" s="176">
        <v>0.0</v>
      </c>
      <c r="AZ124" s="176">
        <v>0.0</v>
      </c>
      <c r="BA124" s="180" t="s">
        <v>1811</v>
      </c>
      <c r="BB124" s="5"/>
      <c r="BC124" s="62"/>
      <c r="BE124" s="184"/>
      <c r="BF124" s="184"/>
      <c r="BG124" s="184"/>
      <c r="BH124" s="184"/>
      <c r="BI124" s="184"/>
      <c r="BJ124" s="184"/>
      <c r="BK124" s="81"/>
      <c r="BL124" s="280" t="s">
        <v>1561</v>
      </c>
      <c r="BM124" s="81"/>
      <c r="BN124" s="81"/>
    </row>
    <row r="125">
      <c r="A125" s="176">
        <v>120.0</v>
      </c>
      <c r="B125" s="343" t="s">
        <v>1165</v>
      </c>
      <c r="C125" s="287" t="s">
        <v>1149</v>
      </c>
      <c r="D125" s="349">
        <v>3.75</v>
      </c>
      <c r="E125" s="350">
        <v>0.25</v>
      </c>
      <c r="F125" s="350"/>
      <c r="G125" s="366"/>
      <c r="H125" s="366"/>
      <c r="I125" s="366"/>
      <c r="J125" s="353">
        <v>3.67</v>
      </c>
      <c r="K125" s="353">
        <v>0.23</v>
      </c>
      <c r="L125" s="353">
        <v>0.1</v>
      </c>
      <c r="M125" s="369"/>
      <c r="N125" s="369"/>
      <c r="O125" s="369"/>
      <c r="P125" s="180">
        <v>1.0</v>
      </c>
      <c r="Q125" s="180">
        <v>1.0</v>
      </c>
      <c r="R125" s="5"/>
      <c r="S125" s="176">
        <v>0.0</v>
      </c>
      <c r="T125" s="176">
        <v>0.0</v>
      </c>
      <c r="U125" s="176">
        <v>0.0</v>
      </c>
      <c r="V125" s="176">
        <v>0.0</v>
      </c>
      <c r="W125" s="5"/>
      <c r="X125" s="176">
        <v>0.14</v>
      </c>
      <c r="Y125" s="184"/>
      <c r="Z125" s="176">
        <v>0.08</v>
      </c>
      <c r="AA125" s="184"/>
      <c r="AB125" s="184"/>
      <c r="AC125" s="184"/>
      <c r="AD125" s="5"/>
      <c r="AE125" s="184"/>
      <c r="AF125" s="184"/>
      <c r="AG125" s="184"/>
      <c r="AH125" s="184"/>
      <c r="AI125" s="184"/>
      <c r="AJ125" s="184"/>
      <c r="AK125" s="5"/>
      <c r="AL125" s="184">
        <f t="shared" ref="AL125:AM125" si="360">ROUND(E125*(5/12)+K125*(5/12)+S125+X125-AE125,2)</f>
        <v>0.34</v>
      </c>
      <c r="AM125" s="184">
        <f t="shared" si="360"/>
        <v>0.04</v>
      </c>
      <c r="AN125" s="184">
        <f t="shared" si="339"/>
        <v>0</v>
      </c>
      <c r="AO125" s="184">
        <f t="shared" ref="AO125:AP125" si="361">ROUND(H125*(5/12)+N125*(5/12)+U125+Z125-AG125,2)</f>
        <v>0.08</v>
      </c>
      <c r="AP125" s="184">
        <f t="shared" si="361"/>
        <v>0</v>
      </c>
      <c r="AQ125" s="184">
        <f t="shared" ref="AQ125:AR125" si="362">P125+AB125-AI125</f>
        <v>1</v>
      </c>
      <c r="AR125" s="184">
        <f t="shared" si="362"/>
        <v>1</v>
      </c>
      <c r="AS125" s="5"/>
      <c r="AT125" s="176">
        <v>0.0</v>
      </c>
      <c r="AU125" s="176">
        <v>0.0</v>
      </c>
      <c r="AV125" s="176">
        <v>0.0</v>
      </c>
      <c r="AW125" s="176">
        <v>0.0</v>
      </c>
      <c r="AX125" s="176">
        <v>0.0</v>
      </c>
      <c r="AY125" s="176">
        <v>1.0</v>
      </c>
      <c r="AZ125" s="176">
        <v>2.0</v>
      </c>
      <c r="BA125" s="180" t="s">
        <v>1812</v>
      </c>
      <c r="BB125" s="5"/>
      <c r="BC125" s="62"/>
      <c r="BE125" s="184"/>
      <c r="BF125" s="184"/>
      <c r="BG125" s="184"/>
      <c r="BH125" s="184"/>
      <c r="BI125" s="184"/>
      <c r="BJ125" s="184"/>
      <c r="BK125" s="81"/>
      <c r="BL125" s="280" t="s">
        <v>1561</v>
      </c>
      <c r="BM125" s="280" t="s">
        <v>1813</v>
      </c>
      <c r="BN125" s="81"/>
    </row>
    <row r="126">
      <c r="A126" s="176">
        <v>121.0</v>
      </c>
      <c r="B126" s="343" t="s">
        <v>1169</v>
      </c>
      <c r="C126" s="287" t="s">
        <v>1149</v>
      </c>
      <c r="D126" s="349">
        <v>4.0</v>
      </c>
      <c r="E126" s="351"/>
      <c r="F126" s="370"/>
      <c r="G126" s="370"/>
      <c r="H126" s="370"/>
      <c r="I126" s="370"/>
      <c r="J126" s="353">
        <v>4.67</v>
      </c>
      <c r="K126" s="353">
        <v>0.23</v>
      </c>
      <c r="L126" s="353">
        <v>0.1</v>
      </c>
      <c r="M126" s="371"/>
      <c r="N126" s="371"/>
      <c r="O126" s="371"/>
      <c r="P126" s="180">
        <v>1.0</v>
      </c>
      <c r="Q126" s="180">
        <v>1.0</v>
      </c>
      <c r="R126" s="5"/>
      <c r="S126" s="176">
        <v>0.06</v>
      </c>
      <c r="T126" s="176">
        <v>0.0</v>
      </c>
      <c r="U126" s="176">
        <v>0.0</v>
      </c>
      <c r="V126" s="176">
        <v>0.0</v>
      </c>
      <c r="W126" s="5"/>
      <c r="X126" s="184"/>
      <c r="Y126" s="184"/>
      <c r="Z126" s="184"/>
      <c r="AA126" s="184"/>
      <c r="AB126" s="184"/>
      <c r="AC126" s="184"/>
      <c r="AD126" s="5"/>
      <c r="AE126" s="176">
        <v>0.135</v>
      </c>
      <c r="AF126" s="184"/>
      <c r="AG126" s="184"/>
      <c r="AH126" s="184"/>
      <c r="AI126" s="184"/>
      <c r="AJ126" s="184"/>
      <c r="AK126" s="5"/>
      <c r="AL126" s="184">
        <f t="shared" ref="AL126:AM126" si="363">ROUND(E126*(5/12)+K126*(5/12)+S126+X126-AE126,2)</f>
        <v>0.02</v>
      </c>
      <c r="AM126" s="184">
        <f t="shared" si="363"/>
        <v>0.04</v>
      </c>
      <c r="AN126" s="184">
        <f t="shared" si="339"/>
        <v>0</v>
      </c>
      <c r="AO126" s="184">
        <f t="shared" ref="AO126:AP126" si="364">ROUND(H126*(5/12)+N126*(5/12)+U126+Z126-AG126,2)</f>
        <v>0</v>
      </c>
      <c r="AP126" s="184">
        <f t="shared" si="364"/>
        <v>0</v>
      </c>
      <c r="AQ126" s="184">
        <f t="shared" ref="AQ126:AR126" si="365">P126+AB126-AI126</f>
        <v>1</v>
      </c>
      <c r="AR126" s="184">
        <f t="shared" si="365"/>
        <v>1</v>
      </c>
      <c r="AS126" s="5"/>
      <c r="AT126" s="176">
        <v>0.0</v>
      </c>
      <c r="AU126" s="176">
        <v>0.0</v>
      </c>
      <c r="AV126" s="176">
        <v>0.0</v>
      </c>
      <c r="AW126" s="176">
        <v>0.0</v>
      </c>
      <c r="AX126" s="176">
        <v>0.0</v>
      </c>
      <c r="AY126" s="176">
        <v>1.0</v>
      </c>
      <c r="AZ126" s="176">
        <v>1.0</v>
      </c>
      <c r="BA126" s="180" t="s">
        <v>1814</v>
      </c>
      <c r="BB126" s="5"/>
      <c r="BC126" s="62"/>
      <c r="BE126" s="198">
        <v>0.075</v>
      </c>
      <c r="BF126" s="184"/>
      <c r="BG126" s="184"/>
      <c r="BH126" s="184"/>
      <c r="BI126" s="184"/>
      <c r="BJ126" s="184"/>
      <c r="BK126" s="81"/>
      <c r="BL126" s="280" t="s">
        <v>1561</v>
      </c>
      <c r="BM126" s="81"/>
      <c r="BN126" s="81"/>
    </row>
    <row r="127">
      <c r="A127" s="176">
        <v>122.0</v>
      </c>
      <c r="B127" s="372" t="s">
        <v>281</v>
      </c>
      <c r="C127" s="287" t="s">
        <v>282</v>
      </c>
      <c r="D127" s="245">
        <v>3.33</v>
      </c>
      <c r="E127" s="245">
        <v>0.36</v>
      </c>
      <c r="F127" s="245">
        <v>0.15</v>
      </c>
      <c r="G127" s="245">
        <v>0.1</v>
      </c>
      <c r="H127" s="373"/>
      <c r="I127" s="245">
        <v>0.06</v>
      </c>
      <c r="J127" s="258">
        <v>2.33</v>
      </c>
      <c r="K127" s="258">
        <v>0.47</v>
      </c>
      <c r="L127" s="258">
        <v>0.1</v>
      </c>
      <c r="M127" s="258">
        <v>0.1</v>
      </c>
      <c r="N127" s="269"/>
      <c r="O127" s="269"/>
      <c r="P127" s="180">
        <v>1.0</v>
      </c>
      <c r="Q127" s="180">
        <v>1.0</v>
      </c>
      <c r="R127" s="5"/>
      <c r="S127" s="176">
        <v>0.1</v>
      </c>
      <c r="T127" s="176">
        <v>0.02</v>
      </c>
      <c r="U127" s="176">
        <v>0.0</v>
      </c>
      <c r="V127" s="176">
        <v>0.0</v>
      </c>
      <c r="W127" s="5"/>
      <c r="X127" s="176">
        <v>0.86</v>
      </c>
      <c r="Y127" s="176">
        <v>1.334</v>
      </c>
      <c r="Z127" s="184"/>
      <c r="AA127" s="184"/>
      <c r="AB127" s="184"/>
      <c r="AC127" s="184"/>
      <c r="AD127" s="5"/>
      <c r="AE127" s="184"/>
      <c r="AF127" s="184"/>
      <c r="AG127" s="184"/>
      <c r="AH127" s="184"/>
      <c r="AI127" s="184"/>
      <c r="AJ127" s="184"/>
      <c r="AK127" s="5"/>
      <c r="AL127" s="184">
        <f t="shared" ref="AL127:AM127" si="366">ROUND(E127*(5/12)+K127*(5/12)+S127+X127-AE127,2)</f>
        <v>1.31</v>
      </c>
      <c r="AM127" s="184">
        <f t="shared" si="366"/>
        <v>1.46</v>
      </c>
      <c r="AN127" s="184">
        <f t="shared" si="339"/>
        <v>0.08</v>
      </c>
      <c r="AO127" s="184">
        <f t="shared" ref="AO127:AP127" si="367">ROUND(H127*(5/12)+N127*(5/12)+U127+Z127-AG127,2)</f>
        <v>0</v>
      </c>
      <c r="AP127" s="184">
        <f t="shared" si="367"/>
        <v>0.03</v>
      </c>
      <c r="AQ127" s="184">
        <f t="shared" ref="AQ127:AR127" si="368">P127+AB127-AI127</f>
        <v>1</v>
      </c>
      <c r="AR127" s="184">
        <f t="shared" si="368"/>
        <v>1</v>
      </c>
      <c r="AS127" s="5"/>
      <c r="AT127" s="176">
        <v>0.0</v>
      </c>
      <c r="AU127" s="176">
        <v>0.0</v>
      </c>
      <c r="AV127" s="176">
        <v>0.1</v>
      </c>
      <c r="AW127" s="176">
        <v>0.0</v>
      </c>
      <c r="AX127" s="176">
        <v>0.033</v>
      </c>
      <c r="AY127" s="176">
        <v>0.0</v>
      </c>
      <c r="AZ127" s="176">
        <v>1.0</v>
      </c>
      <c r="BA127" s="52" t="s">
        <v>1815</v>
      </c>
      <c r="BB127" s="5"/>
      <c r="BC127" s="62"/>
      <c r="BE127" s="184"/>
      <c r="BF127" s="184"/>
      <c r="BG127" s="184"/>
      <c r="BH127" s="184"/>
      <c r="BI127" s="184"/>
      <c r="BJ127" s="184"/>
      <c r="BK127" s="81"/>
      <c r="BL127" s="305" t="s">
        <v>1561</v>
      </c>
      <c r="BM127" s="81"/>
      <c r="BN127" s="81"/>
    </row>
    <row r="128">
      <c r="A128" s="176">
        <v>123.0</v>
      </c>
      <c r="B128" s="372" t="s">
        <v>283</v>
      </c>
      <c r="C128" s="287" t="s">
        <v>282</v>
      </c>
      <c r="D128" s="245">
        <v>3.67</v>
      </c>
      <c r="E128" s="245">
        <v>0.002</v>
      </c>
      <c r="F128" s="245">
        <v>0.15</v>
      </c>
      <c r="G128" s="245">
        <v>0.1</v>
      </c>
      <c r="H128" s="245">
        <v>0.35</v>
      </c>
      <c r="I128" s="245">
        <v>0.058</v>
      </c>
      <c r="J128" s="258">
        <v>3.0</v>
      </c>
      <c r="K128" s="258">
        <v>0.6</v>
      </c>
      <c r="L128" s="258">
        <v>0.4</v>
      </c>
      <c r="M128" s="268"/>
      <c r="N128" s="268"/>
      <c r="O128" s="269"/>
      <c r="P128" s="180">
        <v>1.0</v>
      </c>
      <c r="Q128" s="180">
        <v>1.0</v>
      </c>
      <c r="R128" s="5"/>
      <c r="S128" s="176">
        <v>0.04</v>
      </c>
      <c r="T128" s="176">
        <v>0.02</v>
      </c>
      <c r="U128" s="176">
        <v>0.06</v>
      </c>
      <c r="V128" s="176">
        <v>0.0</v>
      </c>
      <c r="W128" s="5"/>
      <c r="X128" s="176">
        <v>0.18</v>
      </c>
      <c r="Y128" s="176">
        <v>0.042</v>
      </c>
      <c r="Z128" s="176">
        <v>0.055</v>
      </c>
      <c r="AA128" s="184"/>
      <c r="AB128" s="176">
        <v>1.0</v>
      </c>
      <c r="AC128" s="184"/>
      <c r="AD128" s="5"/>
      <c r="AE128" s="184"/>
      <c r="AF128" s="184"/>
      <c r="AG128" s="184"/>
      <c r="AH128" s="184"/>
      <c r="AI128" s="184"/>
      <c r="AJ128" s="184"/>
      <c r="AK128" s="5"/>
      <c r="AL128" s="184">
        <f t="shared" ref="AL128:AM128" si="369">ROUND(E128*(5/12)+K128*(5/12)+S128+X128-AE128,2)</f>
        <v>0.47</v>
      </c>
      <c r="AM128" s="184">
        <f t="shared" si="369"/>
        <v>0.29</v>
      </c>
      <c r="AN128" s="184">
        <f t="shared" si="339"/>
        <v>0.04</v>
      </c>
      <c r="AO128" s="184">
        <f t="shared" ref="AO128:AP128" si="370">ROUND(H128*(5/12)+N128*(5/12)+U128+Z128-AG128,2)</f>
        <v>0.26</v>
      </c>
      <c r="AP128" s="184">
        <f t="shared" si="370"/>
        <v>0.02</v>
      </c>
      <c r="AQ128" s="184">
        <f t="shared" ref="AQ128:AR128" si="371">P128+AB128-AI128</f>
        <v>2</v>
      </c>
      <c r="AR128" s="184">
        <f t="shared" si="371"/>
        <v>1</v>
      </c>
      <c r="AS128" s="5"/>
      <c r="AT128" s="176">
        <v>0.0</v>
      </c>
      <c r="AU128" s="176">
        <v>0.0067</v>
      </c>
      <c r="AV128" s="176">
        <v>0.1</v>
      </c>
      <c r="AW128" s="176">
        <v>0.33</v>
      </c>
      <c r="AX128" s="176">
        <v>0.02</v>
      </c>
      <c r="AY128" s="176">
        <v>1.0</v>
      </c>
      <c r="AZ128" s="176">
        <v>1.0</v>
      </c>
      <c r="BA128" s="180" t="s">
        <v>1816</v>
      </c>
      <c r="BB128" s="5"/>
      <c r="BC128" s="62"/>
      <c r="BE128" s="184"/>
      <c r="BF128" s="184"/>
      <c r="BG128" s="184"/>
      <c r="BH128" s="184"/>
      <c r="BI128" s="184"/>
      <c r="BJ128" s="184"/>
      <c r="BK128" s="81"/>
      <c r="BL128" s="305" t="s">
        <v>1561</v>
      </c>
      <c r="BM128" s="81"/>
      <c r="BN128" s="81"/>
    </row>
    <row r="129">
      <c r="A129" s="176">
        <v>124.0</v>
      </c>
      <c r="B129" s="372" t="s">
        <v>284</v>
      </c>
      <c r="C129" s="287" t="s">
        <v>282</v>
      </c>
      <c r="D129" s="245">
        <v>3.67</v>
      </c>
      <c r="E129" s="245">
        <v>0.402</v>
      </c>
      <c r="F129" s="245">
        <v>0.1</v>
      </c>
      <c r="G129" s="245">
        <v>0.1</v>
      </c>
      <c r="H129" s="373"/>
      <c r="I129" s="245">
        <v>0.058</v>
      </c>
      <c r="J129" s="258">
        <v>3.33</v>
      </c>
      <c r="K129" s="258">
        <v>0.57</v>
      </c>
      <c r="L129" s="258">
        <v>0.1</v>
      </c>
      <c r="M129" s="268"/>
      <c r="N129" s="268"/>
      <c r="O129" s="269"/>
      <c r="P129" s="180">
        <v>1.0</v>
      </c>
      <c r="Q129" s="180">
        <v>1.0</v>
      </c>
      <c r="R129" s="5"/>
      <c r="S129" s="176">
        <v>0.04</v>
      </c>
      <c r="T129" s="176">
        <v>0.02</v>
      </c>
      <c r="U129" s="176">
        <v>0.06</v>
      </c>
      <c r="V129" s="176">
        <v>0.0</v>
      </c>
      <c r="W129" s="5"/>
      <c r="X129" s="184"/>
      <c r="Y129" s="176">
        <v>0.042</v>
      </c>
      <c r="Z129" s="176">
        <v>0.055</v>
      </c>
      <c r="AA129" s="184"/>
      <c r="AB129" s="184"/>
      <c r="AC129" s="184"/>
      <c r="AD129" s="5"/>
      <c r="AE129" s="176">
        <v>0.22</v>
      </c>
      <c r="AF129" s="184"/>
      <c r="AG129" s="184"/>
      <c r="AH129" s="184"/>
      <c r="AI129" s="184"/>
      <c r="AJ129" s="184"/>
      <c r="AK129" s="5"/>
      <c r="AL129" s="184">
        <f t="shared" ref="AL129:AM129" si="372">ROUND(E129*(5/12)+K129*(5/12)+S129+X129-AE129,2)</f>
        <v>0.23</v>
      </c>
      <c r="AM129" s="184">
        <f t="shared" si="372"/>
        <v>0.15</v>
      </c>
      <c r="AN129" s="184">
        <f t="shared" si="339"/>
        <v>0.04</v>
      </c>
      <c r="AO129" s="184">
        <f t="shared" ref="AO129:AP129" si="373">ROUND(H129*(5/12)+N129*(5/12)+U129+Z129-AG129,2)</f>
        <v>0.12</v>
      </c>
      <c r="AP129" s="184">
        <f t="shared" si="373"/>
        <v>0.02</v>
      </c>
      <c r="AQ129" s="184">
        <f t="shared" ref="AQ129:AR129" si="374">P129+AB129-AI129</f>
        <v>1</v>
      </c>
      <c r="AR129" s="184">
        <f t="shared" si="374"/>
        <v>1</v>
      </c>
      <c r="AS129" s="5"/>
      <c r="AT129" s="176">
        <v>0.0</v>
      </c>
      <c r="AU129" s="176">
        <v>0.0067</v>
      </c>
      <c r="AV129" s="176">
        <v>0.1</v>
      </c>
      <c r="AW129" s="176">
        <v>0.12</v>
      </c>
      <c r="AX129" s="176">
        <v>0.02</v>
      </c>
      <c r="AY129" s="176">
        <v>1.0</v>
      </c>
      <c r="AZ129" s="176">
        <v>1.0</v>
      </c>
      <c r="BA129" s="180" t="s">
        <v>1817</v>
      </c>
      <c r="BB129" s="5"/>
      <c r="BC129" s="62"/>
      <c r="BE129" s="184"/>
      <c r="BF129" s="184"/>
      <c r="BG129" s="184"/>
      <c r="BH129" s="184"/>
      <c r="BI129" s="184"/>
      <c r="BJ129" s="184"/>
      <c r="BK129" s="81"/>
      <c r="BL129" s="305" t="s">
        <v>1561</v>
      </c>
      <c r="BM129" s="81"/>
      <c r="BN129" s="280" t="s">
        <v>1818</v>
      </c>
    </row>
    <row r="130">
      <c r="A130" s="176">
        <v>125.0</v>
      </c>
      <c r="B130" s="372" t="s">
        <v>285</v>
      </c>
      <c r="C130" s="287" t="s">
        <v>282</v>
      </c>
      <c r="D130" s="245">
        <v>4.17</v>
      </c>
      <c r="E130" s="245">
        <v>0.322</v>
      </c>
      <c r="F130" s="245">
        <v>0.1</v>
      </c>
      <c r="G130" s="245">
        <v>0.1</v>
      </c>
      <c r="H130" s="373"/>
      <c r="I130" s="245">
        <v>0.058</v>
      </c>
      <c r="J130" s="258">
        <v>3.0</v>
      </c>
      <c r="K130" s="268"/>
      <c r="L130" s="268"/>
      <c r="M130" s="258">
        <v>0.2</v>
      </c>
      <c r="N130" s="258">
        <v>0.4</v>
      </c>
      <c r="O130" s="258">
        <v>0.4</v>
      </c>
      <c r="P130" s="180">
        <v>1.0</v>
      </c>
      <c r="Q130" s="180">
        <v>1.0</v>
      </c>
      <c r="R130" s="5"/>
      <c r="S130" s="176">
        <v>0.04</v>
      </c>
      <c r="T130" s="176">
        <v>0.02</v>
      </c>
      <c r="U130" s="176">
        <v>0.0</v>
      </c>
      <c r="V130" s="176">
        <v>0.06</v>
      </c>
      <c r="W130" s="5"/>
      <c r="X130" s="176">
        <v>0.99</v>
      </c>
      <c r="Y130" s="176">
        <v>0.04</v>
      </c>
      <c r="Z130" s="176">
        <v>0.5</v>
      </c>
      <c r="AA130" s="176">
        <v>0.31</v>
      </c>
      <c r="AB130" s="176">
        <v>2.0</v>
      </c>
      <c r="AC130" s="176">
        <v>2.0</v>
      </c>
      <c r="AD130" s="5"/>
      <c r="AE130" s="184"/>
      <c r="AF130" s="184"/>
      <c r="AG130" s="184"/>
      <c r="AH130" s="184"/>
      <c r="AI130" s="184"/>
      <c r="AJ130" s="184"/>
      <c r="AK130" s="5"/>
      <c r="AL130" s="184">
        <f t="shared" ref="AL130:AM130" si="375">ROUND(E130*(5/12)+K130*(5/12)+S130+X130-AE130,2)</f>
        <v>1.16</v>
      </c>
      <c r="AM130" s="184">
        <f t="shared" si="375"/>
        <v>0.1</v>
      </c>
      <c r="AN130" s="184">
        <f t="shared" si="339"/>
        <v>0.13</v>
      </c>
      <c r="AO130" s="184">
        <f t="shared" ref="AO130:AP130" si="376">ROUND(H130*(5/12)+N130*(5/12)+U130+Z130-AG130,2)</f>
        <v>0.67</v>
      </c>
      <c r="AP130" s="184">
        <f t="shared" si="376"/>
        <v>0.56</v>
      </c>
      <c r="AQ130" s="184">
        <f t="shared" ref="AQ130:AR130" si="377">P130+AB130-AI130</f>
        <v>3</v>
      </c>
      <c r="AR130" s="184">
        <f t="shared" si="377"/>
        <v>3</v>
      </c>
      <c r="AS130" s="5"/>
      <c r="AT130" s="374">
        <v>0.0</v>
      </c>
      <c r="AU130" s="374">
        <v>0.0</v>
      </c>
      <c r="AV130" s="176">
        <v>0.2</v>
      </c>
      <c r="AW130" s="176">
        <v>0.0</v>
      </c>
      <c r="AX130" s="176">
        <v>0.0</v>
      </c>
      <c r="AY130" s="176">
        <v>0.0</v>
      </c>
      <c r="AZ130" s="176">
        <v>0.0</v>
      </c>
      <c r="BA130" s="205" t="s">
        <v>1819</v>
      </c>
      <c r="BB130" s="5"/>
      <c r="BC130" s="62"/>
      <c r="BE130" s="184"/>
      <c r="BF130" s="184"/>
      <c r="BG130" s="184"/>
      <c r="BH130" s="184"/>
      <c r="BI130" s="184"/>
      <c r="BJ130" s="184"/>
      <c r="BK130" s="81"/>
      <c r="BL130" s="305" t="s">
        <v>1561</v>
      </c>
      <c r="BM130" s="81"/>
      <c r="BN130" s="81"/>
    </row>
    <row r="131">
      <c r="A131" s="176">
        <v>126.0</v>
      </c>
      <c r="B131" s="372" t="s">
        <v>286</v>
      </c>
      <c r="C131" s="287" t="s">
        <v>282</v>
      </c>
      <c r="D131" s="245">
        <v>3.66</v>
      </c>
      <c r="E131" s="245">
        <v>0.412</v>
      </c>
      <c r="F131" s="245">
        <v>0.1</v>
      </c>
      <c r="G131" s="245">
        <v>0.1</v>
      </c>
      <c r="H131" s="373"/>
      <c r="I131" s="245">
        <v>0.058</v>
      </c>
      <c r="J131" s="258">
        <v>3.33</v>
      </c>
      <c r="K131" s="258">
        <v>0.47</v>
      </c>
      <c r="L131" s="258">
        <v>0.1</v>
      </c>
      <c r="M131" s="258">
        <v>0.1</v>
      </c>
      <c r="N131" s="269"/>
      <c r="O131" s="269"/>
      <c r="P131" s="180">
        <v>1.0</v>
      </c>
      <c r="Q131" s="180">
        <v>1.0</v>
      </c>
      <c r="R131" s="5"/>
      <c r="S131" s="176">
        <v>0.1</v>
      </c>
      <c r="T131" s="176">
        <v>0.02</v>
      </c>
      <c r="U131" s="176">
        <v>0.0</v>
      </c>
      <c r="V131" s="176">
        <v>0.0</v>
      </c>
      <c r="W131" s="5"/>
      <c r="X131" s="176">
        <v>0.27</v>
      </c>
      <c r="Y131" s="176">
        <v>0.042</v>
      </c>
      <c r="Z131" s="184"/>
      <c r="AA131" s="184"/>
      <c r="AB131" s="176">
        <v>1.0</v>
      </c>
      <c r="AC131" s="176">
        <v>2.0</v>
      </c>
      <c r="AD131" s="5"/>
      <c r="AE131" s="184"/>
      <c r="AF131" s="184"/>
      <c r="AG131" s="184"/>
      <c r="AH131" s="184"/>
      <c r="AI131" s="184"/>
      <c r="AJ131" s="184"/>
      <c r="AK131" s="5"/>
      <c r="AL131" s="184">
        <f t="shared" ref="AL131:AM131" si="378">ROUND(E131*(5/12)+K131*(5/12)+S131+X131-AE131,2)</f>
        <v>0.74</v>
      </c>
      <c r="AM131" s="184">
        <f t="shared" si="378"/>
        <v>0.15</v>
      </c>
      <c r="AN131" s="184">
        <f t="shared" si="339"/>
        <v>0.08</v>
      </c>
      <c r="AO131" s="184">
        <f t="shared" ref="AO131:AP131" si="379">ROUND(H131*(5/12)+N131*(5/12)+U131+Z131-AG131,2)</f>
        <v>0</v>
      </c>
      <c r="AP131" s="184">
        <f t="shared" si="379"/>
        <v>0.02</v>
      </c>
      <c r="AQ131" s="184">
        <f t="shared" ref="AQ131:AR131" si="380">P131+AB131-AI131</f>
        <v>2</v>
      </c>
      <c r="AR131" s="184">
        <f t="shared" si="380"/>
        <v>3</v>
      </c>
      <c r="AS131" s="5"/>
      <c r="AT131" s="176">
        <v>0.0</v>
      </c>
      <c r="AU131" s="176">
        <v>0.0</v>
      </c>
      <c r="AV131" s="176">
        <v>0.05</v>
      </c>
      <c r="AW131" s="176">
        <v>0.0</v>
      </c>
      <c r="AX131" s="176">
        <v>0.0</v>
      </c>
      <c r="AY131" s="176">
        <v>1.0</v>
      </c>
      <c r="AZ131" s="176">
        <v>2.0</v>
      </c>
      <c r="BA131" s="195" t="s">
        <v>1820</v>
      </c>
      <c r="BB131" s="5"/>
      <c r="BC131" s="62"/>
      <c r="BE131" s="184"/>
      <c r="BF131" s="184"/>
      <c r="BG131" s="184"/>
      <c r="BH131" s="184"/>
      <c r="BI131" s="184"/>
      <c r="BJ131" s="184"/>
      <c r="BK131" s="81"/>
      <c r="BL131" s="280" t="s">
        <v>1561</v>
      </c>
      <c r="BM131" s="81"/>
      <c r="BN131" s="81"/>
    </row>
    <row r="132">
      <c r="A132" s="176">
        <v>127.0</v>
      </c>
      <c r="B132" s="372" t="s">
        <v>287</v>
      </c>
      <c r="C132" s="287" t="s">
        <v>282</v>
      </c>
      <c r="D132" s="245">
        <v>3.33</v>
      </c>
      <c r="E132" s="245">
        <v>0.742</v>
      </c>
      <c r="F132" s="245">
        <v>0.1</v>
      </c>
      <c r="G132" s="245">
        <v>0.1</v>
      </c>
      <c r="H132" s="373"/>
      <c r="I132" s="245">
        <v>0.058</v>
      </c>
      <c r="J132" s="258">
        <v>3.33</v>
      </c>
      <c r="K132" s="258">
        <v>0.47</v>
      </c>
      <c r="L132" s="258">
        <v>0.1</v>
      </c>
      <c r="M132" s="258">
        <v>0.1</v>
      </c>
      <c r="N132" s="269"/>
      <c r="O132" s="269"/>
      <c r="P132" s="180">
        <v>1.0</v>
      </c>
      <c r="Q132" s="180">
        <v>1.0</v>
      </c>
      <c r="R132" s="5"/>
      <c r="S132" s="176">
        <v>0.1</v>
      </c>
      <c r="T132" s="176">
        <v>0.02</v>
      </c>
      <c r="U132" s="176">
        <v>0.0</v>
      </c>
      <c r="V132" s="176">
        <v>0.0</v>
      </c>
      <c r="W132" s="5"/>
      <c r="X132" s="184"/>
      <c r="Y132" s="176">
        <v>0.042</v>
      </c>
      <c r="Z132" s="184"/>
      <c r="AA132" s="184"/>
      <c r="AB132" s="184"/>
      <c r="AC132" s="184"/>
      <c r="AD132" s="5"/>
      <c r="AE132" s="176">
        <v>0.4</v>
      </c>
      <c r="AF132" s="184"/>
      <c r="AG132" s="176">
        <v>0.16</v>
      </c>
      <c r="AH132" s="184"/>
      <c r="AI132" s="184"/>
      <c r="AJ132" s="176">
        <v>1.0</v>
      </c>
      <c r="AK132" s="5"/>
      <c r="AL132" s="184">
        <f t="shared" ref="AL132:AM132" si="381">ROUND(E132*(5/12)+K132*(5/12)+S132+X132-AE132,2)</f>
        <v>0.21</v>
      </c>
      <c r="AM132" s="184">
        <f t="shared" si="381"/>
        <v>0.15</v>
      </c>
      <c r="AN132" s="184">
        <f t="shared" si="339"/>
        <v>0.08</v>
      </c>
      <c r="AO132" s="184">
        <f t="shared" ref="AO132:AP132" si="382">ROUND(H132*(5/12)+N132*(5/12)+U132+Z132-AG132,2)</f>
        <v>-0.16</v>
      </c>
      <c r="AP132" s="184">
        <f t="shared" si="382"/>
        <v>0.02</v>
      </c>
      <c r="AQ132" s="184">
        <f t="shared" ref="AQ132:AR132" si="383">P132+AB132-AI132</f>
        <v>1</v>
      </c>
      <c r="AR132" s="184">
        <f t="shared" si="383"/>
        <v>0</v>
      </c>
      <c r="AS132" s="5"/>
      <c r="AT132" s="176">
        <v>0.75</v>
      </c>
      <c r="AU132" s="176">
        <v>0.0067</v>
      </c>
      <c r="AV132" s="176">
        <v>0.05</v>
      </c>
      <c r="AW132" s="176">
        <v>0.0</v>
      </c>
      <c r="AX132" s="176">
        <v>0.0</v>
      </c>
      <c r="AY132" s="176">
        <v>1.0</v>
      </c>
      <c r="AZ132" s="176">
        <v>1.0</v>
      </c>
      <c r="BA132" s="180" t="s">
        <v>1821</v>
      </c>
      <c r="BB132" s="5"/>
      <c r="BC132" s="62"/>
      <c r="BE132" s="184"/>
      <c r="BF132" s="184"/>
      <c r="BG132" s="184"/>
      <c r="BH132" s="184"/>
      <c r="BI132" s="184"/>
      <c r="BJ132" s="184"/>
      <c r="BK132" s="81"/>
      <c r="BL132" s="81"/>
      <c r="BM132" s="81"/>
      <c r="BN132" s="280" t="s">
        <v>1822</v>
      </c>
    </row>
    <row r="133">
      <c r="A133" s="176">
        <v>128.0</v>
      </c>
      <c r="B133" s="375" t="s">
        <v>288</v>
      </c>
      <c r="C133" s="287" t="s">
        <v>282</v>
      </c>
      <c r="D133" s="245">
        <v>3.67</v>
      </c>
      <c r="E133" s="245">
        <v>0.56</v>
      </c>
      <c r="F133" s="373"/>
      <c r="G133" s="245">
        <v>0.1</v>
      </c>
      <c r="H133" s="373"/>
      <c r="I133" s="373"/>
      <c r="J133" s="258">
        <v>3.33</v>
      </c>
      <c r="K133" s="258">
        <v>0.57</v>
      </c>
      <c r="L133" s="268"/>
      <c r="M133" s="258">
        <v>0.1</v>
      </c>
      <c r="N133" s="269"/>
      <c r="O133" s="269"/>
      <c r="P133" s="180">
        <v>1.0</v>
      </c>
      <c r="Q133" s="180">
        <v>1.0</v>
      </c>
      <c r="R133" s="5"/>
      <c r="S133" s="176">
        <v>0.1</v>
      </c>
      <c r="T133" s="176">
        <v>0.02</v>
      </c>
      <c r="U133" s="176">
        <v>0.0</v>
      </c>
      <c r="V133" s="176">
        <v>0.0</v>
      </c>
      <c r="W133" s="5"/>
      <c r="X133" s="176">
        <v>0.02</v>
      </c>
      <c r="Y133" s="176">
        <v>0.042</v>
      </c>
      <c r="Z133" s="184"/>
      <c r="AA133" s="184"/>
      <c r="AB133" s="176">
        <v>0.67</v>
      </c>
      <c r="AC133" s="176">
        <v>0.67</v>
      </c>
      <c r="AD133" s="5"/>
      <c r="AE133" s="184"/>
      <c r="AF133" s="184"/>
      <c r="AG133" s="184"/>
      <c r="AH133" s="184"/>
      <c r="AI133" s="184"/>
      <c r="AJ133" s="184"/>
      <c r="AK133" s="5"/>
      <c r="AL133" s="184">
        <f t="shared" ref="AL133:AM133" si="384">ROUND(E133*(5/12)+K133*(5/12)+S133+X133-AE133,2)</f>
        <v>0.59</v>
      </c>
      <c r="AM133" s="184">
        <f t="shared" si="384"/>
        <v>0.06</v>
      </c>
      <c r="AN133" s="184">
        <f t="shared" si="339"/>
        <v>0.08</v>
      </c>
      <c r="AO133" s="184">
        <f t="shared" ref="AO133:AP133" si="385">ROUND(H133*(5/12)+N133*(5/12)+U133+Z133-AG133,2)</f>
        <v>0</v>
      </c>
      <c r="AP133" s="184">
        <f t="shared" si="385"/>
        <v>0</v>
      </c>
      <c r="AQ133" s="184">
        <f t="shared" ref="AQ133:AR133" si="386">P133+AB133-AI133</f>
        <v>1.67</v>
      </c>
      <c r="AR133" s="184">
        <f t="shared" si="386"/>
        <v>1.67</v>
      </c>
      <c r="AS133" s="5"/>
      <c r="AT133" s="176">
        <v>0.0</v>
      </c>
      <c r="AU133" s="176">
        <v>0.0067</v>
      </c>
      <c r="AV133" s="176">
        <v>0.05</v>
      </c>
      <c r="AW133" s="176">
        <v>0.0</v>
      </c>
      <c r="AX133" s="176">
        <v>0.0</v>
      </c>
      <c r="AY133" s="176">
        <v>0.0</v>
      </c>
      <c r="AZ133" s="176">
        <v>2.0</v>
      </c>
      <c r="BA133" s="180" t="s">
        <v>1823</v>
      </c>
      <c r="BB133" s="5"/>
      <c r="BC133" s="62"/>
      <c r="BE133" s="184"/>
      <c r="BF133" s="184"/>
      <c r="BG133" s="184"/>
      <c r="BH133" s="184"/>
      <c r="BI133" s="184"/>
      <c r="BJ133" s="184"/>
      <c r="BK133" s="81"/>
      <c r="BL133" s="280" t="s">
        <v>1561</v>
      </c>
      <c r="BM133" s="81"/>
      <c r="BN133" s="81"/>
    </row>
    <row r="134">
      <c r="A134" s="176">
        <v>129.0</v>
      </c>
      <c r="B134" s="375" t="s">
        <v>1824</v>
      </c>
      <c r="C134" s="287" t="s">
        <v>282</v>
      </c>
      <c r="D134" s="245"/>
      <c r="E134" s="245"/>
      <c r="F134" s="373"/>
      <c r="G134" s="245"/>
      <c r="H134" s="373"/>
      <c r="I134" s="373"/>
      <c r="J134" s="258">
        <v>2.33</v>
      </c>
      <c r="K134" s="258">
        <v>1.27</v>
      </c>
      <c r="L134" s="268"/>
      <c r="M134" s="258">
        <v>0.4</v>
      </c>
      <c r="N134" s="269"/>
      <c r="O134" s="269"/>
      <c r="P134" s="180">
        <v>0.33</v>
      </c>
      <c r="Q134" s="180">
        <v>0.33</v>
      </c>
      <c r="R134" s="5"/>
      <c r="S134" s="176"/>
      <c r="T134" s="176"/>
      <c r="U134" s="176"/>
      <c r="V134" s="176"/>
      <c r="W134" s="5"/>
      <c r="X134" s="176"/>
      <c r="Y134" s="176"/>
      <c r="Z134" s="184"/>
      <c r="AA134" s="184"/>
      <c r="AB134" s="176"/>
      <c r="AC134" s="176"/>
      <c r="AD134" s="5"/>
      <c r="AE134" s="184"/>
      <c r="AF134" s="184"/>
      <c r="AG134" s="184"/>
      <c r="AH134" s="184"/>
      <c r="AI134" s="184"/>
      <c r="AJ134" s="184"/>
      <c r="AK134" s="5"/>
      <c r="AL134" s="184">
        <f t="shared" ref="AL134:AM134" si="387">ROUND(E134*(5/12)+K134*(5/12)+S134+X134-AE134,2)</f>
        <v>0.53</v>
      </c>
      <c r="AM134" s="184">
        <f t="shared" si="387"/>
        <v>0</v>
      </c>
      <c r="AN134" s="184">
        <f t="shared" si="339"/>
        <v>0.17</v>
      </c>
      <c r="AO134" s="184">
        <f t="shared" ref="AO134:AP134" si="388">ROUND(H134*(5/12)+N134*(5/12)+U134+Z134-AG134,2)</f>
        <v>0</v>
      </c>
      <c r="AP134" s="184">
        <f t="shared" si="388"/>
        <v>0</v>
      </c>
      <c r="AQ134" s="184">
        <f t="shared" ref="AQ134:AR134" si="389">P134+AB134-AI134</f>
        <v>0.33</v>
      </c>
      <c r="AR134" s="184">
        <f t="shared" si="389"/>
        <v>0.33</v>
      </c>
      <c r="AS134" s="5"/>
      <c r="AT134" s="176">
        <v>0.34</v>
      </c>
      <c r="AU134" s="176">
        <v>0.0</v>
      </c>
      <c r="AV134" s="176">
        <v>0.2</v>
      </c>
      <c r="AW134" s="176">
        <v>0.0</v>
      </c>
      <c r="AX134" s="176">
        <v>0.0</v>
      </c>
      <c r="AY134" s="176">
        <v>0.33</v>
      </c>
      <c r="AZ134" s="176">
        <v>0.0</v>
      </c>
      <c r="BA134" s="180" t="s">
        <v>1825</v>
      </c>
      <c r="BB134" s="5"/>
      <c r="BC134" s="62"/>
      <c r="BE134" s="184"/>
      <c r="BF134" s="184"/>
      <c r="BG134" s="184"/>
      <c r="BH134" s="184"/>
      <c r="BI134" s="184"/>
      <c r="BJ134" s="184"/>
      <c r="BK134" s="81"/>
      <c r="BL134" s="81"/>
      <c r="BM134" s="81"/>
      <c r="BN134" s="81"/>
    </row>
    <row r="135">
      <c r="A135" s="176">
        <v>130.0</v>
      </c>
      <c r="B135" s="372" t="s">
        <v>1826</v>
      </c>
      <c r="C135" s="287" t="s">
        <v>249</v>
      </c>
      <c r="D135" s="245">
        <v>3.0</v>
      </c>
      <c r="E135" s="373"/>
      <c r="F135" s="245">
        <v>0.1</v>
      </c>
      <c r="G135" s="373"/>
      <c r="H135" s="245">
        <v>0.4</v>
      </c>
      <c r="I135" s="245">
        <v>0.05</v>
      </c>
      <c r="J135" s="258">
        <v>3.0</v>
      </c>
      <c r="K135" s="269"/>
      <c r="L135" s="268"/>
      <c r="M135" s="268"/>
      <c r="N135" s="269"/>
      <c r="O135" s="268"/>
      <c r="P135" s="180">
        <v>1.0</v>
      </c>
      <c r="Q135" s="180">
        <v>1.0</v>
      </c>
      <c r="R135" s="5"/>
      <c r="S135" s="176">
        <v>0.0</v>
      </c>
      <c r="T135" s="176">
        <v>0.05</v>
      </c>
      <c r="U135" s="176">
        <v>0.0</v>
      </c>
      <c r="V135" s="176">
        <v>0.02</v>
      </c>
      <c r="W135" s="5"/>
      <c r="X135" s="176">
        <v>1.13</v>
      </c>
      <c r="Y135" s="176">
        <v>0.25</v>
      </c>
      <c r="Z135" s="184"/>
      <c r="AA135" s="176">
        <v>0.08</v>
      </c>
      <c r="AB135" s="176">
        <v>2.0</v>
      </c>
      <c r="AC135" s="184"/>
      <c r="AD135" s="5"/>
      <c r="AE135" s="184"/>
      <c r="AF135" s="184"/>
      <c r="AG135" s="184"/>
      <c r="AH135" s="184"/>
      <c r="AI135" s="184"/>
      <c r="AJ135" s="184"/>
      <c r="AK135" s="5"/>
      <c r="AL135" s="184">
        <f t="shared" ref="AL135:AM135" si="390">ROUND(E135*(5/12)+K135*(5/12)+S135+X135-AE135,2)</f>
        <v>1.13</v>
      </c>
      <c r="AM135" s="184">
        <f t="shared" si="390"/>
        <v>0.34</v>
      </c>
      <c r="AN135" s="184">
        <f t="shared" si="339"/>
        <v>0</v>
      </c>
      <c r="AO135" s="184">
        <f t="shared" ref="AO135:AP135" si="391">ROUND(H135*(5/12)+N135*(5/12)+U135+Z135-AG135,2)</f>
        <v>0.17</v>
      </c>
      <c r="AP135" s="184">
        <f t="shared" si="391"/>
        <v>0.12</v>
      </c>
      <c r="AQ135" s="184">
        <f t="shared" ref="AQ135:AR135" si="392">P135+AB135-AI135</f>
        <v>3</v>
      </c>
      <c r="AR135" s="184">
        <f t="shared" si="392"/>
        <v>1</v>
      </c>
      <c r="AS135" s="5"/>
      <c r="AT135" s="176">
        <v>0.0</v>
      </c>
      <c r="AU135" s="176">
        <v>0.0</v>
      </c>
      <c r="AV135" s="176">
        <v>0.0</v>
      </c>
      <c r="AW135" s="176">
        <v>0.33</v>
      </c>
      <c r="AX135" s="176">
        <v>0.004</v>
      </c>
      <c r="AY135" s="176">
        <v>0.0</v>
      </c>
      <c r="AZ135" s="176">
        <v>1.0</v>
      </c>
      <c r="BA135" s="180" t="s">
        <v>1827</v>
      </c>
      <c r="BB135" s="5"/>
      <c r="BC135" s="62"/>
      <c r="BE135" s="184"/>
      <c r="BF135" s="184"/>
      <c r="BG135" s="184"/>
      <c r="BH135" s="184"/>
      <c r="BI135" s="184"/>
      <c r="BJ135" s="184"/>
      <c r="BK135" s="81"/>
      <c r="BL135" s="81"/>
      <c r="BM135" s="81"/>
      <c r="BN135" s="81"/>
    </row>
    <row r="136">
      <c r="A136" s="176">
        <v>131.0</v>
      </c>
      <c r="B136" s="372" t="s">
        <v>250</v>
      </c>
      <c r="C136" s="287" t="s">
        <v>249</v>
      </c>
      <c r="D136" s="245">
        <v>2.66</v>
      </c>
      <c r="E136" s="245">
        <v>1.0</v>
      </c>
      <c r="F136" s="245">
        <v>0.1</v>
      </c>
      <c r="G136" s="245">
        <v>0.2</v>
      </c>
      <c r="H136" s="373"/>
      <c r="I136" s="245">
        <v>0.05</v>
      </c>
      <c r="J136" s="258">
        <v>2.33</v>
      </c>
      <c r="K136" s="258">
        <v>1.37</v>
      </c>
      <c r="L136" s="258">
        <v>0.1</v>
      </c>
      <c r="M136" s="258">
        <v>0.2</v>
      </c>
      <c r="N136" s="269"/>
      <c r="O136" s="269"/>
      <c r="P136" s="180">
        <v>1.0</v>
      </c>
      <c r="Q136" s="180">
        <v>1.0</v>
      </c>
      <c r="R136" s="5"/>
      <c r="S136" s="176">
        <v>0.17</v>
      </c>
      <c r="T136" s="176">
        <v>0.0</v>
      </c>
      <c r="U136" s="176">
        <v>0.0</v>
      </c>
      <c r="V136" s="176">
        <v>0.0</v>
      </c>
      <c r="W136" s="5"/>
      <c r="X136" s="176">
        <v>0.12</v>
      </c>
      <c r="Y136" s="176">
        <v>0.583</v>
      </c>
      <c r="Z136" s="184"/>
      <c r="AA136" s="184"/>
      <c r="AB136" s="184"/>
      <c r="AC136" s="184"/>
      <c r="AD136" s="5"/>
      <c r="AE136" s="176"/>
      <c r="AF136" s="184"/>
      <c r="AG136" s="184"/>
      <c r="AH136" s="184"/>
      <c r="AI136" s="184"/>
      <c r="AJ136" s="184"/>
      <c r="AK136" s="5"/>
      <c r="AL136" s="184">
        <f t="shared" ref="AL136:AM136" si="393">ROUND(E136*(5/12)+K136*(5/12)+S136+X136-AE136,2)</f>
        <v>1.28</v>
      </c>
      <c r="AM136" s="184">
        <f t="shared" si="393"/>
        <v>0.67</v>
      </c>
      <c r="AN136" s="184">
        <f t="shared" si="339"/>
        <v>0.17</v>
      </c>
      <c r="AO136" s="184">
        <f t="shared" ref="AO136:AP136" si="394">ROUND(H136*(5/12)+N136*(5/12)+U136+Z136-AG136,2)</f>
        <v>0</v>
      </c>
      <c r="AP136" s="184">
        <f t="shared" si="394"/>
        <v>0.02</v>
      </c>
      <c r="AQ136" s="184">
        <f t="shared" ref="AQ136:AR136" si="395">P136+AB136-AI136</f>
        <v>1</v>
      </c>
      <c r="AR136" s="184">
        <f t="shared" si="395"/>
        <v>1</v>
      </c>
      <c r="AS136" s="5"/>
      <c r="AT136" s="176">
        <v>1.0</v>
      </c>
      <c r="AU136" s="176">
        <v>0.0</v>
      </c>
      <c r="AV136" s="176">
        <v>0.1</v>
      </c>
      <c r="AW136" s="176">
        <v>0.0</v>
      </c>
      <c r="AX136" s="176">
        <v>0.0</v>
      </c>
      <c r="AY136" s="176">
        <v>1.0</v>
      </c>
      <c r="AZ136" s="176">
        <v>1.0</v>
      </c>
      <c r="BA136" s="195" t="s">
        <v>1828</v>
      </c>
      <c r="BB136" s="5"/>
      <c r="BC136" s="62"/>
      <c r="BE136" s="184"/>
      <c r="BF136" s="184"/>
      <c r="BG136" s="184"/>
      <c r="BH136" s="184"/>
      <c r="BI136" s="184"/>
      <c r="BJ136" s="184"/>
      <c r="BK136" s="81"/>
      <c r="BL136" s="280" t="s">
        <v>1561</v>
      </c>
      <c r="BM136" s="81"/>
      <c r="BN136" s="280" t="s">
        <v>1829</v>
      </c>
    </row>
    <row r="137">
      <c r="A137" s="176">
        <v>132.0</v>
      </c>
      <c r="B137" s="372" t="s">
        <v>251</v>
      </c>
      <c r="C137" s="287" t="s">
        <v>249</v>
      </c>
      <c r="D137" s="245">
        <v>4.0</v>
      </c>
      <c r="E137" s="376"/>
      <c r="F137" s="245">
        <v>0.1</v>
      </c>
      <c r="G137" s="373"/>
      <c r="H137" s="373"/>
      <c r="I137" s="245">
        <v>0.05</v>
      </c>
      <c r="J137" s="258">
        <v>3.0</v>
      </c>
      <c r="K137" s="258">
        <v>0.2</v>
      </c>
      <c r="L137" s="268"/>
      <c r="M137" s="268"/>
      <c r="N137" s="258">
        <v>0.4</v>
      </c>
      <c r="O137" s="258">
        <v>0.4</v>
      </c>
      <c r="P137" s="180">
        <v>1.0</v>
      </c>
      <c r="Q137" s="180">
        <v>1.0</v>
      </c>
      <c r="R137" s="5"/>
      <c r="S137" s="176">
        <v>0.0</v>
      </c>
      <c r="T137" s="176">
        <v>0.02</v>
      </c>
      <c r="U137" s="176">
        <v>0.0</v>
      </c>
      <c r="V137" s="176">
        <v>0.05</v>
      </c>
      <c r="W137" s="5"/>
      <c r="X137" s="176">
        <v>1.08</v>
      </c>
      <c r="Y137" s="176">
        <v>0.083</v>
      </c>
      <c r="Z137" s="176">
        <v>1.08</v>
      </c>
      <c r="AA137" s="176">
        <v>0.25</v>
      </c>
      <c r="AB137" s="176">
        <v>2.0</v>
      </c>
      <c r="AC137" s="176">
        <v>2.0</v>
      </c>
      <c r="AD137" s="5"/>
      <c r="AE137" s="184"/>
      <c r="AF137" s="184"/>
      <c r="AG137" s="184"/>
      <c r="AH137" s="184"/>
      <c r="AI137" s="184"/>
      <c r="AJ137" s="184"/>
      <c r="AK137" s="5"/>
      <c r="AL137" s="184">
        <f t="shared" ref="AL137:AM137" si="396">ROUND(E137*(5/12)+K137*(5/12)+S137+X137-AE137,2)</f>
        <v>1.16</v>
      </c>
      <c r="AM137" s="184">
        <f t="shared" si="396"/>
        <v>0.14</v>
      </c>
      <c r="AN137" s="184">
        <f t="shared" si="339"/>
        <v>0</v>
      </c>
      <c r="AO137" s="184">
        <f t="shared" ref="AO137:AP137" si="397">ROUND(H137*(5/12)+N137*(5/12)+U137+Z137-AG137,2)</f>
        <v>1.25</v>
      </c>
      <c r="AP137" s="184">
        <f t="shared" si="397"/>
        <v>0.49</v>
      </c>
      <c r="AQ137" s="184">
        <f t="shared" ref="AQ137:AR137" si="398">P137+AB137-AI137</f>
        <v>3</v>
      </c>
      <c r="AR137" s="184">
        <f t="shared" si="398"/>
        <v>3</v>
      </c>
      <c r="AS137" s="5"/>
      <c r="AT137" s="176">
        <v>0.0</v>
      </c>
      <c r="AU137" s="176">
        <v>0.0</v>
      </c>
      <c r="AV137" s="176">
        <v>0.0</v>
      </c>
      <c r="AW137" s="176">
        <v>0.0</v>
      </c>
      <c r="AX137" s="176">
        <v>0.0</v>
      </c>
      <c r="AY137" s="176">
        <v>0.0</v>
      </c>
      <c r="AZ137" s="176">
        <v>0.0</v>
      </c>
      <c r="BA137" s="180" t="s">
        <v>1830</v>
      </c>
      <c r="BB137" s="5"/>
      <c r="BC137" s="62"/>
      <c r="BE137" s="184"/>
      <c r="BF137" s="184"/>
      <c r="BG137" s="184"/>
      <c r="BH137" s="184"/>
      <c r="BI137" s="184"/>
      <c r="BJ137" s="184"/>
      <c r="BK137" s="81"/>
      <c r="BL137" s="81"/>
      <c r="BM137" s="81"/>
      <c r="BN137" s="81"/>
    </row>
    <row r="138">
      <c r="A138" s="176">
        <v>133.0</v>
      </c>
      <c r="B138" s="377" t="s">
        <v>1831</v>
      </c>
      <c r="C138" s="287" t="s">
        <v>249</v>
      </c>
      <c r="D138" s="245">
        <v>3.66</v>
      </c>
      <c r="E138" s="245">
        <v>0.19</v>
      </c>
      <c r="F138" s="245">
        <v>0.1</v>
      </c>
      <c r="G138" s="373"/>
      <c r="H138" s="373"/>
      <c r="I138" s="245">
        <v>0.05</v>
      </c>
      <c r="J138" s="258">
        <v>3.66</v>
      </c>
      <c r="K138" s="258">
        <v>0.34</v>
      </c>
      <c r="L138" s="268"/>
      <c r="M138" s="268"/>
      <c r="N138" s="269"/>
      <c r="O138" s="269"/>
      <c r="P138" s="180">
        <v>1.0</v>
      </c>
      <c r="Q138" s="180">
        <v>1.0</v>
      </c>
      <c r="R138" s="5"/>
      <c r="S138" s="176">
        <v>0.02</v>
      </c>
      <c r="T138" s="176">
        <v>0.03</v>
      </c>
      <c r="U138" s="176">
        <v>0.0</v>
      </c>
      <c r="V138" s="176">
        <v>0.0</v>
      </c>
      <c r="W138" s="5"/>
      <c r="X138" s="176">
        <v>0.88</v>
      </c>
      <c r="Y138" s="176">
        <v>0.167</v>
      </c>
      <c r="Z138" s="184"/>
      <c r="AA138" s="184"/>
      <c r="AB138" s="176"/>
      <c r="AC138" s="184"/>
      <c r="AD138" s="5"/>
      <c r="AE138" s="184"/>
      <c r="AF138" s="184"/>
      <c r="AG138" s="184"/>
      <c r="AH138" s="184"/>
      <c r="AI138" s="184"/>
      <c r="AJ138" s="184"/>
      <c r="AK138" s="5"/>
      <c r="AL138" s="184">
        <f t="shared" ref="AL138:AM138" si="399">ROUND(E138*(5/12)+K138*(5/12)+S138+X138-AE138,2)</f>
        <v>1.12</v>
      </c>
      <c r="AM138" s="184">
        <f t="shared" si="399"/>
        <v>0.24</v>
      </c>
      <c r="AN138" s="184">
        <f t="shared" si="339"/>
        <v>0</v>
      </c>
      <c r="AO138" s="184">
        <f t="shared" ref="AO138:AP138" si="400">ROUND(H138*(5/12)+N138*(5/12)+U138+Z138-AG138,2)</f>
        <v>0</v>
      </c>
      <c r="AP138" s="184">
        <f t="shared" si="400"/>
        <v>0.02</v>
      </c>
      <c r="AQ138" s="184">
        <f t="shared" ref="AQ138:AR138" si="401">P138+AB138-AI138</f>
        <v>1</v>
      </c>
      <c r="AR138" s="184">
        <f t="shared" si="401"/>
        <v>1</v>
      </c>
      <c r="AS138" s="5"/>
      <c r="AT138" s="176">
        <v>0.0</v>
      </c>
      <c r="AU138" s="176">
        <v>0.0</v>
      </c>
      <c r="AV138" s="176">
        <v>0.0</v>
      </c>
      <c r="AW138" s="176">
        <v>0.0</v>
      </c>
      <c r="AX138" s="176">
        <v>0.004</v>
      </c>
      <c r="AY138" s="176">
        <v>1.0</v>
      </c>
      <c r="AZ138" s="176">
        <v>1.0</v>
      </c>
      <c r="BA138" s="259" t="s">
        <v>1832</v>
      </c>
      <c r="BB138" s="5"/>
      <c r="BC138" s="62"/>
      <c r="BE138" s="184"/>
      <c r="BF138" s="184"/>
      <c r="BG138" s="184"/>
      <c r="BH138" s="184"/>
      <c r="BI138" s="184"/>
      <c r="BJ138" s="184"/>
      <c r="BK138" s="81"/>
      <c r="BL138" s="305" t="s">
        <v>1561</v>
      </c>
      <c r="BM138" s="81"/>
      <c r="BN138" s="280" t="s">
        <v>1833</v>
      </c>
    </row>
    <row r="139">
      <c r="A139" s="176">
        <v>134.0</v>
      </c>
      <c r="B139" s="372" t="s">
        <v>1834</v>
      </c>
      <c r="C139" s="287" t="s">
        <v>249</v>
      </c>
      <c r="D139" s="245">
        <v>3.66</v>
      </c>
      <c r="E139" s="245">
        <v>0.19</v>
      </c>
      <c r="F139" s="245">
        <v>0.1</v>
      </c>
      <c r="G139" s="373"/>
      <c r="H139" s="373"/>
      <c r="I139" s="245">
        <v>0.05</v>
      </c>
      <c r="J139" s="258">
        <v>3.66</v>
      </c>
      <c r="K139" s="258">
        <v>0.34</v>
      </c>
      <c r="L139" s="269"/>
      <c r="M139" s="269"/>
      <c r="N139" s="269"/>
      <c r="O139" s="269"/>
      <c r="P139" s="180">
        <v>1.0</v>
      </c>
      <c r="Q139" s="180">
        <v>1.0</v>
      </c>
      <c r="R139" s="5"/>
      <c r="S139" s="176">
        <v>0.06</v>
      </c>
      <c r="T139" s="176">
        <v>0.0</v>
      </c>
      <c r="U139" s="176">
        <v>0.0</v>
      </c>
      <c r="V139" s="176">
        <v>0.0</v>
      </c>
      <c r="W139" s="5"/>
      <c r="X139" s="176">
        <v>1.625</v>
      </c>
      <c r="Y139" s="184"/>
      <c r="Z139" s="184"/>
      <c r="AA139" s="184"/>
      <c r="AB139" s="176">
        <v>3.0</v>
      </c>
      <c r="AC139" s="184"/>
      <c r="AD139" s="5"/>
      <c r="AE139" s="184"/>
      <c r="AF139" s="184"/>
      <c r="AG139" s="184"/>
      <c r="AH139" s="184"/>
      <c r="AI139" s="184"/>
      <c r="AJ139" s="184"/>
      <c r="AK139" s="5"/>
      <c r="AL139" s="184">
        <f t="shared" ref="AL139:AM139" si="402">ROUND(E139*(5/12)+K139*(5/12)+S139+X139-AE139,2)</f>
        <v>1.91</v>
      </c>
      <c r="AM139" s="184">
        <f t="shared" si="402"/>
        <v>0.04</v>
      </c>
      <c r="AN139" s="184">
        <f t="shared" si="339"/>
        <v>0</v>
      </c>
      <c r="AO139" s="184">
        <f t="shared" ref="AO139:AP139" si="403">ROUND(H139*(5/12)+N139*(5/12)+U139+Z139-AG139,2)</f>
        <v>0</v>
      </c>
      <c r="AP139" s="184">
        <f t="shared" si="403"/>
        <v>0.02</v>
      </c>
      <c r="AQ139" s="184">
        <f t="shared" ref="AQ139:AR139" si="404">P139+AB139-AI139</f>
        <v>4</v>
      </c>
      <c r="AR139" s="184">
        <f t="shared" si="404"/>
        <v>1</v>
      </c>
      <c r="AS139" s="5"/>
      <c r="AT139" s="176">
        <v>0.0</v>
      </c>
      <c r="AU139" s="176">
        <v>0.0</v>
      </c>
      <c r="AV139" s="176">
        <v>0.0</v>
      </c>
      <c r="AW139" s="176">
        <v>0.0</v>
      </c>
      <c r="AX139" s="176">
        <v>0.0</v>
      </c>
      <c r="AY139" s="176">
        <v>0.0</v>
      </c>
      <c r="AZ139" s="176">
        <v>1.0</v>
      </c>
      <c r="BA139" s="259" t="s">
        <v>1835</v>
      </c>
      <c r="BB139" s="5"/>
      <c r="BC139" s="62"/>
      <c r="BE139" s="184"/>
      <c r="BF139" s="184"/>
      <c r="BG139" s="184"/>
      <c r="BH139" s="184"/>
      <c r="BI139" s="198">
        <v>0.513</v>
      </c>
      <c r="BJ139" s="198" t="s">
        <v>1836</v>
      </c>
      <c r="BK139" s="81"/>
      <c r="BL139" s="305" t="s">
        <v>1561</v>
      </c>
      <c r="BM139" s="81"/>
      <c r="BN139" s="81"/>
    </row>
    <row r="140">
      <c r="A140" s="176">
        <v>135.0</v>
      </c>
      <c r="B140" s="378" t="s">
        <v>254</v>
      </c>
      <c r="C140" s="287" t="s">
        <v>249</v>
      </c>
      <c r="D140" s="245">
        <v>2.66</v>
      </c>
      <c r="E140" s="245">
        <v>1.0</v>
      </c>
      <c r="F140" s="245">
        <v>0.1</v>
      </c>
      <c r="G140" s="245">
        <v>0.2</v>
      </c>
      <c r="H140" s="245">
        <v>0.21</v>
      </c>
      <c r="I140" s="245">
        <v>0.05</v>
      </c>
      <c r="J140" s="258">
        <v>2.0</v>
      </c>
      <c r="K140" s="258">
        <v>1.7</v>
      </c>
      <c r="L140" s="268"/>
      <c r="M140" s="258">
        <v>0.3</v>
      </c>
      <c r="N140" s="269"/>
      <c r="O140" s="269"/>
      <c r="P140" s="180">
        <v>1.0</v>
      </c>
      <c r="Q140" s="180">
        <v>1.0</v>
      </c>
      <c r="R140" s="5"/>
      <c r="S140" s="176">
        <v>0.19</v>
      </c>
      <c r="T140" s="176">
        <v>0.03</v>
      </c>
      <c r="U140" s="176">
        <v>0.0</v>
      </c>
      <c r="V140" s="176">
        <v>0.0</v>
      </c>
      <c r="W140" s="5"/>
      <c r="X140" s="184"/>
      <c r="Y140" s="176">
        <v>0.045</v>
      </c>
      <c r="Z140" s="184"/>
      <c r="AA140" s="184"/>
      <c r="AB140" s="184"/>
      <c r="AC140" s="184"/>
      <c r="AD140" s="5"/>
      <c r="AE140" s="213">
        <v>1.0</v>
      </c>
      <c r="AF140" s="184"/>
      <c r="AG140" s="184"/>
      <c r="AH140" s="184"/>
      <c r="AI140" s="184"/>
      <c r="AJ140" s="184"/>
      <c r="AK140" s="5"/>
      <c r="AL140" s="184">
        <f t="shared" ref="AL140:AM140" si="405">ROUND(E140*(5/12)+K140*(5/12)+S140+X140-AE140,2)</f>
        <v>0.32</v>
      </c>
      <c r="AM140" s="184">
        <f t="shared" si="405"/>
        <v>0.12</v>
      </c>
      <c r="AN140" s="184">
        <f t="shared" si="339"/>
        <v>0.21</v>
      </c>
      <c r="AO140" s="184">
        <f t="shared" ref="AO140:AP140" si="406">ROUND(H140*(5/12)+N140*(5/12)+U140+Z140-AG140,2)</f>
        <v>0.09</v>
      </c>
      <c r="AP140" s="184">
        <f t="shared" si="406"/>
        <v>0.02</v>
      </c>
      <c r="AQ140" s="184">
        <f t="shared" ref="AQ140:AR140" si="407">P140+AB140-AI140</f>
        <v>1</v>
      </c>
      <c r="AR140" s="184">
        <f t="shared" si="407"/>
        <v>1</v>
      </c>
      <c r="AS140" s="5"/>
      <c r="AT140" s="176">
        <v>1.0</v>
      </c>
      <c r="AU140" s="176">
        <v>0.0</v>
      </c>
      <c r="AV140" s="176">
        <v>0.2</v>
      </c>
      <c r="AW140" s="176">
        <v>0.0</v>
      </c>
      <c r="AX140" s="176">
        <v>0.004</v>
      </c>
      <c r="AY140" s="176">
        <v>1.0</v>
      </c>
      <c r="AZ140" s="176">
        <v>1.0</v>
      </c>
      <c r="BA140" s="180" t="s">
        <v>1837</v>
      </c>
      <c r="BB140" s="5"/>
      <c r="BC140" s="62"/>
      <c r="BE140" s="198">
        <v>1.28</v>
      </c>
      <c r="BF140" s="184"/>
      <c r="BG140" s="184"/>
      <c r="BH140" s="184"/>
      <c r="BI140" s="184"/>
      <c r="BJ140" s="184"/>
      <c r="BK140" s="81"/>
      <c r="BL140" s="280" t="s">
        <v>1152</v>
      </c>
      <c r="BM140" s="81"/>
      <c r="BN140" s="280" t="s">
        <v>1838</v>
      </c>
    </row>
    <row r="141">
      <c r="A141" s="176">
        <v>136.0</v>
      </c>
      <c r="B141" s="372" t="s">
        <v>1839</v>
      </c>
      <c r="C141" s="287" t="s">
        <v>249</v>
      </c>
      <c r="D141" s="245">
        <v>2.66</v>
      </c>
      <c r="E141" s="245">
        <v>1.0</v>
      </c>
      <c r="F141" s="245">
        <v>0.1</v>
      </c>
      <c r="G141" s="245">
        <v>0.2</v>
      </c>
      <c r="H141" s="245">
        <v>0.0</v>
      </c>
      <c r="I141" s="245">
        <v>0.05</v>
      </c>
      <c r="J141" s="258">
        <v>2.33</v>
      </c>
      <c r="K141" s="258">
        <v>0.67</v>
      </c>
      <c r="L141" s="258">
        <v>0.7</v>
      </c>
      <c r="M141" s="258">
        <v>0.3</v>
      </c>
      <c r="N141" s="268"/>
      <c r="O141" s="269"/>
      <c r="P141" s="180">
        <v>1.0</v>
      </c>
      <c r="Q141" s="180">
        <v>1.0</v>
      </c>
      <c r="R141" s="5"/>
      <c r="S141" s="176">
        <v>0.1</v>
      </c>
      <c r="T141" s="176">
        <v>0.0</v>
      </c>
      <c r="U141" s="176">
        <v>0.07</v>
      </c>
      <c r="V141" s="176">
        <v>0.0</v>
      </c>
      <c r="W141" s="5"/>
      <c r="X141" s="176"/>
      <c r="Y141" s="176">
        <v>0.573</v>
      </c>
      <c r="Z141" s="176">
        <v>0.92</v>
      </c>
      <c r="AA141" s="184"/>
      <c r="AB141" s="198"/>
      <c r="AC141" s="198"/>
      <c r="AD141" s="5"/>
      <c r="AE141" s="176">
        <v>0.08</v>
      </c>
      <c r="AF141" s="184"/>
      <c r="AG141" s="184"/>
      <c r="AH141" s="184"/>
      <c r="AI141" s="184"/>
      <c r="AJ141" s="184"/>
      <c r="AK141" s="5"/>
      <c r="AL141" s="184">
        <f t="shared" ref="AL141:AM141" si="408">ROUND(E141*(5/12)+K141*(5/12)+S141+X141-AE141,2)</f>
        <v>0.72</v>
      </c>
      <c r="AM141" s="184">
        <f t="shared" si="408"/>
        <v>0.91</v>
      </c>
      <c r="AN141" s="184">
        <f t="shared" si="339"/>
        <v>0.21</v>
      </c>
      <c r="AO141" s="184">
        <f t="shared" ref="AO141:AP141" si="409">ROUND(H141*(5/12)+N141*(5/12)+U141+Z141-AG141,2)</f>
        <v>0.99</v>
      </c>
      <c r="AP141" s="184">
        <f t="shared" si="409"/>
        <v>0.02</v>
      </c>
      <c r="AQ141" s="184">
        <f t="shared" ref="AQ141:AR141" si="410">P141+AB141-AI141</f>
        <v>1</v>
      </c>
      <c r="AR141" s="184">
        <f t="shared" si="410"/>
        <v>1</v>
      </c>
      <c r="AS141" s="5"/>
      <c r="AT141" s="176">
        <v>0.5</v>
      </c>
      <c r="AU141" s="176">
        <v>0.0</v>
      </c>
      <c r="AV141" s="176">
        <v>0.1</v>
      </c>
      <c r="AW141" s="176">
        <v>0.21</v>
      </c>
      <c r="AX141" s="176">
        <v>0.0</v>
      </c>
      <c r="AY141" s="176">
        <v>1.0</v>
      </c>
      <c r="AZ141" s="176">
        <v>1.0</v>
      </c>
      <c r="BA141" s="195" t="s">
        <v>1840</v>
      </c>
      <c r="BB141" s="5"/>
      <c r="BC141" s="62"/>
      <c r="BE141" s="198">
        <v>1.5</v>
      </c>
      <c r="BF141" s="184"/>
      <c r="BG141" s="184"/>
      <c r="BH141" s="184"/>
      <c r="BI141" s="198">
        <v>0.58</v>
      </c>
      <c r="BJ141" s="198">
        <v>0.58</v>
      </c>
      <c r="BK141" s="198"/>
      <c r="BL141" s="81"/>
      <c r="BM141" s="81"/>
      <c r="BN141" s="280" t="s">
        <v>1841</v>
      </c>
    </row>
    <row r="142">
      <c r="A142" s="176">
        <v>137.0</v>
      </c>
      <c r="B142" s="377" t="s">
        <v>1842</v>
      </c>
      <c r="C142" s="287" t="s">
        <v>249</v>
      </c>
      <c r="D142" s="245"/>
      <c r="E142" s="245"/>
      <c r="F142" s="245"/>
      <c r="G142" s="379"/>
      <c r="H142" s="379"/>
      <c r="I142" s="245"/>
      <c r="J142" s="258">
        <v>4.0</v>
      </c>
      <c r="K142" s="268"/>
      <c r="L142" s="269"/>
      <c r="M142" s="269"/>
      <c r="N142" s="268"/>
      <c r="O142" s="269"/>
      <c r="P142" s="180">
        <v>0.33</v>
      </c>
      <c r="Q142" s="180">
        <v>0.33</v>
      </c>
      <c r="R142" s="5"/>
      <c r="S142" s="176"/>
      <c r="T142" s="176"/>
      <c r="U142" s="176"/>
      <c r="V142" s="176"/>
      <c r="W142" s="5"/>
      <c r="X142" s="176"/>
      <c r="Y142" s="176"/>
      <c r="Z142" s="176"/>
      <c r="AA142" s="184"/>
      <c r="AB142" s="198"/>
      <c r="AC142" s="198"/>
      <c r="AD142" s="5"/>
      <c r="AE142" s="176"/>
      <c r="AF142" s="184"/>
      <c r="AG142" s="184"/>
      <c r="AH142" s="184"/>
      <c r="AI142" s="184"/>
      <c r="AJ142" s="184"/>
      <c r="AK142" s="5"/>
      <c r="AL142" s="184">
        <f t="shared" ref="AL142:AM142" si="411">ROUND(E142*(5/12)+K142*(5/12)+S142+X142-AE142,2)</f>
        <v>0</v>
      </c>
      <c r="AM142" s="184">
        <f t="shared" si="411"/>
        <v>0</v>
      </c>
      <c r="AN142" s="184">
        <f t="shared" si="339"/>
        <v>0</v>
      </c>
      <c r="AO142" s="184">
        <f t="shared" ref="AO142:AP142" si="412">ROUND(H142*(5/12)+N142*(5/12)+U142+Z142-AG142,2)</f>
        <v>0</v>
      </c>
      <c r="AP142" s="184">
        <f t="shared" si="412"/>
        <v>0</v>
      </c>
      <c r="AQ142" s="184">
        <f t="shared" ref="AQ142:AR142" si="413">P142+AB142-AI142</f>
        <v>0.33</v>
      </c>
      <c r="AR142" s="184">
        <f t="shared" si="413"/>
        <v>0.33</v>
      </c>
      <c r="AS142" s="5"/>
      <c r="AT142" s="176">
        <v>0.0</v>
      </c>
      <c r="AU142" s="176">
        <v>0.0</v>
      </c>
      <c r="AV142" s="176">
        <v>0.0</v>
      </c>
      <c r="AW142" s="176">
        <v>0.0</v>
      </c>
      <c r="AX142" s="176">
        <v>0.0</v>
      </c>
      <c r="AY142" s="176">
        <v>0.0</v>
      </c>
      <c r="AZ142" s="176">
        <v>0.0</v>
      </c>
      <c r="BA142" s="259" t="s">
        <v>1843</v>
      </c>
      <c r="BB142" s="5"/>
      <c r="BC142" s="62"/>
      <c r="BE142" s="198"/>
      <c r="BF142" s="184"/>
      <c r="BG142" s="184"/>
      <c r="BH142" s="184"/>
      <c r="BI142" s="198"/>
      <c r="BJ142" s="198"/>
      <c r="BK142" s="198"/>
      <c r="BL142" s="81"/>
      <c r="BM142" s="81"/>
      <c r="BN142" s="81"/>
    </row>
    <row r="143">
      <c r="A143" s="176">
        <v>138.0</v>
      </c>
      <c r="B143" s="143" t="s">
        <v>160</v>
      </c>
      <c r="C143" s="287" t="s">
        <v>161</v>
      </c>
      <c r="D143" s="245">
        <v>1.0</v>
      </c>
      <c r="E143" s="245">
        <v>1.0</v>
      </c>
      <c r="F143" s="380">
        <v>0.5</v>
      </c>
      <c r="G143" s="380">
        <v>0.5</v>
      </c>
      <c r="H143" s="381"/>
      <c r="I143" s="380">
        <v>0.5</v>
      </c>
      <c r="J143" s="258">
        <v>0.67</v>
      </c>
      <c r="K143" s="258"/>
      <c r="L143" s="269"/>
      <c r="M143" s="258">
        <v>0.5</v>
      </c>
      <c r="N143" s="269"/>
      <c r="O143" s="269"/>
      <c r="P143" s="180">
        <v>1.0</v>
      </c>
      <c r="Q143" s="180">
        <v>1.0</v>
      </c>
      <c r="R143" s="5"/>
      <c r="S143" s="176">
        <v>0.17</v>
      </c>
      <c r="T143" s="176">
        <v>0.0</v>
      </c>
      <c r="U143" s="176">
        <v>0.0</v>
      </c>
      <c r="V143" s="176">
        <v>0.0</v>
      </c>
      <c r="W143" s="5"/>
      <c r="X143" s="176">
        <v>1.06</v>
      </c>
      <c r="Y143" s="184"/>
      <c r="Z143" s="176">
        <v>0.75</v>
      </c>
      <c r="AA143" s="184"/>
      <c r="AB143" s="176">
        <v>2.0</v>
      </c>
      <c r="AC143" s="176">
        <v>1.0</v>
      </c>
      <c r="AD143" s="5"/>
      <c r="AE143" s="184"/>
      <c r="AF143" s="184"/>
      <c r="AG143" s="184"/>
      <c r="AH143" s="184"/>
      <c r="AI143" s="184"/>
      <c r="AJ143" s="184"/>
      <c r="AK143" s="5"/>
      <c r="AL143" s="184">
        <f t="shared" ref="AL143:AM143" si="414">ROUND(E143*(5/12)+K143*(5/12)+S143+X143-AE143,2)</f>
        <v>1.65</v>
      </c>
      <c r="AM143" s="184">
        <f t="shared" si="414"/>
        <v>0.21</v>
      </c>
      <c r="AN143" s="184">
        <f t="shared" si="339"/>
        <v>0.42</v>
      </c>
      <c r="AO143" s="184">
        <f t="shared" ref="AO143:AP143" si="415">ROUND(H143*(5/12)+N143*(5/12)+U143+Z143-AG143,2)</f>
        <v>0.75</v>
      </c>
      <c r="AP143" s="184">
        <f t="shared" si="415"/>
        <v>0.21</v>
      </c>
      <c r="AQ143" s="184">
        <f t="shared" ref="AQ143:AR143" si="416">P143+AB143-AI143</f>
        <v>3</v>
      </c>
      <c r="AR143" s="184">
        <f t="shared" si="416"/>
        <v>2</v>
      </c>
      <c r="AS143" s="5"/>
      <c r="AT143" s="176">
        <v>0.0</v>
      </c>
      <c r="AU143" s="176">
        <v>0.0</v>
      </c>
      <c r="AV143" s="176">
        <v>0.05</v>
      </c>
      <c r="AW143" s="176">
        <v>0.0</v>
      </c>
      <c r="AX143" s="176">
        <v>0.0</v>
      </c>
      <c r="AY143" s="176">
        <v>0.5</v>
      </c>
      <c r="AZ143" s="176">
        <v>0.0</v>
      </c>
      <c r="BA143" s="180" t="s">
        <v>1844</v>
      </c>
      <c r="BB143" s="5"/>
      <c r="BC143" s="62"/>
      <c r="BE143" s="184"/>
      <c r="BF143" s="184"/>
      <c r="BG143" s="184"/>
      <c r="BH143" s="184"/>
      <c r="BI143" s="184"/>
      <c r="BJ143" s="184"/>
      <c r="BK143" s="81"/>
      <c r="BL143" s="81"/>
      <c r="BM143" s="81"/>
      <c r="BN143" s="81"/>
    </row>
    <row r="144">
      <c r="A144" s="176">
        <v>139.0</v>
      </c>
      <c r="B144" s="143" t="s">
        <v>1845</v>
      </c>
      <c r="C144" s="287" t="s">
        <v>161</v>
      </c>
      <c r="D144" s="245">
        <v>4.0</v>
      </c>
      <c r="E144" s="376"/>
      <c r="F144" s="380">
        <v>0.5</v>
      </c>
      <c r="G144" s="380">
        <v>0.5</v>
      </c>
      <c r="H144" s="380">
        <v>0.3</v>
      </c>
      <c r="I144" s="380">
        <v>0.5</v>
      </c>
      <c r="J144" s="258">
        <v>4.0</v>
      </c>
      <c r="K144" s="258">
        <v>0.0</v>
      </c>
      <c r="L144" s="258">
        <v>0.5</v>
      </c>
      <c r="M144" s="269"/>
      <c r="N144" s="258">
        <v>0.3</v>
      </c>
      <c r="O144" s="269"/>
      <c r="P144" s="180">
        <v>0.67</v>
      </c>
      <c r="Q144" s="180">
        <v>0.67</v>
      </c>
      <c r="R144" s="5"/>
      <c r="S144" s="176"/>
      <c r="T144" s="176"/>
      <c r="U144" s="176"/>
      <c r="V144" s="176"/>
      <c r="W144" s="5"/>
      <c r="X144" s="176"/>
      <c r="Y144" s="184"/>
      <c r="Z144" s="176"/>
      <c r="AA144" s="184"/>
      <c r="AB144" s="184"/>
      <c r="AC144" s="184"/>
      <c r="AD144" s="5"/>
      <c r="AE144" s="184"/>
      <c r="AF144" s="184"/>
      <c r="AG144" s="184"/>
      <c r="AH144" s="184"/>
      <c r="AI144" s="184"/>
      <c r="AJ144" s="184"/>
      <c r="AK144" s="5"/>
      <c r="AL144" s="184">
        <f t="shared" ref="AL144:AM144" si="417">ROUND(E144*(5/12)+K144*(5/12)+S144+X144-AE144,2)</f>
        <v>0</v>
      </c>
      <c r="AM144" s="184">
        <f t="shared" si="417"/>
        <v>0.42</v>
      </c>
      <c r="AN144" s="184">
        <f t="shared" si="339"/>
        <v>0.21</v>
      </c>
      <c r="AO144" s="184">
        <f t="shared" ref="AO144:AP144" si="418">ROUND(H144*(5/12)+N144*(5/12)+U144+Z144-AG144,2)</f>
        <v>0.25</v>
      </c>
      <c r="AP144" s="184">
        <f t="shared" si="418"/>
        <v>0.21</v>
      </c>
      <c r="AQ144" s="184">
        <f t="shared" ref="AQ144:AR144" si="419">P144+AB144-AI144</f>
        <v>0.67</v>
      </c>
      <c r="AR144" s="184">
        <f t="shared" si="419"/>
        <v>0.67</v>
      </c>
      <c r="AS144" s="5"/>
      <c r="AT144" s="176">
        <v>0.0</v>
      </c>
      <c r="AU144" s="176">
        <v>0.0</v>
      </c>
      <c r="AV144" s="176">
        <v>0.0</v>
      </c>
      <c r="AW144" s="176">
        <v>0.0</v>
      </c>
      <c r="AX144" s="176">
        <v>0.0</v>
      </c>
      <c r="AY144" s="176">
        <v>0.0</v>
      </c>
      <c r="AZ144" s="176">
        <v>0.0</v>
      </c>
      <c r="BA144" s="195" t="s">
        <v>1846</v>
      </c>
      <c r="BB144" s="5"/>
      <c r="BC144" s="62"/>
      <c r="BE144" s="184"/>
      <c r="BF144" s="184"/>
      <c r="BG144" s="184"/>
      <c r="BH144" s="184"/>
      <c r="BI144" s="184"/>
      <c r="BJ144" s="184"/>
      <c r="BK144" s="81"/>
      <c r="BL144" s="81"/>
      <c r="BM144" s="81"/>
      <c r="BN144" s="81"/>
    </row>
    <row r="145">
      <c r="A145" s="176">
        <v>140.0</v>
      </c>
      <c r="B145" s="143" t="s">
        <v>1847</v>
      </c>
      <c r="C145" s="287" t="s">
        <v>161</v>
      </c>
      <c r="D145" s="245">
        <v>3.0</v>
      </c>
      <c r="E145" s="376"/>
      <c r="F145" s="380">
        <v>1.0</v>
      </c>
      <c r="G145" s="380">
        <v>1.0</v>
      </c>
      <c r="H145" s="382"/>
      <c r="I145" s="380">
        <v>1.0</v>
      </c>
      <c r="J145" s="258">
        <v>3.0</v>
      </c>
      <c r="K145" s="258">
        <v>0.0</v>
      </c>
      <c r="L145" s="258">
        <v>0.8</v>
      </c>
      <c r="M145" s="269"/>
      <c r="N145" s="268"/>
      <c r="O145" s="258">
        <v>0.2</v>
      </c>
      <c r="P145" s="180">
        <v>0.75</v>
      </c>
      <c r="Q145" s="180">
        <v>0.75</v>
      </c>
      <c r="R145" s="5"/>
      <c r="S145" s="176"/>
      <c r="T145" s="176"/>
      <c r="U145" s="176"/>
      <c r="V145" s="176"/>
      <c r="W145" s="5"/>
      <c r="X145" s="176"/>
      <c r="Y145" s="184"/>
      <c r="Z145" s="176"/>
      <c r="AA145" s="184"/>
      <c r="AB145" s="184"/>
      <c r="AC145" s="184"/>
      <c r="AD145" s="5"/>
      <c r="AE145" s="184"/>
      <c r="AF145" s="184"/>
      <c r="AG145" s="184"/>
      <c r="AH145" s="184"/>
      <c r="AI145" s="184"/>
      <c r="AJ145" s="184"/>
      <c r="AK145" s="5"/>
      <c r="AL145" s="184">
        <f t="shared" ref="AL145:AM145" si="420">ROUND(E145*(5/12)+K145*(5/12)+S145+X145-AE145,2)</f>
        <v>0</v>
      </c>
      <c r="AM145" s="184">
        <f t="shared" si="420"/>
        <v>0.75</v>
      </c>
      <c r="AN145" s="184">
        <f t="shared" si="339"/>
        <v>0.42</v>
      </c>
      <c r="AO145" s="184">
        <f t="shared" ref="AO145:AP145" si="421">ROUND(H145*(5/12)+N145*(5/12)+U145+Z145-AG145,2)</f>
        <v>0</v>
      </c>
      <c r="AP145" s="184">
        <f t="shared" si="421"/>
        <v>0.5</v>
      </c>
      <c r="AQ145" s="184">
        <f t="shared" ref="AQ145:AR145" si="422">P145+AB145-AI145</f>
        <v>0.75</v>
      </c>
      <c r="AR145" s="184">
        <f t="shared" si="422"/>
        <v>0.75</v>
      </c>
      <c r="AS145" s="5"/>
      <c r="AT145" s="176">
        <v>0.0</v>
      </c>
      <c r="AU145" s="176">
        <v>0.028</v>
      </c>
      <c r="AV145" s="176">
        <v>0.0</v>
      </c>
      <c r="AW145" s="176">
        <v>0.0</v>
      </c>
      <c r="AX145" s="176">
        <v>0.0</v>
      </c>
      <c r="AY145" s="176">
        <v>0.0</v>
      </c>
      <c r="AZ145" s="176">
        <v>0.0</v>
      </c>
      <c r="BA145" s="195" t="s">
        <v>1848</v>
      </c>
      <c r="BB145" s="5"/>
      <c r="BC145" s="62"/>
      <c r="BE145" s="184"/>
      <c r="BF145" s="184"/>
      <c r="BG145" s="184"/>
      <c r="BH145" s="184"/>
      <c r="BI145" s="184"/>
      <c r="BJ145" s="184"/>
      <c r="BK145" s="81"/>
      <c r="BL145" s="81"/>
      <c r="BM145" s="81"/>
      <c r="BN145" s="81"/>
    </row>
    <row r="146">
      <c r="A146" s="176">
        <v>141.0</v>
      </c>
      <c r="B146" s="143" t="s">
        <v>1849</v>
      </c>
      <c r="C146" s="287" t="s">
        <v>161</v>
      </c>
      <c r="D146" s="245">
        <v>4.0</v>
      </c>
      <c r="E146" s="245">
        <v>0.25</v>
      </c>
      <c r="F146" s="382"/>
      <c r="G146" s="382"/>
      <c r="H146" s="380">
        <v>0.3</v>
      </c>
      <c r="I146" s="382"/>
      <c r="J146" s="258">
        <v>3.0</v>
      </c>
      <c r="K146" s="258">
        <v>0.48</v>
      </c>
      <c r="L146" s="269"/>
      <c r="M146" s="269"/>
      <c r="N146" s="258">
        <v>0.35</v>
      </c>
      <c r="O146" s="258">
        <v>0.25</v>
      </c>
      <c r="P146" s="180">
        <v>0.75</v>
      </c>
      <c r="Q146" s="180">
        <v>0.75</v>
      </c>
      <c r="R146" s="5"/>
      <c r="S146" s="176"/>
      <c r="T146" s="176"/>
      <c r="U146" s="176"/>
      <c r="V146" s="176"/>
      <c r="W146" s="5"/>
      <c r="X146" s="176"/>
      <c r="Y146" s="184"/>
      <c r="Z146" s="176"/>
      <c r="AA146" s="184"/>
      <c r="AB146" s="184"/>
      <c r="AC146" s="184"/>
      <c r="AD146" s="5"/>
      <c r="AE146" s="184"/>
      <c r="AF146" s="184"/>
      <c r="AG146" s="184"/>
      <c r="AH146" s="184"/>
      <c r="AI146" s="184"/>
      <c r="AJ146" s="184"/>
      <c r="AK146" s="5"/>
      <c r="AL146" s="184">
        <f t="shared" ref="AL146:AM146" si="423">ROUND(E146*(5/12)+K146*(5/12)+S146+X146-AE146,2)</f>
        <v>0.3</v>
      </c>
      <c r="AM146" s="184">
        <f t="shared" si="423"/>
        <v>0</v>
      </c>
      <c r="AN146" s="184">
        <f t="shared" si="339"/>
        <v>0</v>
      </c>
      <c r="AO146" s="184">
        <f t="shared" ref="AO146:AP146" si="424">ROUND(H146*(5/12)+N146*(5/12)+U146+Z146-AG146,2)</f>
        <v>0.27</v>
      </c>
      <c r="AP146" s="184">
        <f t="shared" si="424"/>
        <v>0.1</v>
      </c>
      <c r="AQ146" s="184">
        <f t="shared" ref="AQ146:AR146" si="425">P146+AB146-AI146</f>
        <v>0.75</v>
      </c>
      <c r="AR146" s="184">
        <f t="shared" si="425"/>
        <v>0.75</v>
      </c>
      <c r="AS146" s="5"/>
      <c r="AT146" s="176">
        <v>0.25</v>
      </c>
      <c r="AU146" s="176">
        <v>0.0</v>
      </c>
      <c r="AV146" s="176">
        <v>0.0</v>
      </c>
      <c r="AW146" s="176">
        <v>0.33</v>
      </c>
      <c r="AX146" s="176">
        <v>0.0</v>
      </c>
      <c r="AY146" s="176">
        <v>0.5</v>
      </c>
      <c r="AZ146" s="176">
        <v>1.0</v>
      </c>
      <c r="BA146" s="180" t="s">
        <v>1850</v>
      </c>
      <c r="BB146" s="5"/>
      <c r="BC146" s="62"/>
      <c r="BE146" s="184"/>
      <c r="BF146" s="184"/>
      <c r="BG146" s="184"/>
      <c r="BH146" s="184"/>
      <c r="BI146" s="184"/>
      <c r="BJ146" s="184"/>
      <c r="BK146" s="81"/>
      <c r="BL146" s="280" t="s">
        <v>1152</v>
      </c>
      <c r="BM146" s="81"/>
      <c r="BN146" s="81"/>
    </row>
    <row r="147">
      <c r="A147" s="176">
        <v>142.0</v>
      </c>
      <c r="B147" s="143" t="s">
        <v>1851</v>
      </c>
      <c r="C147" s="287" t="s">
        <v>161</v>
      </c>
      <c r="D147" s="245">
        <v>2.0</v>
      </c>
      <c r="E147" s="245">
        <v>1.0</v>
      </c>
      <c r="F147" s="380">
        <v>1.0</v>
      </c>
      <c r="G147" s="380">
        <v>1.0</v>
      </c>
      <c r="H147" s="382"/>
      <c r="I147" s="380">
        <v>1.0</v>
      </c>
      <c r="J147" s="258">
        <v>2.0</v>
      </c>
      <c r="K147" s="258">
        <v>1.0</v>
      </c>
      <c r="L147" s="269"/>
      <c r="M147" s="258">
        <v>0.8</v>
      </c>
      <c r="N147" s="268"/>
      <c r="O147" s="258">
        <v>0.2</v>
      </c>
      <c r="P147" s="180">
        <v>0.67</v>
      </c>
      <c r="Q147" s="180">
        <v>0.67</v>
      </c>
      <c r="R147" s="5"/>
      <c r="S147" s="176"/>
      <c r="T147" s="176"/>
      <c r="U147" s="176"/>
      <c r="V147" s="176"/>
      <c r="W147" s="5"/>
      <c r="X147" s="176"/>
      <c r="Y147" s="184"/>
      <c r="Z147" s="176"/>
      <c r="AA147" s="184"/>
      <c r="AB147" s="184"/>
      <c r="AC147" s="184"/>
      <c r="AD147" s="5"/>
      <c r="AE147" s="184"/>
      <c r="AF147" s="184"/>
      <c r="AG147" s="184"/>
      <c r="AH147" s="184"/>
      <c r="AI147" s="184"/>
      <c r="AJ147" s="184"/>
      <c r="AK147" s="5"/>
      <c r="AL147" s="184">
        <f t="shared" ref="AL147:AM147" si="426">ROUND(E147*(5/12)+K147*(5/12)+S147+X147-AE147,2)</f>
        <v>0.83</v>
      </c>
      <c r="AM147" s="184">
        <f t="shared" si="426"/>
        <v>0.42</v>
      </c>
      <c r="AN147" s="184">
        <f t="shared" si="339"/>
        <v>0.75</v>
      </c>
      <c r="AO147" s="184">
        <f t="shared" ref="AO147:AP147" si="427">ROUND(H147*(5/12)+N147*(5/12)+U147+Z147-AG147,2)</f>
        <v>0</v>
      </c>
      <c r="AP147" s="184">
        <f t="shared" si="427"/>
        <v>0.5</v>
      </c>
      <c r="AQ147" s="184">
        <f t="shared" ref="AQ147:AR147" si="428">P147+AB147-AI147</f>
        <v>0.67</v>
      </c>
      <c r="AR147" s="184">
        <f t="shared" si="428"/>
        <v>0.67</v>
      </c>
      <c r="AS147" s="5"/>
      <c r="AT147" s="176">
        <v>0.0</v>
      </c>
      <c r="AU147" s="176">
        <v>0.0</v>
      </c>
      <c r="AV147" s="176">
        <v>0.0</v>
      </c>
      <c r="AW147" s="176">
        <v>0.0</v>
      </c>
      <c r="AX147" s="176">
        <v>0.0</v>
      </c>
      <c r="AY147" s="176">
        <v>0.0</v>
      </c>
      <c r="AZ147" s="176">
        <v>0.0</v>
      </c>
      <c r="BA147" s="180" t="s">
        <v>1852</v>
      </c>
      <c r="BB147" s="5"/>
      <c r="BC147" s="62"/>
      <c r="BE147" s="184"/>
      <c r="BF147" s="184"/>
      <c r="BG147" s="184"/>
      <c r="BH147" s="184"/>
      <c r="BI147" s="184"/>
      <c r="BJ147" s="184"/>
      <c r="BK147" s="81"/>
      <c r="BL147" s="81"/>
      <c r="BM147" s="81"/>
      <c r="BN147" s="81"/>
    </row>
    <row r="148">
      <c r="A148" s="176">
        <v>143.0</v>
      </c>
      <c r="B148" s="143" t="s">
        <v>1853</v>
      </c>
      <c r="C148" s="287" t="s">
        <v>161</v>
      </c>
      <c r="D148" s="245">
        <v>4.5</v>
      </c>
      <c r="E148" s="376"/>
      <c r="F148" s="382"/>
      <c r="G148" s="382"/>
      <c r="H148" s="382"/>
      <c r="I148" s="382"/>
      <c r="J148" s="258">
        <v>4.5</v>
      </c>
      <c r="K148" s="258">
        <v>0.0</v>
      </c>
      <c r="L148" s="269"/>
      <c r="M148" s="269"/>
      <c r="N148" s="268"/>
      <c r="O148" s="269"/>
      <c r="P148" s="180">
        <v>0.75</v>
      </c>
      <c r="Q148" s="180">
        <v>0.75</v>
      </c>
      <c r="R148" s="5"/>
      <c r="S148" s="176"/>
      <c r="T148" s="176"/>
      <c r="U148" s="176"/>
      <c r="V148" s="176"/>
      <c r="W148" s="5"/>
      <c r="X148" s="176"/>
      <c r="Y148" s="184"/>
      <c r="Z148" s="176"/>
      <c r="AA148" s="184"/>
      <c r="AB148" s="184"/>
      <c r="AC148" s="184"/>
      <c r="AD148" s="5"/>
      <c r="AE148" s="184"/>
      <c r="AF148" s="184"/>
      <c r="AG148" s="184"/>
      <c r="AH148" s="184"/>
      <c r="AI148" s="184"/>
      <c r="AJ148" s="184"/>
      <c r="AK148" s="5"/>
      <c r="AL148" s="184">
        <f t="shared" ref="AL148:AM148" si="429">ROUND(E148*(5/12)+K148*(5/12)+S148+X148-AE148,2)</f>
        <v>0</v>
      </c>
      <c r="AM148" s="184">
        <f t="shared" si="429"/>
        <v>0</v>
      </c>
      <c r="AN148" s="184">
        <f t="shared" si="339"/>
        <v>0</v>
      </c>
      <c r="AO148" s="184">
        <f t="shared" ref="AO148:AP148" si="430">ROUND(H148*(5/12)+N148*(5/12)+U148+Z148-AG148,2)</f>
        <v>0</v>
      </c>
      <c r="AP148" s="184">
        <f t="shared" si="430"/>
        <v>0</v>
      </c>
      <c r="AQ148" s="184">
        <f t="shared" ref="AQ148:AR148" si="431">P148+AB148-AI148</f>
        <v>0.75</v>
      </c>
      <c r="AR148" s="184">
        <f t="shared" si="431"/>
        <v>0.75</v>
      </c>
      <c r="AS148" s="5"/>
      <c r="AT148" s="176">
        <v>0.0</v>
      </c>
      <c r="AU148" s="176">
        <v>0.0</v>
      </c>
      <c r="AV148" s="176">
        <v>0.0</v>
      </c>
      <c r="AW148" s="176">
        <v>0.0</v>
      </c>
      <c r="AX148" s="176">
        <v>0.0</v>
      </c>
      <c r="AY148" s="176">
        <v>0.0</v>
      </c>
      <c r="AZ148" s="176">
        <v>1.0</v>
      </c>
      <c r="BA148" s="180" t="s">
        <v>1854</v>
      </c>
      <c r="BB148" s="5"/>
      <c r="BC148" s="62"/>
      <c r="BE148" s="184"/>
      <c r="BF148" s="184"/>
      <c r="BG148" s="184"/>
      <c r="BH148" s="184"/>
      <c r="BI148" s="184"/>
      <c r="BJ148" s="184"/>
      <c r="BK148" s="81"/>
      <c r="BL148" s="280" t="s">
        <v>1152</v>
      </c>
      <c r="BM148" s="81"/>
      <c r="BN148" s="81"/>
    </row>
    <row r="149">
      <c r="A149" s="176">
        <v>144.0</v>
      </c>
      <c r="B149" s="143" t="s">
        <v>1855</v>
      </c>
      <c r="C149" s="287" t="s">
        <v>161</v>
      </c>
      <c r="D149" s="245">
        <v>4.0</v>
      </c>
      <c r="E149" s="376"/>
      <c r="F149" s="382"/>
      <c r="G149" s="382"/>
      <c r="H149" s="382"/>
      <c r="I149" s="382"/>
      <c r="J149" s="258">
        <v>4.0</v>
      </c>
      <c r="K149" s="258">
        <v>0.47</v>
      </c>
      <c r="L149" s="268"/>
      <c r="M149" s="269"/>
      <c r="N149" s="268"/>
      <c r="O149" s="268"/>
      <c r="P149" s="180">
        <v>1.0</v>
      </c>
      <c r="Q149" s="180">
        <v>1.0</v>
      </c>
      <c r="R149" s="5"/>
      <c r="S149" s="176"/>
      <c r="T149" s="176"/>
      <c r="U149" s="176"/>
      <c r="V149" s="176"/>
      <c r="W149" s="5"/>
      <c r="X149" s="176"/>
      <c r="Y149" s="184"/>
      <c r="Z149" s="176"/>
      <c r="AA149" s="184"/>
      <c r="AB149" s="184"/>
      <c r="AC149" s="184"/>
      <c r="AD149" s="5"/>
      <c r="AE149" s="184"/>
      <c r="AF149" s="184"/>
      <c r="AG149" s="184"/>
      <c r="AH149" s="184"/>
      <c r="AI149" s="184"/>
      <c r="AJ149" s="184"/>
      <c r="AK149" s="5"/>
      <c r="AL149" s="184">
        <f t="shared" ref="AL149:AM149" si="432">ROUND(E149*(5/12)+K149*(5/12)+S149+X149-AE149,2)</f>
        <v>0.2</v>
      </c>
      <c r="AM149" s="184">
        <f t="shared" si="432"/>
        <v>0</v>
      </c>
      <c r="AN149" s="184">
        <f t="shared" si="339"/>
        <v>0</v>
      </c>
      <c r="AO149" s="184">
        <f t="shared" ref="AO149:AP149" si="433">ROUND(H149*(5/12)+N149*(5/12)+U149+Z149-AG149,2)</f>
        <v>0</v>
      </c>
      <c r="AP149" s="184">
        <f t="shared" si="433"/>
        <v>0</v>
      </c>
      <c r="AQ149" s="184">
        <f t="shared" ref="AQ149:AR149" si="434">P149+AB149-AI149</f>
        <v>1</v>
      </c>
      <c r="AR149" s="184">
        <f t="shared" si="434"/>
        <v>1</v>
      </c>
      <c r="AS149" s="5"/>
      <c r="AT149" s="176">
        <v>0.0</v>
      </c>
      <c r="AU149" s="176">
        <v>0.0</v>
      </c>
      <c r="AV149" s="176">
        <v>0.0</v>
      </c>
      <c r="AW149" s="176">
        <v>0.0</v>
      </c>
      <c r="AX149" s="176">
        <v>0.0</v>
      </c>
      <c r="AY149" s="176">
        <v>0.0</v>
      </c>
      <c r="AZ149" s="176">
        <v>1.0</v>
      </c>
      <c r="BA149" s="383" t="s">
        <v>1856</v>
      </c>
      <c r="BB149" s="5"/>
      <c r="BC149" s="62"/>
      <c r="BE149" s="184"/>
      <c r="BF149" s="184"/>
      <c r="BG149" s="184"/>
      <c r="BH149" s="184"/>
      <c r="BI149" s="184"/>
      <c r="BJ149" s="184"/>
      <c r="BK149" s="81"/>
      <c r="BL149" s="280" t="s">
        <v>1152</v>
      </c>
      <c r="BM149" s="81"/>
      <c r="BN149" s="81"/>
    </row>
    <row r="150">
      <c r="A150" s="176">
        <v>145.0</v>
      </c>
      <c r="B150" s="143" t="s">
        <v>1857</v>
      </c>
      <c r="C150" s="287" t="s">
        <v>161</v>
      </c>
      <c r="D150" s="245">
        <v>3.0</v>
      </c>
      <c r="E150" s="245">
        <v>1.0</v>
      </c>
      <c r="F150" s="382"/>
      <c r="G150" s="382"/>
      <c r="H150" s="382"/>
      <c r="I150" s="382"/>
      <c r="J150" s="258">
        <v>3.0</v>
      </c>
      <c r="K150" s="258">
        <v>1.0</v>
      </c>
      <c r="L150" s="269"/>
      <c r="M150" s="269"/>
      <c r="N150" s="268"/>
      <c r="O150" s="269"/>
      <c r="P150" s="180">
        <v>1.0</v>
      </c>
      <c r="Q150" s="180">
        <v>1.0</v>
      </c>
      <c r="R150" s="5"/>
      <c r="S150" s="176"/>
      <c r="T150" s="176"/>
      <c r="U150" s="176"/>
      <c r="V150" s="176"/>
      <c r="W150" s="5"/>
      <c r="X150" s="176"/>
      <c r="Y150" s="184"/>
      <c r="Z150" s="176"/>
      <c r="AA150" s="184"/>
      <c r="AB150" s="184"/>
      <c r="AC150" s="184"/>
      <c r="AD150" s="5"/>
      <c r="AE150" s="184"/>
      <c r="AF150" s="184"/>
      <c r="AG150" s="184"/>
      <c r="AH150" s="184"/>
      <c r="AI150" s="184"/>
      <c r="AJ150" s="184"/>
      <c r="AK150" s="5"/>
      <c r="AL150" s="184">
        <f t="shared" ref="AL150:AM150" si="435">ROUND(E150*(5/12)+K150*(5/12)+S150+X150-AE150,2)</f>
        <v>0.83</v>
      </c>
      <c r="AM150" s="184">
        <f t="shared" si="435"/>
        <v>0</v>
      </c>
      <c r="AN150" s="184">
        <f t="shared" si="339"/>
        <v>0</v>
      </c>
      <c r="AO150" s="184">
        <f t="shared" ref="AO150:AP150" si="436">ROUND(H150*(5/12)+N150*(5/12)+U150+Z150-AG150,2)</f>
        <v>0</v>
      </c>
      <c r="AP150" s="184">
        <f t="shared" si="436"/>
        <v>0</v>
      </c>
      <c r="AQ150" s="184">
        <f t="shared" ref="AQ150:AR150" si="437">P150+AB150-AI150</f>
        <v>1</v>
      </c>
      <c r="AR150" s="184">
        <f t="shared" si="437"/>
        <v>1</v>
      </c>
      <c r="AS150" s="5"/>
      <c r="AT150" s="176">
        <v>0.5</v>
      </c>
      <c r="AU150" s="176">
        <v>0.0</v>
      </c>
      <c r="AV150" s="176">
        <v>0.0</v>
      </c>
      <c r="AW150" s="176">
        <v>0.0</v>
      </c>
      <c r="AX150" s="176">
        <v>0.0</v>
      </c>
      <c r="AY150" s="176">
        <v>0.0</v>
      </c>
      <c r="AZ150" s="176">
        <v>0.0</v>
      </c>
      <c r="BA150" s="195" t="s">
        <v>1858</v>
      </c>
      <c r="BB150" s="5"/>
      <c r="BC150" s="62"/>
      <c r="BE150" s="184"/>
      <c r="BF150" s="184"/>
      <c r="BG150" s="184"/>
      <c r="BH150" s="184"/>
      <c r="BI150" s="184"/>
      <c r="BJ150" s="184"/>
      <c r="BK150" s="81"/>
      <c r="BL150" s="81"/>
      <c r="BM150" s="81"/>
      <c r="BN150" s="81"/>
    </row>
    <row r="151">
      <c r="A151" s="176">
        <v>146.0</v>
      </c>
      <c r="B151" s="143" t="s">
        <v>1859</v>
      </c>
      <c r="C151" s="287" t="s">
        <v>161</v>
      </c>
      <c r="D151" s="245">
        <v>5.0</v>
      </c>
      <c r="E151" s="245">
        <v>0.27</v>
      </c>
      <c r="F151" s="382"/>
      <c r="G151" s="382"/>
      <c r="H151" s="382"/>
      <c r="I151" s="382"/>
      <c r="J151" s="258">
        <v>3.67</v>
      </c>
      <c r="K151" s="258">
        <v>0.5</v>
      </c>
      <c r="L151" s="269"/>
      <c r="M151" s="269"/>
      <c r="N151" s="268"/>
      <c r="O151" s="269"/>
      <c r="P151" s="180">
        <v>0.67</v>
      </c>
      <c r="Q151" s="180">
        <v>0.67</v>
      </c>
      <c r="R151" s="5"/>
      <c r="S151" s="176"/>
      <c r="T151" s="176"/>
      <c r="U151" s="176"/>
      <c r="V151" s="176"/>
      <c r="W151" s="5"/>
      <c r="X151" s="176"/>
      <c r="Y151" s="184"/>
      <c r="Z151" s="176"/>
      <c r="AA151" s="184"/>
      <c r="AB151" s="184"/>
      <c r="AC151" s="184"/>
      <c r="AD151" s="5"/>
      <c r="AE151" s="184"/>
      <c r="AF151" s="184"/>
      <c r="AG151" s="184"/>
      <c r="AH151" s="184"/>
      <c r="AI151" s="184"/>
      <c r="AJ151" s="184"/>
      <c r="AK151" s="5"/>
      <c r="AL151" s="184">
        <f t="shared" ref="AL151:AM151" si="438">ROUND(E151*(5/12)+K151*(5/12)+S151+X151-AE151,2)</f>
        <v>0.32</v>
      </c>
      <c r="AM151" s="184">
        <f t="shared" si="438"/>
        <v>0</v>
      </c>
      <c r="AN151" s="184">
        <f t="shared" si="339"/>
        <v>0</v>
      </c>
      <c r="AO151" s="184">
        <f t="shared" ref="AO151:AP151" si="439">ROUND(H151*(5/12)+N151*(5/12)+U151+Z151-AG151,2)</f>
        <v>0</v>
      </c>
      <c r="AP151" s="184">
        <f t="shared" si="439"/>
        <v>0</v>
      </c>
      <c r="AQ151" s="184">
        <f t="shared" ref="AQ151:AR151" si="440">P151+AB151-AI151</f>
        <v>0.67</v>
      </c>
      <c r="AR151" s="184">
        <f t="shared" si="440"/>
        <v>0.67</v>
      </c>
      <c r="AS151" s="5"/>
      <c r="AT151" s="176">
        <v>0.0</v>
      </c>
      <c r="AU151" s="176">
        <v>0.0</v>
      </c>
      <c r="AV151" s="176">
        <v>0.0</v>
      </c>
      <c r="AW151" s="176">
        <v>0.0</v>
      </c>
      <c r="AX151" s="176">
        <v>0.0</v>
      </c>
      <c r="AY151" s="176">
        <v>0.5</v>
      </c>
      <c r="AZ151" s="176">
        <v>1.0</v>
      </c>
      <c r="BA151" s="195" t="s">
        <v>1860</v>
      </c>
      <c r="BB151" s="5"/>
      <c r="BC151" s="62"/>
      <c r="BE151" s="184"/>
      <c r="BF151" s="184"/>
      <c r="BG151" s="184"/>
      <c r="BH151" s="184"/>
      <c r="BI151" s="184"/>
      <c r="BJ151" s="184"/>
      <c r="BK151" s="81"/>
      <c r="BL151" s="305" t="s">
        <v>1561</v>
      </c>
      <c r="BM151" s="81"/>
      <c r="BN151" s="81"/>
    </row>
    <row r="152">
      <c r="A152" s="176">
        <v>147.0</v>
      </c>
      <c r="B152" s="143" t="s">
        <v>1861</v>
      </c>
      <c r="C152" s="287" t="s">
        <v>161</v>
      </c>
      <c r="D152" s="245">
        <v>4.67</v>
      </c>
      <c r="E152" s="245">
        <v>0.26</v>
      </c>
      <c r="F152" s="382"/>
      <c r="G152" s="382"/>
      <c r="H152" s="382"/>
      <c r="I152" s="382"/>
      <c r="J152" s="258">
        <v>4.0</v>
      </c>
      <c r="K152" s="258">
        <v>0.5</v>
      </c>
      <c r="L152" s="269"/>
      <c r="M152" s="269"/>
      <c r="N152" s="268"/>
      <c r="O152" s="269"/>
      <c r="P152" s="180">
        <v>0.67</v>
      </c>
      <c r="Q152" s="180">
        <v>0.67</v>
      </c>
      <c r="R152" s="5"/>
      <c r="S152" s="176"/>
      <c r="T152" s="176"/>
      <c r="U152" s="176"/>
      <c r="V152" s="176"/>
      <c r="W152" s="5"/>
      <c r="X152" s="176"/>
      <c r="Y152" s="184"/>
      <c r="Z152" s="176"/>
      <c r="AA152" s="184"/>
      <c r="AB152" s="184"/>
      <c r="AC152" s="184"/>
      <c r="AD152" s="5"/>
      <c r="AE152" s="184"/>
      <c r="AF152" s="184"/>
      <c r="AG152" s="184"/>
      <c r="AH152" s="184"/>
      <c r="AI152" s="184"/>
      <c r="AJ152" s="184"/>
      <c r="AK152" s="5"/>
      <c r="AL152" s="184">
        <f t="shared" ref="AL152:AM152" si="441">ROUND(E152*(5/12)+K152*(5/12)+S152+X152-AE152,2)</f>
        <v>0.32</v>
      </c>
      <c r="AM152" s="184">
        <f t="shared" si="441"/>
        <v>0</v>
      </c>
      <c r="AN152" s="184">
        <f t="shared" si="339"/>
        <v>0</v>
      </c>
      <c r="AO152" s="184">
        <f t="shared" ref="AO152:AP152" si="442">ROUND(H152*(5/12)+N152*(5/12)+U152+Z152-AG152,2)</f>
        <v>0</v>
      </c>
      <c r="AP152" s="184">
        <f t="shared" si="442"/>
        <v>0</v>
      </c>
      <c r="AQ152" s="184">
        <f t="shared" ref="AQ152:AR152" si="443">P152+AB152-AI152</f>
        <v>0.67</v>
      </c>
      <c r="AR152" s="184">
        <f t="shared" si="443"/>
        <v>0.67</v>
      </c>
      <c r="AS152" s="5"/>
      <c r="AT152" s="176">
        <v>0.0</v>
      </c>
      <c r="AU152" s="176">
        <v>0.0</v>
      </c>
      <c r="AV152" s="176">
        <v>0.0</v>
      </c>
      <c r="AW152" s="176">
        <v>0.0</v>
      </c>
      <c r="AX152" s="176">
        <v>0.0</v>
      </c>
      <c r="AY152" s="176">
        <v>0.0</v>
      </c>
      <c r="AZ152" s="176">
        <v>0.0</v>
      </c>
      <c r="BA152" s="195" t="s">
        <v>1862</v>
      </c>
      <c r="BB152" s="5"/>
      <c r="BC152" s="62"/>
      <c r="BE152" s="184"/>
      <c r="BF152" s="184"/>
      <c r="BG152" s="184"/>
      <c r="BH152" s="184"/>
      <c r="BI152" s="184"/>
      <c r="BJ152" s="184"/>
      <c r="BK152" s="81"/>
      <c r="BL152" s="81"/>
      <c r="BM152" s="81"/>
      <c r="BN152" s="81"/>
    </row>
    <row r="153">
      <c r="A153" s="176">
        <v>148.0</v>
      </c>
      <c r="B153" s="143" t="s">
        <v>1863</v>
      </c>
      <c r="C153" s="287" t="s">
        <v>161</v>
      </c>
      <c r="D153" s="245">
        <v>5.0</v>
      </c>
      <c r="E153" s="245">
        <v>0.27</v>
      </c>
      <c r="F153" s="382"/>
      <c r="G153" s="382"/>
      <c r="H153" s="382"/>
      <c r="I153" s="382"/>
      <c r="J153" s="258">
        <v>3.67</v>
      </c>
      <c r="K153" s="258">
        <v>0.5</v>
      </c>
      <c r="L153" s="269"/>
      <c r="M153" s="269"/>
      <c r="N153" s="268"/>
      <c r="O153" s="269"/>
      <c r="P153" s="180">
        <v>0.67</v>
      </c>
      <c r="Q153" s="180">
        <v>0.67</v>
      </c>
      <c r="R153" s="5"/>
      <c r="S153" s="176"/>
      <c r="T153" s="176"/>
      <c r="U153" s="176"/>
      <c r="V153" s="176"/>
      <c r="W153" s="5"/>
      <c r="X153" s="176"/>
      <c r="Y153" s="184"/>
      <c r="Z153" s="176"/>
      <c r="AA153" s="184"/>
      <c r="AB153" s="184"/>
      <c r="AC153" s="184"/>
      <c r="AD153" s="5"/>
      <c r="AE153" s="184"/>
      <c r="AF153" s="184"/>
      <c r="AG153" s="184"/>
      <c r="AH153" s="184"/>
      <c r="AI153" s="184"/>
      <c r="AJ153" s="184"/>
      <c r="AK153" s="5"/>
      <c r="AL153" s="184">
        <f t="shared" ref="AL153:AM153" si="444">ROUND(E153*(5/12)+K153*(5/12)+S153+X153-AE153,2)</f>
        <v>0.32</v>
      </c>
      <c r="AM153" s="184">
        <f t="shared" si="444"/>
        <v>0</v>
      </c>
      <c r="AN153" s="184">
        <f t="shared" si="339"/>
        <v>0</v>
      </c>
      <c r="AO153" s="184">
        <f t="shared" ref="AO153:AP153" si="445">ROUND(H153*(5/12)+N153*(5/12)+U153+Z153-AG153,2)</f>
        <v>0</v>
      </c>
      <c r="AP153" s="184">
        <f t="shared" si="445"/>
        <v>0</v>
      </c>
      <c r="AQ153" s="184">
        <f t="shared" ref="AQ153:AR153" si="446">P153+AB153-AI153</f>
        <v>0.67</v>
      </c>
      <c r="AR153" s="184">
        <f t="shared" si="446"/>
        <v>0.67</v>
      </c>
      <c r="AS153" s="5"/>
      <c r="AT153" s="176">
        <v>0.0</v>
      </c>
      <c r="AU153" s="176">
        <v>0.0</v>
      </c>
      <c r="AV153" s="176">
        <v>0.0</v>
      </c>
      <c r="AW153" s="176">
        <v>0.0</v>
      </c>
      <c r="AX153" s="176">
        <v>0.0</v>
      </c>
      <c r="AY153" s="176">
        <v>0.0</v>
      </c>
      <c r="AZ153" s="176">
        <v>0.0</v>
      </c>
      <c r="BA153" s="180" t="s">
        <v>1864</v>
      </c>
      <c r="BB153" s="5"/>
      <c r="BC153" s="62"/>
      <c r="BE153" s="184"/>
      <c r="BF153" s="184"/>
      <c r="BG153" s="184"/>
      <c r="BH153" s="184"/>
      <c r="BI153" s="184"/>
      <c r="BJ153" s="184"/>
      <c r="BK153" s="81"/>
      <c r="BL153" s="280" t="s">
        <v>1152</v>
      </c>
      <c r="BM153" s="81"/>
      <c r="BN153" s="81"/>
    </row>
    <row r="154">
      <c r="A154" s="176">
        <v>149.0</v>
      </c>
      <c r="B154" s="143" t="s">
        <v>1865</v>
      </c>
      <c r="C154" s="287" t="s">
        <v>161</v>
      </c>
      <c r="D154" s="245">
        <v>4.0</v>
      </c>
      <c r="E154" s="245">
        <v>0.75</v>
      </c>
      <c r="F154" s="382"/>
      <c r="G154" s="382"/>
      <c r="H154" s="382"/>
      <c r="I154" s="382"/>
      <c r="J154" s="258">
        <v>4.0</v>
      </c>
      <c r="K154" s="258">
        <v>0.75</v>
      </c>
      <c r="L154" s="269"/>
      <c r="M154" s="269"/>
      <c r="N154" s="268"/>
      <c r="O154" s="269"/>
      <c r="P154" s="180">
        <v>0.67</v>
      </c>
      <c r="Q154" s="180">
        <v>0.67</v>
      </c>
      <c r="R154" s="5"/>
      <c r="S154" s="176"/>
      <c r="T154" s="176"/>
      <c r="U154" s="176"/>
      <c r="V154" s="176"/>
      <c r="W154" s="5"/>
      <c r="X154" s="176"/>
      <c r="Y154" s="184"/>
      <c r="Z154" s="176"/>
      <c r="AA154" s="184"/>
      <c r="AB154" s="184"/>
      <c r="AC154" s="184"/>
      <c r="AD154" s="5"/>
      <c r="AE154" s="184"/>
      <c r="AF154" s="184"/>
      <c r="AG154" s="184"/>
      <c r="AH154" s="184"/>
      <c r="AI154" s="184"/>
      <c r="AJ154" s="184"/>
      <c r="AK154" s="5"/>
      <c r="AL154" s="184">
        <f t="shared" ref="AL154:AM154" si="447">ROUND(E154*(5/12)+K154*(5/12)+S154+X154-AE154,2)</f>
        <v>0.63</v>
      </c>
      <c r="AM154" s="184">
        <f t="shared" si="447"/>
        <v>0</v>
      </c>
      <c r="AN154" s="184">
        <f t="shared" si="339"/>
        <v>0</v>
      </c>
      <c r="AO154" s="184">
        <f t="shared" ref="AO154:AP154" si="448">ROUND(H154*(5/12)+N154*(5/12)+U154+Z154-AG154,2)</f>
        <v>0</v>
      </c>
      <c r="AP154" s="184">
        <f t="shared" si="448"/>
        <v>0</v>
      </c>
      <c r="AQ154" s="184">
        <f t="shared" ref="AQ154:AR154" si="449">P154+AB154-AI154</f>
        <v>0.67</v>
      </c>
      <c r="AR154" s="184">
        <f t="shared" si="449"/>
        <v>0.67</v>
      </c>
      <c r="AS154" s="5"/>
      <c r="AT154" s="176">
        <v>0.0</v>
      </c>
      <c r="AU154" s="176">
        <v>0.0</v>
      </c>
      <c r="AV154" s="176">
        <v>0.0</v>
      </c>
      <c r="AW154" s="176">
        <v>0.0</v>
      </c>
      <c r="AX154" s="176">
        <v>0.0</v>
      </c>
      <c r="AY154" s="176">
        <v>1.0</v>
      </c>
      <c r="AZ154" s="176">
        <v>1.0</v>
      </c>
      <c r="BA154" s="180" t="s">
        <v>1866</v>
      </c>
      <c r="BB154" s="5"/>
      <c r="BC154" s="62"/>
      <c r="BE154" s="184"/>
      <c r="BF154" s="184"/>
      <c r="BG154" s="184"/>
      <c r="BH154" s="184"/>
      <c r="BI154" s="184"/>
      <c r="BJ154" s="184"/>
      <c r="BK154" s="81"/>
      <c r="BL154" s="280" t="s">
        <v>1152</v>
      </c>
      <c r="BM154" s="81"/>
      <c r="BN154" s="81"/>
    </row>
    <row r="155">
      <c r="A155" s="176">
        <v>150.0</v>
      </c>
      <c r="B155" s="143" t="s">
        <v>1867</v>
      </c>
      <c r="C155" s="287" t="s">
        <v>161</v>
      </c>
      <c r="D155" s="245">
        <v>4.0</v>
      </c>
      <c r="E155" s="376"/>
      <c r="F155" s="382"/>
      <c r="G155" s="382"/>
      <c r="H155" s="382"/>
      <c r="I155" s="382"/>
      <c r="J155" s="258">
        <v>4.67</v>
      </c>
      <c r="K155" s="258">
        <v>0.0</v>
      </c>
      <c r="L155" s="269"/>
      <c r="M155" s="269"/>
      <c r="N155" s="268"/>
      <c r="O155" s="269"/>
      <c r="P155" s="180">
        <v>0.0</v>
      </c>
      <c r="Q155" s="180">
        <v>0.0</v>
      </c>
      <c r="R155" s="5"/>
      <c r="S155" s="176"/>
      <c r="T155" s="176"/>
      <c r="U155" s="176"/>
      <c r="V155" s="176"/>
      <c r="W155" s="5"/>
      <c r="X155" s="176"/>
      <c r="Y155" s="184"/>
      <c r="Z155" s="176"/>
      <c r="AA155" s="184"/>
      <c r="AB155" s="184"/>
      <c r="AC155" s="184"/>
      <c r="AD155" s="5"/>
      <c r="AE155" s="184"/>
      <c r="AF155" s="184"/>
      <c r="AG155" s="184"/>
      <c r="AH155" s="184"/>
      <c r="AI155" s="184"/>
      <c r="AJ155" s="184"/>
      <c r="AK155" s="5"/>
      <c r="AL155" s="184">
        <f t="shared" ref="AL155:AM155" si="450">ROUND(E155*(5/12)+K155*(5/12)+S155+X155-AE155,2)</f>
        <v>0</v>
      </c>
      <c r="AM155" s="184">
        <f t="shared" si="450"/>
        <v>0</v>
      </c>
      <c r="AN155" s="184">
        <f t="shared" si="339"/>
        <v>0</v>
      </c>
      <c r="AO155" s="184">
        <f t="shared" ref="AO155:AP155" si="451">ROUND(H155*(5/12)+N155*(5/12)+U155+Z155-AG155,2)</f>
        <v>0</v>
      </c>
      <c r="AP155" s="184">
        <f t="shared" si="451"/>
        <v>0</v>
      </c>
      <c r="AQ155" s="184">
        <f t="shared" ref="AQ155:AR155" si="452">P155+AB155-AI155</f>
        <v>0</v>
      </c>
      <c r="AR155" s="184">
        <f t="shared" si="452"/>
        <v>0</v>
      </c>
      <c r="AS155" s="5"/>
      <c r="AT155" s="176">
        <v>0.0</v>
      </c>
      <c r="AU155" s="176">
        <v>0.0</v>
      </c>
      <c r="AV155" s="176">
        <v>0.0</v>
      </c>
      <c r="AW155" s="176">
        <v>0.0</v>
      </c>
      <c r="AX155" s="176">
        <v>0.0</v>
      </c>
      <c r="AY155" s="176">
        <v>0.0</v>
      </c>
      <c r="AZ155" s="176">
        <v>0.0</v>
      </c>
      <c r="BA155" s="180" t="s">
        <v>650</v>
      </c>
      <c r="BB155" s="5"/>
      <c r="BC155" s="62"/>
      <c r="BE155" s="184"/>
      <c r="BF155" s="184"/>
      <c r="BG155" s="184"/>
      <c r="BH155" s="184"/>
      <c r="BI155" s="184"/>
      <c r="BJ155" s="184"/>
      <c r="BK155" s="81"/>
      <c r="BL155" s="81"/>
      <c r="BM155" s="81"/>
      <c r="BN155" s="81"/>
    </row>
    <row r="156">
      <c r="A156" s="176">
        <v>151.0</v>
      </c>
      <c r="B156" s="377" t="s">
        <v>1868</v>
      </c>
      <c r="C156" s="287" t="s">
        <v>1409</v>
      </c>
      <c r="D156" s="245">
        <v>2.0</v>
      </c>
      <c r="E156" s="245">
        <v>0.3</v>
      </c>
      <c r="F156" s="380">
        <v>0.3</v>
      </c>
      <c r="G156" s="380">
        <v>0.2</v>
      </c>
      <c r="H156" s="380">
        <v>0.05</v>
      </c>
      <c r="I156" s="380">
        <v>0.1</v>
      </c>
      <c r="J156" s="258">
        <v>2.0</v>
      </c>
      <c r="K156" s="258">
        <v>0.41</v>
      </c>
      <c r="L156" s="258">
        <v>0.15</v>
      </c>
      <c r="M156" s="258">
        <v>0.2</v>
      </c>
      <c r="N156" s="258">
        <v>0.05</v>
      </c>
      <c r="O156" s="258">
        <v>0.19</v>
      </c>
      <c r="P156" s="180">
        <v>1.0</v>
      </c>
      <c r="Q156" s="180">
        <v>1.0</v>
      </c>
      <c r="R156" s="5"/>
      <c r="S156" s="176">
        <v>0.3</v>
      </c>
      <c r="T156" s="176">
        <v>0.0</v>
      </c>
      <c r="U156" s="176">
        <v>0.03</v>
      </c>
      <c r="V156" s="176">
        <v>0.0</v>
      </c>
      <c r="W156" s="5"/>
      <c r="X156" s="176">
        <v>0.05</v>
      </c>
      <c r="Y156" s="184"/>
      <c r="Z156" s="176">
        <v>0.17</v>
      </c>
      <c r="AA156" s="184"/>
      <c r="AB156" s="184"/>
      <c r="AC156" s="184"/>
      <c r="AD156" s="5"/>
      <c r="AE156" s="184"/>
      <c r="AF156" s="184"/>
      <c r="AG156" s="184"/>
      <c r="AH156" s="184"/>
      <c r="AI156" s="184"/>
      <c r="AJ156" s="184"/>
      <c r="AK156" s="5"/>
      <c r="AL156" s="184">
        <f t="shared" ref="AL156:AM156" si="453">ROUND(E156*(5/12)+K156*(5/12)+S156+X156-AE156,2)</f>
        <v>0.65</v>
      </c>
      <c r="AM156" s="184">
        <f t="shared" si="453"/>
        <v>0.19</v>
      </c>
      <c r="AN156" s="184">
        <f t="shared" si="339"/>
        <v>0.17</v>
      </c>
      <c r="AO156" s="184">
        <f t="shared" ref="AO156:AP156" si="454">ROUND(H156*(5/12)+N156*(5/12)+U156+Z156-AG156,2)</f>
        <v>0.24</v>
      </c>
      <c r="AP156" s="184">
        <f t="shared" si="454"/>
        <v>0.12</v>
      </c>
      <c r="AQ156" s="184">
        <f t="shared" ref="AQ156:AR156" si="455">P156+AB156-AI156</f>
        <v>1</v>
      </c>
      <c r="AR156" s="184">
        <f t="shared" si="455"/>
        <v>1</v>
      </c>
      <c r="AS156" s="5"/>
      <c r="AT156" s="176">
        <v>0.5</v>
      </c>
      <c r="AU156" s="176">
        <v>0.0</v>
      </c>
      <c r="AV156" s="176">
        <v>0.0</v>
      </c>
      <c r="AW156" s="176">
        <v>0.0</v>
      </c>
      <c r="AX156" s="176">
        <v>0.0</v>
      </c>
      <c r="AY156" s="176">
        <v>0.0</v>
      </c>
      <c r="AZ156" s="176">
        <v>0.0</v>
      </c>
      <c r="BA156" s="195" t="s">
        <v>1869</v>
      </c>
      <c r="BB156" s="5"/>
      <c r="BC156" s="62"/>
      <c r="BE156" s="184"/>
      <c r="BF156" s="184"/>
      <c r="BG156" s="184"/>
      <c r="BH156" s="184"/>
      <c r="BI156" s="184"/>
      <c r="BJ156" s="184"/>
      <c r="BK156" s="81"/>
      <c r="BL156" s="280" t="s">
        <v>1561</v>
      </c>
      <c r="BM156" s="81"/>
      <c r="BN156" s="81"/>
    </row>
    <row r="157">
      <c r="A157" s="176">
        <v>152.0</v>
      </c>
      <c r="B157" s="377" t="s">
        <v>1870</v>
      </c>
      <c r="C157" s="287" t="s">
        <v>1409</v>
      </c>
      <c r="D157" s="245">
        <v>3.67</v>
      </c>
      <c r="E157" s="245">
        <v>0.4</v>
      </c>
      <c r="F157" s="380">
        <v>0.3</v>
      </c>
      <c r="G157" s="380">
        <v>0.2</v>
      </c>
      <c r="H157" s="380">
        <v>0.17</v>
      </c>
      <c r="I157" s="380">
        <v>0.2</v>
      </c>
      <c r="J157" s="258">
        <v>4.19</v>
      </c>
      <c r="K157" s="258">
        <v>0.5</v>
      </c>
      <c r="L157" s="258">
        <v>0.11</v>
      </c>
      <c r="M157" s="258">
        <v>0.0</v>
      </c>
      <c r="N157" s="258">
        <v>0.0</v>
      </c>
      <c r="O157" s="258">
        <v>0.2</v>
      </c>
      <c r="P157" s="180">
        <v>1.0</v>
      </c>
      <c r="Q157" s="180">
        <v>1.0</v>
      </c>
      <c r="R157" s="5"/>
      <c r="S157" s="176">
        <v>0.13</v>
      </c>
      <c r="T157" s="176">
        <v>0.0</v>
      </c>
      <c r="U157" s="176">
        <v>0.03</v>
      </c>
      <c r="V157" s="176">
        <v>0.0</v>
      </c>
      <c r="W157" s="5"/>
      <c r="X157" s="176">
        <v>1.08</v>
      </c>
      <c r="Y157" s="176">
        <v>0.17</v>
      </c>
      <c r="Z157" s="176">
        <v>0.07</v>
      </c>
      <c r="AA157" s="184"/>
      <c r="AB157" s="184"/>
      <c r="AC157" s="176">
        <v>1.0</v>
      </c>
      <c r="AD157" s="5"/>
      <c r="AE157" s="384">
        <v>0.04</v>
      </c>
      <c r="AF157" s="184"/>
      <c r="AG157" s="184"/>
      <c r="AH157" s="184"/>
      <c r="AI157" s="184"/>
      <c r="AJ157" s="384">
        <v>0.57</v>
      </c>
      <c r="AK157" s="5"/>
      <c r="AL157" s="184">
        <f t="shared" ref="AL157:AM157" si="456">ROUND(E157*(5/12)+K157*(5/12)+S157+X157-AE157,2)</f>
        <v>1.55</v>
      </c>
      <c r="AM157" s="184">
        <f t="shared" si="456"/>
        <v>0.34</v>
      </c>
      <c r="AN157" s="184">
        <f t="shared" si="339"/>
        <v>0.08</v>
      </c>
      <c r="AO157" s="184">
        <f t="shared" ref="AO157:AP157" si="457">ROUND(H157*(5/12)+N157*(5/12)+U157+Z157-AG157,2)</f>
        <v>0.17</v>
      </c>
      <c r="AP157" s="184">
        <f t="shared" si="457"/>
        <v>0.17</v>
      </c>
      <c r="AQ157" s="184">
        <f t="shared" ref="AQ157:AR157" si="458">P157+AB157-AI157</f>
        <v>1</v>
      </c>
      <c r="AR157" s="184">
        <f t="shared" si="458"/>
        <v>1.43</v>
      </c>
      <c r="AS157" s="5"/>
      <c r="AT157" s="176">
        <v>1.5</v>
      </c>
      <c r="AU157" s="176">
        <v>0.0</v>
      </c>
      <c r="AV157" s="176">
        <v>0.0</v>
      </c>
      <c r="AW157" s="176">
        <v>0.33</v>
      </c>
      <c r="AX157" s="176">
        <v>0.0</v>
      </c>
      <c r="AY157" s="176">
        <v>1.0</v>
      </c>
      <c r="AZ157" s="176">
        <v>0.0</v>
      </c>
      <c r="BA157" s="52" t="s">
        <v>1871</v>
      </c>
      <c r="BB157" s="5"/>
      <c r="BC157" s="62"/>
      <c r="BE157" s="184"/>
      <c r="BF157" s="184"/>
      <c r="BG157" s="184"/>
      <c r="BH157" s="184"/>
      <c r="BI157" s="184"/>
      <c r="BJ157" s="184"/>
      <c r="BK157" s="81"/>
      <c r="BL157" s="280" t="s">
        <v>1152</v>
      </c>
      <c r="BM157" s="81"/>
      <c r="BN157" s="81"/>
    </row>
    <row r="158">
      <c r="A158" s="176">
        <v>153.0</v>
      </c>
      <c r="B158" s="377" t="s">
        <v>1872</v>
      </c>
      <c r="C158" s="287" t="s">
        <v>1409</v>
      </c>
      <c r="D158" s="245">
        <v>4.0</v>
      </c>
      <c r="E158" s="245">
        <v>0.3</v>
      </c>
      <c r="F158" s="380">
        <v>0.1</v>
      </c>
      <c r="G158" s="380">
        <v>0.2</v>
      </c>
      <c r="H158" s="380">
        <v>0.0</v>
      </c>
      <c r="I158" s="380">
        <v>0.0</v>
      </c>
      <c r="J158" s="258">
        <v>4.38</v>
      </c>
      <c r="K158" s="258">
        <v>0.0</v>
      </c>
      <c r="L158" s="258">
        <v>0.02</v>
      </c>
      <c r="M158" s="258">
        <v>0.0</v>
      </c>
      <c r="N158" s="258">
        <v>0.0</v>
      </c>
      <c r="O158" s="258">
        <v>0.1</v>
      </c>
      <c r="P158" s="180">
        <v>1.0</v>
      </c>
      <c r="Q158" s="180">
        <v>1.0</v>
      </c>
      <c r="R158" s="5"/>
      <c r="S158" s="176">
        <v>0.13</v>
      </c>
      <c r="T158" s="176">
        <v>0.0</v>
      </c>
      <c r="U158" s="176">
        <v>0.03</v>
      </c>
      <c r="V158" s="176">
        <v>0.0</v>
      </c>
      <c r="W158" s="5"/>
      <c r="X158" s="176">
        <v>0.67</v>
      </c>
      <c r="Y158" s="184"/>
      <c r="Z158" s="176">
        <v>0.07</v>
      </c>
      <c r="AA158" s="184"/>
      <c r="AB158" s="176">
        <v>1.0</v>
      </c>
      <c r="AC158" s="374">
        <v>0.67</v>
      </c>
      <c r="AD158" s="5"/>
      <c r="AE158" s="184"/>
      <c r="AF158" s="184"/>
      <c r="AG158" s="184"/>
      <c r="AH158" s="184"/>
      <c r="AI158" s="184"/>
      <c r="AJ158" s="184"/>
      <c r="AK158" s="5"/>
      <c r="AL158" s="184">
        <f t="shared" ref="AL158:AM158" si="459">ROUND(E158*(5/12)+K158*(5/12)+S158+X158-AE158,2)</f>
        <v>0.93</v>
      </c>
      <c r="AM158" s="184">
        <f t="shared" si="459"/>
        <v>0.05</v>
      </c>
      <c r="AN158" s="184">
        <f t="shared" si="339"/>
        <v>0.08</v>
      </c>
      <c r="AO158" s="184">
        <f t="shared" ref="AO158:AP158" si="460">ROUND(H158*(5/12)+N158*(5/12)+U158+Z158-AG158,2)</f>
        <v>0.1</v>
      </c>
      <c r="AP158" s="184">
        <f t="shared" si="460"/>
        <v>0.04</v>
      </c>
      <c r="AQ158" s="184">
        <f t="shared" ref="AQ158:AR158" si="461">P158+AB158-AI158</f>
        <v>2</v>
      </c>
      <c r="AR158" s="184">
        <f t="shared" si="461"/>
        <v>1.67</v>
      </c>
      <c r="AS158" s="5"/>
      <c r="AT158" s="176">
        <v>1.0</v>
      </c>
      <c r="AU158" s="176">
        <v>0.0</v>
      </c>
      <c r="AV158" s="176">
        <v>0.0</v>
      </c>
      <c r="AW158" s="176">
        <v>0.0</v>
      </c>
      <c r="AX158" s="176">
        <v>0.0</v>
      </c>
      <c r="AY158" s="176">
        <v>2.0</v>
      </c>
      <c r="AZ158" s="176">
        <v>1.0</v>
      </c>
      <c r="BA158" s="52" t="s">
        <v>1873</v>
      </c>
      <c r="BB158" s="5"/>
      <c r="BC158" s="62"/>
      <c r="BE158" s="302">
        <v>0.58</v>
      </c>
      <c r="BF158" s="304"/>
      <c r="BG158" s="304"/>
      <c r="BH158" s="304"/>
      <c r="BI158" s="304"/>
      <c r="BJ158" s="302"/>
      <c r="BK158" s="302"/>
      <c r="BL158" s="280" t="s">
        <v>1152</v>
      </c>
      <c r="BM158" s="280" t="s">
        <v>1874</v>
      </c>
      <c r="BN158" s="81"/>
    </row>
    <row r="159">
      <c r="A159" s="176">
        <v>154.0</v>
      </c>
      <c r="B159" s="377" t="s">
        <v>1875</v>
      </c>
      <c r="C159" s="287" t="s">
        <v>1409</v>
      </c>
      <c r="D159" s="245">
        <v>4.0</v>
      </c>
      <c r="E159" s="245">
        <v>0.4</v>
      </c>
      <c r="F159" s="245">
        <v>0.05</v>
      </c>
      <c r="G159" s="245">
        <v>0.4</v>
      </c>
      <c r="H159" s="245">
        <v>0.17</v>
      </c>
      <c r="I159" s="245">
        <v>0.15</v>
      </c>
      <c r="J159" s="264">
        <v>2.67</v>
      </c>
      <c r="K159" s="258">
        <v>0.8</v>
      </c>
      <c r="L159" s="258">
        <v>0.2</v>
      </c>
      <c r="M159" s="258">
        <v>0.2</v>
      </c>
      <c r="N159" s="258">
        <v>0.0</v>
      </c>
      <c r="O159" s="258">
        <v>0.0</v>
      </c>
      <c r="P159" s="180">
        <v>0.83</v>
      </c>
      <c r="Q159" s="180">
        <v>0.83</v>
      </c>
      <c r="R159" s="5"/>
      <c r="S159" s="176"/>
      <c r="T159" s="176"/>
      <c r="U159" s="176"/>
      <c r="V159" s="176"/>
      <c r="W159" s="5"/>
      <c r="X159" s="184"/>
      <c r="Y159" s="176"/>
      <c r="Z159" s="184"/>
      <c r="AA159" s="184"/>
      <c r="AB159" s="184"/>
      <c r="AC159" s="184"/>
      <c r="AD159" s="5"/>
      <c r="AE159" s="176"/>
      <c r="AF159" s="176"/>
      <c r="AG159" s="184"/>
      <c r="AH159" s="184"/>
      <c r="AI159" s="184"/>
      <c r="AJ159" s="184"/>
      <c r="AK159" s="5"/>
      <c r="AL159" s="184">
        <f t="shared" ref="AL159:AM159" si="462">ROUND(E159*(5/12)+K159*(5/12)+S159+X159-AE159,2)</f>
        <v>0.5</v>
      </c>
      <c r="AM159" s="184">
        <f t="shared" si="462"/>
        <v>0.1</v>
      </c>
      <c r="AN159" s="184">
        <f t="shared" si="339"/>
        <v>0.25</v>
      </c>
      <c r="AO159" s="184">
        <f t="shared" ref="AO159:AP159" si="463">ROUND(H159*(5/12)+N159*(5/12)+U159+Z159-AG159,2)</f>
        <v>0.07</v>
      </c>
      <c r="AP159" s="184">
        <f t="shared" si="463"/>
        <v>0.06</v>
      </c>
      <c r="AQ159" s="184">
        <f t="shared" ref="AQ159:AR159" si="464">P159+AB159-AI159</f>
        <v>0.83</v>
      </c>
      <c r="AR159" s="184">
        <f t="shared" si="464"/>
        <v>0.83</v>
      </c>
      <c r="AS159" s="5"/>
      <c r="AT159" s="176"/>
      <c r="AU159" s="176"/>
      <c r="AV159" s="176"/>
      <c r="AW159" s="176"/>
      <c r="AX159" s="176"/>
      <c r="AY159" s="176"/>
      <c r="AZ159" s="176"/>
      <c r="BA159" s="180" t="s">
        <v>1670</v>
      </c>
      <c r="BB159" s="5"/>
      <c r="BC159" s="62"/>
      <c r="BE159" s="184"/>
      <c r="BF159" s="184"/>
      <c r="BG159" s="184"/>
      <c r="BH159" s="184"/>
      <c r="BI159" s="184"/>
      <c r="BJ159" s="184"/>
      <c r="BK159" s="81"/>
      <c r="BL159" s="81"/>
      <c r="BM159" s="81"/>
      <c r="BN159" s="81"/>
    </row>
    <row r="160">
      <c r="A160" s="176">
        <v>155.0</v>
      </c>
      <c r="B160" s="377" t="s">
        <v>1415</v>
      </c>
      <c r="C160" s="287" t="s">
        <v>1409</v>
      </c>
      <c r="D160" s="245">
        <v>4.5</v>
      </c>
      <c r="E160" s="245">
        <v>0.3</v>
      </c>
      <c r="F160" s="245">
        <v>0.0</v>
      </c>
      <c r="G160" s="245">
        <v>0.0</v>
      </c>
      <c r="H160" s="376"/>
      <c r="I160" s="245">
        <v>0.0</v>
      </c>
      <c r="J160" s="264">
        <v>3.0</v>
      </c>
      <c r="K160" s="258">
        <v>0.6</v>
      </c>
      <c r="L160" s="258">
        <v>0.2</v>
      </c>
      <c r="M160" s="258">
        <v>0.0</v>
      </c>
      <c r="N160" s="258">
        <v>0.2</v>
      </c>
      <c r="O160" s="258">
        <v>0.0</v>
      </c>
      <c r="P160" s="180">
        <v>1.0</v>
      </c>
      <c r="Q160" s="180">
        <v>1.0</v>
      </c>
      <c r="R160" s="5"/>
      <c r="S160" s="176"/>
      <c r="T160" s="176"/>
      <c r="U160" s="176"/>
      <c r="V160" s="176"/>
      <c r="W160" s="5"/>
      <c r="X160" s="184"/>
      <c r="Y160" s="176"/>
      <c r="Z160" s="184"/>
      <c r="AA160" s="184"/>
      <c r="AB160" s="184"/>
      <c r="AC160" s="184"/>
      <c r="AD160" s="5"/>
      <c r="AE160" s="176"/>
      <c r="AF160" s="176"/>
      <c r="AG160" s="184"/>
      <c r="AH160" s="184"/>
      <c r="AI160" s="184"/>
      <c r="AJ160" s="184"/>
      <c r="AK160" s="5"/>
      <c r="AL160" s="184">
        <f t="shared" ref="AL160:AM160" si="465">ROUND(E160*(5/12)+K160*(5/12)+S160+X160-AE160,2)</f>
        <v>0.38</v>
      </c>
      <c r="AM160" s="184">
        <f t="shared" si="465"/>
        <v>0.08</v>
      </c>
      <c r="AN160" s="184">
        <f t="shared" si="339"/>
        <v>0</v>
      </c>
      <c r="AO160" s="184">
        <f t="shared" ref="AO160:AP160" si="466">ROUND(H160*(5/12)+N160*(5/12)+U160+Z160-AG160,2)</f>
        <v>0.08</v>
      </c>
      <c r="AP160" s="184">
        <f t="shared" si="466"/>
        <v>0</v>
      </c>
      <c r="AQ160" s="184">
        <f t="shared" ref="AQ160:AR160" si="467">P160+AB160-AI160</f>
        <v>1</v>
      </c>
      <c r="AR160" s="184">
        <f t="shared" si="467"/>
        <v>1</v>
      </c>
      <c r="AS160" s="5"/>
      <c r="AT160" s="176">
        <v>0.0</v>
      </c>
      <c r="AU160" s="176">
        <v>0.0</v>
      </c>
      <c r="AV160" s="176">
        <v>0.0</v>
      </c>
      <c r="AW160" s="176">
        <v>0.0</v>
      </c>
      <c r="AX160" s="176">
        <v>0.0</v>
      </c>
      <c r="AY160" s="176">
        <v>0.0</v>
      </c>
      <c r="AZ160" s="176">
        <v>0.0</v>
      </c>
      <c r="BA160" s="195" t="s">
        <v>1876</v>
      </c>
      <c r="BB160" s="5"/>
      <c r="BC160" s="62"/>
      <c r="BE160" s="198">
        <v>0.324</v>
      </c>
      <c r="BF160" s="301"/>
      <c r="BG160" s="301"/>
      <c r="BH160" s="301"/>
      <c r="BI160" s="323">
        <v>1.0</v>
      </c>
      <c r="BJ160" s="198">
        <v>1.0</v>
      </c>
      <c r="BK160" s="280" t="s">
        <v>1877</v>
      </c>
      <c r="BL160" s="81"/>
      <c r="BM160" s="81"/>
      <c r="BN160" s="81"/>
    </row>
    <row r="161">
      <c r="A161" s="176">
        <v>156.0</v>
      </c>
      <c r="B161" s="377" t="s">
        <v>1878</v>
      </c>
      <c r="C161" s="287" t="s">
        <v>1409</v>
      </c>
      <c r="D161" s="245">
        <v>4.0</v>
      </c>
      <c r="E161" s="245">
        <v>0.4</v>
      </c>
      <c r="F161" s="245">
        <v>0.15</v>
      </c>
      <c r="G161" s="245">
        <v>0.0</v>
      </c>
      <c r="H161" s="245">
        <v>0.17</v>
      </c>
      <c r="I161" s="245">
        <v>0.11</v>
      </c>
      <c r="J161" s="264">
        <v>3.67</v>
      </c>
      <c r="K161" s="258">
        <v>0.5</v>
      </c>
      <c r="L161" s="258">
        <v>0.0</v>
      </c>
      <c r="M161" s="258">
        <v>0.2</v>
      </c>
      <c r="N161" s="258">
        <v>0.12</v>
      </c>
      <c r="O161" s="258">
        <v>0.11</v>
      </c>
      <c r="P161" s="180">
        <v>0.91</v>
      </c>
      <c r="Q161" s="180">
        <v>0.91</v>
      </c>
      <c r="R161" s="5"/>
      <c r="S161" s="176"/>
      <c r="T161" s="176"/>
      <c r="U161" s="176"/>
      <c r="V161" s="176"/>
      <c r="W161" s="5"/>
      <c r="X161" s="184"/>
      <c r="Y161" s="176"/>
      <c r="Z161" s="184"/>
      <c r="AA161" s="184"/>
      <c r="AB161" s="184"/>
      <c r="AC161" s="184"/>
      <c r="AD161" s="5"/>
      <c r="AE161" s="176"/>
      <c r="AF161" s="176"/>
      <c r="AG161" s="184"/>
      <c r="AH161" s="184"/>
      <c r="AI161" s="184"/>
      <c r="AJ161" s="184"/>
      <c r="AK161" s="5"/>
      <c r="AL161" s="184">
        <f t="shared" ref="AL161:AM161" si="468">ROUND(E161*(5/12)+K161*(5/12)+S161+X161-AE161,2)</f>
        <v>0.38</v>
      </c>
      <c r="AM161" s="184">
        <f t="shared" si="468"/>
        <v>0.06</v>
      </c>
      <c r="AN161" s="184">
        <f t="shared" si="339"/>
        <v>0.08</v>
      </c>
      <c r="AO161" s="184">
        <f t="shared" ref="AO161:AP161" si="469">ROUND(H161*(5/12)+N161*(5/12)+U161+Z161-AG161,2)</f>
        <v>0.12</v>
      </c>
      <c r="AP161" s="184">
        <f t="shared" si="469"/>
        <v>0.09</v>
      </c>
      <c r="AQ161" s="184">
        <f t="shared" ref="AQ161:AR161" si="470">P161+AB161-AI161</f>
        <v>0.91</v>
      </c>
      <c r="AR161" s="184">
        <f t="shared" si="470"/>
        <v>0.91</v>
      </c>
      <c r="AS161" s="5"/>
      <c r="AT161" s="176">
        <v>0.0</v>
      </c>
      <c r="AU161" s="176">
        <v>0.0</v>
      </c>
      <c r="AV161" s="176">
        <v>0.05</v>
      </c>
      <c r="AW161" s="176">
        <v>0.0</v>
      </c>
      <c r="AX161" s="176">
        <v>0.0</v>
      </c>
      <c r="AY161" s="176">
        <v>0.0</v>
      </c>
      <c r="AZ161" s="176">
        <v>0.0</v>
      </c>
      <c r="BA161" s="195" t="s">
        <v>1879</v>
      </c>
      <c r="BB161" s="5"/>
      <c r="BC161" s="62"/>
      <c r="BE161" s="184"/>
      <c r="BF161" s="184"/>
      <c r="BG161" s="184"/>
      <c r="BH161" s="184"/>
      <c r="BI161" s="184"/>
      <c r="BJ161" s="184"/>
      <c r="BK161" s="81"/>
      <c r="BL161" s="280" t="s">
        <v>1561</v>
      </c>
      <c r="BM161" s="81"/>
      <c r="BN161" s="81"/>
    </row>
    <row r="162">
      <c r="A162" s="176">
        <v>157.0</v>
      </c>
      <c r="B162" s="377" t="s">
        <v>1880</v>
      </c>
      <c r="C162" s="287" t="s">
        <v>1409</v>
      </c>
      <c r="D162" s="245">
        <v>4.0</v>
      </c>
      <c r="E162" s="245">
        <v>0.4</v>
      </c>
      <c r="F162" s="245">
        <v>0.05</v>
      </c>
      <c r="G162" s="376"/>
      <c r="H162" s="376"/>
      <c r="I162" s="376"/>
      <c r="J162" s="264">
        <v>4.0</v>
      </c>
      <c r="K162" s="258">
        <v>0.0</v>
      </c>
      <c r="L162" s="258">
        <v>0.0</v>
      </c>
      <c r="M162" s="269"/>
      <c r="N162" s="269"/>
      <c r="O162" s="269"/>
      <c r="P162" s="180">
        <v>0.83</v>
      </c>
      <c r="Q162" s="180">
        <v>0.83</v>
      </c>
      <c r="R162" s="5"/>
      <c r="S162" s="176"/>
      <c r="T162" s="176"/>
      <c r="U162" s="176"/>
      <c r="V162" s="176"/>
      <c r="W162" s="5"/>
      <c r="X162" s="184"/>
      <c r="Y162" s="176"/>
      <c r="Z162" s="184"/>
      <c r="AA162" s="184"/>
      <c r="AB162" s="184"/>
      <c r="AC162" s="184"/>
      <c r="AD162" s="5"/>
      <c r="AE162" s="176"/>
      <c r="AF162" s="176"/>
      <c r="AG162" s="184"/>
      <c r="AH162" s="184"/>
      <c r="AI162" s="184"/>
      <c r="AJ162" s="184"/>
      <c r="AK162" s="5"/>
      <c r="AL162" s="184">
        <f t="shared" ref="AL162:AM162" si="471">ROUND(E162*(5/12)+K162*(5/12)+S162+X162-AE162,2)</f>
        <v>0.17</v>
      </c>
      <c r="AM162" s="184">
        <f t="shared" si="471"/>
        <v>0.02</v>
      </c>
      <c r="AN162" s="184">
        <f t="shared" si="339"/>
        <v>0</v>
      </c>
      <c r="AO162" s="184">
        <f t="shared" ref="AO162:AP162" si="472">ROUND(H162*(5/12)+N162*(5/12)+U162+Z162-AG162,2)</f>
        <v>0</v>
      </c>
      <c r="AP162" s="184">
        <f t="shared" si="472"/>
        <v>0</v>
      </c>
      <c r="AQ162" s="184">
        <f t="shared" ref="AQ162:AR162" si="473">P162+AB162-AI162</f>
        <v>0.83</v>
      </c>
      <c r="AR162" s="184">
        <f t="shared" si="473"/>
        <v>0.83</v>
      </c>
      <c r="AS162" s="5"/>
      <c r="AT162" s="176">
        <v>0.0</v>
      </c>
      <c r="AU162" s="176">
        <v>0.0</v>
      </c>
      <c r="AV162" s="176">
        <v>0.0</v>
      </c>
      <c r="AW162" s="176">
        <v>0.0</v>
      </c>
      <c r="AX162" s="176">
        <v>0.0</v>
      </c>
      <c r="AY162" s="176">
        <v>0.0</v>
      </c>
      <c r="AZ162" s="176">
        <v>0.0</v>
      </c>
      <c r="BA162" s="195" t="s">
        <v>1881</v>
      </c>
      <c r="BB162" s="5"/>
      <c r="BC162" s="62"/>
      <c r="BE162" s="198">
        <v>1.809</v>
      </c>
      <c r="BF162" s="184"/>
      <c r="BG162" s="184"/>
      <c r="BH162" s="184"/>
      <c r="BI162" s="184"/>
      <c r="BJ162" s="184"/>
      <c r="BK162" s="81"/>
      <c r="BL162" s="81"/>
      <c r="BM162" s="81"/>
      <c r="BN162" s="81"/>
    </row>
    <row r="163">
      <c r="A163" s="176">
        <v>158.0</v>
      </c>
      <c r="B163" s="143" t="s">
        <v>1882</v>
      </c>
      <c r="C163" s="287" t="s">
        <v>1409</v>
      </c>
      <c r="D163" s="245">
        <v>3.67</v>
      </c>
      <c r="E163" s="245">
        <v>0.4</v>
      </c>
      <c r="F163" s="245">
        <v>0.25</v>
      </c>
      <c r="G163" s="245">
        <v>0.2</v>
      </c>
      <c r="H163" s="376"/>
      <c r="I163" s="376"/>
      <c r="J163" s="264">
        <v>4.0</v>
      </c>
      <c r="K163" s="258">
        <v>0.43</v>
      </c>
      <c r="L163" s="258">
        <v>0.05</v>
      </c>
      <c r="M163" s="258">
        <v>0.2</v>
      </c>
      <c r="N163" s="269"/>
      <c r="O163" s="269"/>
      <c r="P163" s="180">
        <v>0.58</v>
      </c>
      <c r="Q163" s="180">
        <v>0.58</v>
      </c>
      <c r="R163" s="5"/>
      <c r="S163" s="176"/>
      <c r="T163" s="176"/>
      <c r="U163" s="176"/>
      <c r="V163" s="176"/>
      <c r="W163" s="5"/>
      <c r="X163" s="184"/>
      <c r="Y163" s="176"/>
      <c r="Z163" s="184"/>
      <c r="AA163" s="184"/>
      <c r="AB163" s="184"/>
      <c r="AC163" s="184"/>
      <c r="AD163" s="5"/>
      <c r="AE163" s="176"/>
      <c r="AF163" s="176"/>
      <c r="AG163" s="184"/>
      <c r="AH163" s="184"/>
      <c r="AI163" s="184"/>
      <c r="AJ163" s="184"/>
      <c r="AK163" s="5"/>
      <c r="AL163" s="184">
        <f t="shared" ref="AL163:AM163" si="474">ROUND(E163*(5/12)+K163*(5/12)+S163+X163-AE163,2)</f>
        <v>0.35</v>
      </c>
      <c r="AM163" s="184">
        <f t="shared" si="474"/>
        <v>0.13</v>
      </c>
      <c r="AN163" s="184">
        <f t="shared" si="339"/>
        <v>0.17</v>
      </c>
      <c r="AO163" s="184">
        <f t="shared" ref="AO163:AP163" si="475">ROUND(H163*(5/12)+N163*(5/12)+U163+Z163-AG163,2)</f>
        <v>0</v>
      </c>
      <c r="AP163" s="184">
        <f t="shared" si="475"/>
        <v>0</v>
      </c>
      <c r="AQ163" s="184">
        <f t="shared" ref="AQ163:AR163" si="476">P163+AB163-AI163</f>
        <v>0.58</v>
      </c>
      <c r="AR163" s="184">
        <f t="shared" si="476"/>
        <v>0.58</v>
      </c>
      <c r="AS163" s="5"/>
      <c r="AT163" s="176">
        <v>0.0</v>
      </c>
      <c r="AU163" s="176">
        <v>0.0</v>
      </c>
      <c r="AV163" s="176">
        <v>0.0</v>
      </c>
      <c r="AW163" s="176">
        <v>0.0</v>
      </c>
      <c r="AX163" s="176">
        <v>0.0</v>
      </c>
      <c r="AY163" s="176">
        <v>0.0</v>
      </c>
      <c r="AZ163" s="176">
        <v>0.0</v>
      </c>
      <c r="BA163" s="195" t="s">
        <v>1883</v>
      </c>
      <c r="BB163" s="5"/>
      <c r="BC163" s="62"/>
      <c r="BE163" s="184"/>
      <c r="BF163" s="184"/>
      <c r="BG163" s="184"/>
      <c r="BH163" s="184"/>
      <c r="BI163" s="184"/>
      <c r="BJ163" s="184"/>
      <c r="BK163" s="81"/>
      <c r="BL163" s="280" t="s">
        <v>1561</v>
      </c>
      <c r="BM163" s="81"/>
      <c r="BN163" s="81"/>
    </row>
    <row r="164">
      <c r="A164" s="176">
        <v>159.0</v>
      </c>
      <c r="B164" s="143" t="s">
        <v>1884</v>
      </c>
      <c r="C164" s="287" t="s">
        <v>1409</v>
      </c>
      <c r="D164" s="245">
        <v>3.67</v>
      </c>
      <c r="E164" s="245">
        <v>0.4</v>
      </c>
      <c r="F164" s="376"/>
      <c r="G164" s="376"/>
      <c r="H164" s="376"/>
      <c r="I164" s="376"/>
      <c r="J164" s="264">
        <v>3.0</v>
      </c>
      <c r="K164" s="258">
        <v>0.43</v>
      </c>
      <c r="L164" s="258">
        <v>0.37</v>
      </c>
      <c r="M164" s="258">
        <v>0.2</v>
      </c>
      <c r="N164" s="269"/>
      <c r="O164" s="269"/>
      <c r="P164" s="180">
        <v>0.5</v>
      </c>
      <c r="Q164" s="180">
        <v>0.5</v>
      </c>
      <c r="R164" s="5"/>
      <c r="S164" s="176"/>
      <c r="T164" s="176"/>
      <c r="U164" s="176"/>
      <c r="V164" s="176"/>
      <c r="W164" s="5"/>
      <c r="X164" s="184"/>
      <c r="Y164" s="176"/>
      <c r="Z164" s="184"/>
      <c r="AA164" s="184"/>
      <c r="AB164" s="184"/>
      <c r="AC164" s="184"/>
      <c r="AD164" s="5"/>
      <c r="AE164" s="176"/>
      <c r="AF164" s="176"/>
      <c r="AG164" s="184"/>
      <c r="AH164" s="184"/>
      <c r="AI164" s="184"/>
      <c r="AJ164" s="184"/>
      <c r="AK164" s="5"/>
      <c r="AL164" s="184">
        <f t="shared" ref="AL164:AM164" si="477">ROUND(E164*(5/12)+K164*(5/12)+S164+X164-AE164,2)</f>
        <v>0.35</v>
      </c>
      <c r="AM164" s="184">
        <f t="shared" si="477"/>
        <v>0.15</v>
      </c>
      <c r="AN164" s="184">
        <f t="shared" si="339"/>
        <v>0.08</v>
      </c>
      <c r="AO164" s="184">
        <f t="shared" ref="AO164:AP164" si="478">ROUND(H164*(5/12)+N164*(5/12)+U164+Z164-AG164,2)</f>
        <v>0</v>
      </c>
      <c r="AP164" s="184">
        <f t="shared" si="478"/>
        <v>0</v>
      </c>
      <c r="AQ164" s="184">
        <f t="shared" ref="AQ164:AR164" si="479">P164+AB164-AI164</f>
        <v>0.5</v>
      </c>
      <c r="AR164" s="184">
        <f t="shared" si="479"/>
        <v>0.5</v>
      </c>
      <c r="AS164" s="5"/>
      <c r="AT164" s="176">
        <v>0.0</v>
      </c>
      <c r="AU164" s="176">
        <v>0.0</v>
      </c>
      <c r="AV164" s="176">
        <v>0.0</v>
      </c>
      <c r="AW164" s="176">
        <v>0.0</v>
      </c>
      <c r="AX164" s="176">
        <v>0.0</v>
      </c>
      <c r="AY164" s="176">
        <v>0.0</v>
      </c>
      <c r="AZ164" s="176">
        <v>0.0</v>
      </c>
      <c r="BA164" s="195" t="s">
        <v>1885</v>
      </c>
      <c r="BB164" s="5"/>
      <c r="BC164" s="62"/>
      <c r="BE164" s="184"/>
      <c r="BF164" s="184"/>
      <c r="BG164" s="184"/>
      <c r="BH164" s="184"/>
      <c r="BI164" s="184"/>
      <c r="BJ164" s="184"/>
      <c r="BK164" s="81"/>
      <c r="BL164" s="81"/>
      <c r="BM164" s="81"/>
      <c r="BN164" s="81"/>
    </row>
    <row r="165">
      <c r="A165" s="176">
        <v>160.0</v>
      </c>
      <c r="B165" s="143" t="s">
        <v>1886</v>
      </c>
      <c r="C165" s="287" t="s">
        <v>1409</v>
      </c>
      <c r="D165" s="245">
        <v>3.67</v>
      </c>
      <c r="E165" s="245">
        <v>0.5</v>
      </c>
      <c r="F165" s="376"/>
      <c r="G165" s="376"/>
      <c r="H165" s="376"/>
      <c r="I165" s="376"/>
      <c r="J165" s="264">
        <v>4.67</v>
      </c>
      <c r="K165" s="258">
        <v>0.3</v>
      </c>
      <c r="L165" s="258">
        <v>0.0</v>
      </c>
      <c r="M165" s="258">
        <v>0.0</v>
      </c>
      <c r="N165" s="258">
        <v>0.03</v>
      </c>
      <c r="O165" s="258">
        <v>0.0</v>
      </c>
      <c r="P165" s="180">
        <v>0.5</v>
      </c>
      <c r="Q165" s="180">
        <v>0.5</v>
      </c>
      <c r="R165" s="5"/>
      <c r="S165" s="176"/>
      <c r="T165" s="176"/>
      <c r="U165" s="176"/>
      <c r="V165" s="176"/>
      <c r="W165" s="5"/>
      <c r="X165" s="184"/>
      <c r="Y165" s="176"/>
      <c r="Z165" s="184"/>
      <c r="AA165" s="184"/>
      <c r="AB165" s="184"/>
      <c r="AC165" s="184"/>
      <c r="AD165" s="5"/>
      <c r="AE165" s="176"/>
      <c r="AF165" s="176"/>
      <c r="AG165" s="184"/>
      <c r="AH165" s="184"/>
      <c r="AI165" s="184"/>
      <c r="AJ165" s="184"/>
      <c r="AK165" s="5"/>
      <c r="AL165" s="184">
        <f t="shared" ref="AL165:AM165" si="480">ROUND(E165*(5/12)+K165*(5/12)+S165+X165-AE165,2)</f>
        <v>0.33</v>
      </c>
      <c r="AM165" s="184">
        <f t="shared" si="480"/>
        <v>0</v>
      </c>
      <c r="AN165" s="184">
        <f t="shared" si="339"/>
        <v>0</v>
      </c>
      <c r="AO165" s="184">
        <f t="shared" ref="AO165:AP165" si="481">ROUND(H165*(5/12)+N165*(5/12)+U165+Z165-AG165,2)</f>
        <v>0.01</v>
      </c>
      <c r="AP165" s="184">
        <f t="shared" si="481"/>
        <v>0</v>
      </c>
      <c r="AQ165" s="184">
        <f t="shared" ref="AQ165:AR165" si="482">P165+AB165-AI165</f>
        <v>0.5</v>
      </c>
      <c r="AR165" s="184">
        <f t="shared" si="482"/>
        <v>0.5</v>
      </c>
      <c r="AS165" s="5"/>
      <c r="AT165" s="176">
        <v>0.0</v>
      </c>
      <c r="AU165" s="176">
        <v>0.0</v>
      </c>
      <c r="AV165" s="176">
        <v>0.0</v>
      </c>
      <c r="AW165" s="176">
        <v>0.0</v>
      </c>
      <c r="AX165" s="176">
        <v>0.0</v>
      </c>
      <c r="AY165" s="176">
        <v>0.0</v>
      </c>
      <c r="AZ165" s="176">
        <v>0.0</v>
      </c>
      <c r="BA165" s="195" t="s">
        <v>1887</v>
      </c>
      <c r="BB165" s="5"/>
      <c r="BC165" s="62"/>
      <c r="BE165" s="184"/>
      <c r="BF165" s="184"/>
      <c r="BG165" s="184"/>
      <c r="BH165" s="184"/>
      <c r="BI165" s="184"/>
      <c r="BJ165" s="184"/>
      <c r="BK165" s="81"/>
      <c r="BL165" s="280" t="s">
        <v>1561</v>
      </c>
      <c r="BM165" s="81"/>
      <c r="BN165" s="81"/>
    </row>
    <row r="166">
      <c r="A166" s="176">
        <v>161.0</v>
      </c>
      <c r="B166" s="385" t="s">
        <v>1888</v>
      </c>
      <c r="C166" s="287" t="s">
        <v>1409</v>
      </c>
      <c r="D166" s="245">
        <v>3.5</v>
      </c>
      <c r="E166" s="245">
        <v>0.5</v>
      </c>
      <c r="F166" s="245"/>
      <c r="G166" s="245"/>
      <c r="H166" s="376"/>
      <c r="I166" s="245"/>
      <c r="J166" s="264">
        <v>3.0</v>
      </c>
      <c r="K166" s="258">
        <v>0.5</v>
      </c>
      <c r="L166" s="258">
        <v>0.1</v>
      </c>
      <c r="M166" s="258">
        <v>0.2</v>
      </c>
      <c r="N166" s="258">
        <v>0.2</v>
      </c>
      <c r="O166" s="269"/>
      <c r="P166" s="180">
        <v>0.0</v>
      </c>
      <c r="Q166" s="180">
        <v>0.0</v>
      </c>
      <c r="R166" s="5"/>
      <c r="S166" s="176"/>
      <c r="T166" s="176"/>
      <c r="U166" s="176"/>
      <c r="V166" s="176"/>
      <c r="W166" s="5"/>
      <c r="X166" s="184"/>
      <c r="Y166" s="176"/>
      <c r="Z166" s="184"/>
      <c r="AA166" s="184"/>
      <c r="AB166" s="184"/>
      <c r="AC166" s="184"/>
      <c r="AD166" s="5"/>
      <c r="AE166" s="176"/>
      <c r="AF166" s="176"/>
      <c r="AG166" s="184"/>
      <c r="AH166" s="184"/>
      <c r="AI166" s="184"/>
      <c r="AJ166" s="184"/>
      <c r="AK166" s="5"/>
      <c r="AL166" s="184">
        <f t="shared" ref="AL166:AM166" si="483">ROUND(E166*(5/12)+K166*(5/12)+S166+X166-AE166,2)</f>
        <v>0.42</v>
      </c>
      <c r="AM166" s="184">
        <f t="shared" si="483"/>
        <v>0.04</v>
      </c>
      <c r="AN166" s="184">
        <f t="shared" si="339"/>
        <v>0.08</v>
      </c>
      <c r="AO166" s="184">
        <f t="shared" ref="AO166:AP166" si="484">ROUND(H166*(5/12)+N166*(5/12)+U166+Z166-AG166,2)</f>
        <v>0.08</v>
      </c>
      <c r="AP166" s="184">
        <f t="shared" si="484"/>
        <v>0</v>
      </c>
      <c r="AQ166" s="184">
        <f t="shared" ref="AQ166:AR166" si="485">P166+AB166-AI166</f>
        <v>0</v>
      </c>
      <c r="AR166" s="184">
        <f t="shared" si="485"/>
        <v>0</v>
      </c>
      <c r="AS166" s="5"/>
      <c r="AT166" s="176">
        <v>0.0</v>
      </c>
      <c r="AU166" s="176">
        <v>0.0</v>
      </c>
      <c r="AV166" s="176">
        <v>0.0</v>
      </c>
      <c r="AW166" s="176">
        <v>0.0</v>
      </c>
      <c r="AX166" s="176">
        <v>0.0</v>
      </c>
      <c r="AY166" s="176">
        <v>0.0</v>
      </c>
      <c r="AZ166" s="176">
        <v>0.0</v>
      </c>
      <c r="BA166" s="195" t="s">
        <v>1889</v>
      </c>
      <c r="BB166" s="5"/>
      <c r="BC166" s="62"/>
      <c r="BE166" s="184"/>
      <c r="BF166" s="184"/>
      <c r="BG166" s="184"/>
      <c r="BH166" s="184"/>
      <c r="BI166" s="184"/>
      <c r="BJ166" s="184"/>
      <c r="BK166" s="81"/>
      <c r="BL166" s="81"/>
      <c r="BM166" s="81"/>
      <c r="BN166" s="81"/>
    </row>
    <row r="167">
      <c r="A167" s="176">
        <v>162.0</v>
      </c>
      <c r="B167" s="377" t="s">
        <v>1890</v>
      </c>
      <c r="C167" s="287" t="s">
        <v>1409</v>
      </c>
      <c r="D167" s="245">
        <v>4.34</v>
      </c>
      <c r="E167" s="245"/>
      <c r="F167" s="245"/>
      <c r="G167" s="245"/>
      <c r="H167" s="245"/>
      <c r="I167" s="245"/>
      <c r="J167" s="264">
        <v>3.67</v>
      </c>
      <c r="K167" s="258">
        <v>0.33</v>
      </c>
      <c r="L167" s="278"/>
      <c r="M167" s="278"/>
      <c r="N167" s="269"/>
      <c r="O167" s="269"/>
      <c r="P167" s="180">
        <v>0.0</v>
      </c>
      <c r="Q167" s="180">
        <v>0.0</v>
      </c>
      <c r="R167" s="5"/>
      <c r="S167" s="176"/>
      <c r="T167" s="176"/>
      <c r="U167" s="176"/>
      <c r="V167" s="176"/>
      <c r="W167" s="5"/>
      <c r="X167" s="184"/>
      <c r="Y167" s="176"/>
      <c r="Z167" s="184"/>
      <c r="AA167" s="184"/>
      <c r="AB167" s="184"/>
      <c r="AC167" s="184"/>
      <c r="AD167" s="5"/>
      <c r="AE167" s="176"/>
      <c r="AF167" s="176"/>
      <c r="AG167" s="184"/>
      <c r="AH167" s="184"/>
      <c r="AI167" s="184"/>
      <c r="AJ167" s="184"/>
      <c r="AK167" s="5"/>
      <c r="AL167" s="184">
        <f t="shared" ref="AL167:AM167" si="486">ROUND(E167*(5/12)+K167*(5/12)+S167+X167-AE167,2)</f>
        <v>0.14</v>
      </c>
      <c r="AM167" s="184">
        <f t="shared" si="486"/>
        <v>0</v>
      </c>
      <c r="AN167" s="184">
        <f t="shared" si="339"/>
        <v>0</v>
      </c>
      <c r="AO167" s="184">
        <f t="shared" ref="AO167:AP167" si="487">ROUND(H167*(5/12)+N167*(5/12)+U167+Z167-AG167,2)</f>
        <v>0</v>
      </c>
      <c r="AP167" s="184">
        <f t="shared" si="487"/>
        <v>0</v>
      </c>
      <c r="AQ167" s="184">
        <f t="shared" ref="AQ167:AR167" si="488">P167+AB167-AI167</f>
        <v>0</v>
      </c>
      <c r="AR167" s="184">
        <f t="shared" si="488"/>
        <v>0</v>
      </c>
      <c r="AS167" s="5"/>
      <c r="AT167" s="176">
        <v>0.0</v>
      </c>
      <c r="AU167" s="176">
        <v>0.0</v>
      </c>
      <c r="AV167" s="176">
        <v>0.0</v>
      </c>
      <c r="AW167" s="176">
        <v>0.0</v>
      </c>
      <c r="AX167" s="176">
        <v>0.0</v>
      </c>
      <c r="AY167" s="176">
        <v>0.0</v>
      </c>
      <c r="AZ167" s="176">
        <v>0.0</v>
      </c>
      <c r="BA167" s="386" t="s">
        <v>1891</v>
      </c>
      <c r="BB167" s="5"/>
      <c r="BC167" s="62"/>
      <c r="BE167" s="184"/>
      <c r="BF167" s="184"/>
      <c r="BG167" s="184"/>
      <c r="BH167" s="184"/>
      <c r="BI167" s="184"/>
      <c r="BJ167" s="184"/>
      <c r="BK167" s="81"/>
      <c r="BL167" s="81"/>
      <c r="BM167" s="81"/>
      <c r="BN167" s="81"/>
    </row>
    <row r="168">
      <c r="A168" s="176">
        <v>163.0</v>
      </c>
      <c r="B168" s="377" t="s">
        <v>1892</v>
      </c>
      <c r="C168" s="287" t="s">
        <v>1893</v>
      </c>
      <c r="D168" s="245">
        <v>1.33</v>
      </c>
      <c r="E168" s="245">
        <v>1.07</v>
      </c>
      <c r="F168" s="245">
        <v>0.2</v>
      </c>
      <c r="G168" s="245">
        <v>0.3</v>
      </c>
      <c r="H168" s="245">
        <v>0.0</v>
      </c>
      <c r="I168" s="245">
        <v>0.1</v>
      </c>
      <c r="J168" s="264">
        <v>1.33</v>
      </c>
      <c r="K168" s="258">
        <v>0.5</v>
      </c>
      <c r="L168" s="258">
        <v>0.1</v>
      </c>
      <c r="M168" s="258">
        <v>0.1</v>
      </c>
      <c r="N168" s="258">
        <v>0.75</v>
      </c>
      <c r="O168" s="258">
        <v>0.29</v>
      </c>
      <c r="P168" s="180">
        <v>1.0</v>
      </c>
      <c r="Q168" s="180">
        <v>1.0</v>
      </c>
      <c r="R168" s="5"/>
      <c r="S168" s="176">
        <v>0.32</v>
      </c>
      <c r="T168" s="176">
        <v>0.04</v>
      </c>
      <c r="U168" s="176">
        <v>0.0</v>
      </c>
      <c r="V168" s="176">
        <v>0.0</v>
      </c>
      <c r="W168" s="5"/>
      <c r="X168" s="184"/>
      <c r="Y168" s="176">
        <v>0.171</v>
      </c>
      <c r="Z168" s="184"/>
      <c r="AA168" s="184"/>
      <c r="AB168" s="184"/>
      <c r="AC168" s="184"/>
      <c r="AD168" s="5"/>
      <c r="AE168" s="176">
        <v>0.53</v>
      </c>
      <c r="AF168" s="176"/>
      <c r="AG168" s="184"/>
      <c r="AH168" s="184"/>
      <c r="AI168" s="184"/>
      <c r="AJ168" s="184"/>
      <c r="AK168" s="5"/>
      <c r="AL168" s="184">
        <f t="shared" ref="AL168:AM168" si="489">ROUND(E168*(5/12)+K168*(5/12)+S168+X168-AE168,2)</f>
        <v>0.44</v>
      </c>
      <c r="AM168" s="184">
        <f t="shared" si="489"/>
        <v>0.34</v>
      </c>
      <c r="AN168" s="184">
        <f t="shared" si="339"/>
        <v>0.17</v>
      </c>
      <c r="AO168" s="184">
        <f t="shared" ref="AO168:AP168" si="490">ROUND(H168*(5/12)+N168*(5/12)+U168+Z168-AG168,2)</f>
        <v>0.31</v>
      </c>
      <c r="AP168" s="184">
        <f t="shared" si="490"/>
        <v>0.16</v>
      </c>
      <c r="AQ168" s="184">
        <f t="shared" ref="AQ168:AR168" si="491">P168+AB168-AI168</f>
        <v>1</v>
      </c>
      <c r="AR168" s="184">
        <f t="shared" si="491"/>
        <v>1</v>
      </c>
      <c r="AS168" s="5"/>
      <c r="AT168" s="176">
        <v>1.5</v>
      </c>
      <c r="AU168" s="176">
        <v>0.249</v>
      </c>
      <c r="AV168" s="176">
        <v>0.2</v>
      </c>
      <c r="AW168" s="176">
        <v>0.33</v>
      </c>
      <c r="AX168" s="176">
        <v>0.013</v>
      </c>
      <c r="AY168" s="176">
        <v>1.0</v>
      </c>
      <c r="AZ168" s="176">
        <v>1.0</v>
      </c>
      <c r="BA168" s="180" t="s">
        <v>1894</v>
      </c>
      <c r="BB168" s="5"/>
      <c r="BC168" s="62"/>
      <c r="BE168" s="184"/>
      <c r="BF168" s="184"/>
      <c r="BG168" s="184"/>
      <c r="BH168" s="184"/>
      <c r="BI168" s="184"/>
      <c r="BJ168" s="184"/>
      <c r="BK168" s="81"/>
      <c r="BL168" s="280" t="s">
        <v>1152</v>
      </c>
      <c r="BM168" s="81"/>
      <c r="BN168" s="81"/>
    </row>
    <row r="169">
      <c r="A169" s="176">
        <v>164.0</v>
      </c>
      <c r="B169" s="387" t="s">
        <v>1895</v>
      </c>
      <c r="C169" s="287" t="s">
        <v>1893</v>
      </c>
      <c r="D169" s="245">
        <v>3.0</v>
      </c>
      <c r="E169" s="245">
        <v>0.0</v>
      </c>
      <c r="F169" s="245">
        <v>0.12</v>
      </c>
      <c r="G169" s="245">
        <v>0.2</v>
      </c>
      <c r="H169" s="245">
        <v>0.62</v>
      </c>
      <c r="I169" s="245">
        <v>0.06</v>
      </c>
      <c r="J169" s="264"/>
      <c r="K169" s="269"/>
      <c r="L169" s="278"/>
      <c r="M169" s="278"/>
      <c r="N169" s="278"/>
      <c r="O169" s="278"/>
      <c r="P169" s="180">
        <v>1.0</v>
      </c>
      <c r="Q169" s="180">
        <v>1.0</v>
      </c>
      <c r="R169" s="5"/>
      <c r="S169" s="176">
        <v>0.0</v>
      </c>
      <c r="T169" s="176">
        <v>0.02</v>
      </c>
      <c r="U169" s="176">
        <v>0.03</v>
      </c>
      <c r="V169" s="176">
        <v>0.12</v>
      </c>
      <c r="W169" s="5"/>
      <c r="X169" s="184"/>
      <c r="Y169" s="176">
        <v>0.212</v>
      </c>
      <c r="Z169" s="176">
        <v>0.18</v>
      </c>
      <c r="AA169" s="176">
        <v>0.6</v>
      </c>
      <c r="AB169" s="176">
        <v>3.0</v>
      </c>
      <c r="AC169" s="184"/>
      <c r="AD169" s="5"/>
      <c r="AE169" s="184"/>
      <c r="AF169" s="184"/>
      <c r="AG169" s="184"/>
      <c r="AH169" s="184"/>
      <c r="AI169" s="184"/>
      <c r="AJ169" s="184"/>
      <c r="AK169" s="5"/>
      <c r="AL169" s="184">
        <f t="shared" ref="AL169:AM169" si="492">ROUND(E169*(5/12)+K169*(5/12)+S169+X169-AE169,2)</f>
        <v>0</v>
      </c>
      <c r="AM169" s="184">
        <f t="shared" si="492"/>
        <v>0.28</v>
      </c>
      <c r="AN169" s="184">
        <f t="shared" si="339"/>
        <v>0.08</v>
      </c>
      <c r="AO169" s="184">
        <f t="shared" ref="AO169:AP169" si="493">ROUND(H169*(5/12)+N169*(5/12)+U169+Z169-AG169,2)</f>
        <v>0.47</v>
      </c>
      <c r="AP169" s="184">
        <f t="shared" si="493"/>
        <v>0.75</v>
      </c>
      <c r="AQ169" s="184">
        <f t="shared" ref="AQ169:AR169" si="494">P169+AB169-AI169</f>
        <v>4</v>
      </c>
      <c r="AR169" s="184">
        <f t="shared" si="494"/>
        <v>1</v>
      </c>
      <c r="AS169" s="5"/>
      <c r="AT169" s="176"/>
      <c r="AU169" s="176"/>
      <c r="AV169" s="176"/>
      <c r="AW169" s="176"/>
      <c r="AX169" s="176"/>
      <c r="AY169" s="176"/>
      <c r="AZ169" s="176"/>
      <c r="BA169" s="180"/>
      <c r="BB169" s="5"/>
      <c r="BC169" s="62"/>
      <c r="BE169" s="184"/>
      <c r="BF169" s="184"/>
      <c r="BG169" s="184"/>
      <c r="BH169" s="184"/>
      <c r="BI169" s="184"/>
      <c r="BJ169" s="184"/>
      <c r="BK169" s="81"/>
      <c r="BL169" s="81"/>
      <c r="BM169" s="81"/>
      <c r="BN169" s="81"/>
    </row>
    <row r="170">
      <c r="A170" s="176">
        <v>165.0</v>
      </c>
      <c r="B170" s="377" t="s">
        <v>1896</v>
      </c>
      <c r="C170" s="287" t="s">
        <v>1893</v>
      </c>
      <c r="D170" s="245">
        <v>3.0</v>
      </c>
      <c r="E170" s="245">
        <v>0.62</v>
      </c>
      <c r="F170" s="245">
        <v>0.12</v>
      </c>
      <c r="G170" s="245">
        <v>0.2</v>
      </c>
      <c r="H170" s="245">
        <v>0.0</v>
      </c>
      <c r="I170" s="245">
        <v>0.06</v>
      </c>
      <c r="J170" s="264">
        <v>3.33</v>
      </c>
      <c r="K170" s="258">
        <v>0.79</v>
      </c>
      <c r="L170" s="258">
        <v>0.21</v>
      </c>
      <c r="M170" s="269"/>
      <c r="N170" s="269"/>
      <c r="O170" s="269"/>
      <c r="P170" s="180">
        <v>1.0</v>
      </c>
      <c r="Q170" s="180">
        <v>1.0</v>
      </c>
      <c r="R170" s="5"/>
      <c r="S170" s="176">
        <v>0.0</v>
      </c>
      <c r="T170" s="176">
        <v>0.02</v>
      </c>
      <c r="U170" s="176">
        <v>0.0</v>
      </c>
      <c r="V170" s="176">
        <v>0.0</v>
      </c>
      <c r="W170" s="5"/>
      <c r="X170" s="184"/>
      <c r="Y170" s="176">
        <v>0.19</v>
      </c>
      <c r="Z170" s="184"/>
      <c r="AA170" s="184"/>
      <c r="AB170" s="184"/>
      <c r="AC170" s="184"/>
      <c r="AD170" s="5"/>
      <c r="AE170" s="176">
        <v>0.5</v>
      </c>
      <c r="AF170" s="184"/>
      <c r="AG170" s="184"/>
      <c r="AH170" s="184"/>
      <c r="AI170" s="184"/>
      <c r="AJ170" s="184"/>
      <c r="AK170" s="5"/>
      <c r="AL170" s="184">
        <f t="shared" ref="AL170:AM170" si="495">ROUND(E170*(5/12)+K170*(5/12)+S170+X170-AE170,2)</f>
        <v>0.09</v>
      </c>
      <c r="AM170" s="184">
        <f t="shared" si="495"/>
        <v>0.35</v>
      </c>
      <c r="AN170" s="184">
        <f t="shared" si="339"/>
        <v>0.08</v>
      </c>
      <c r="AO170" s="184">
        <f t="shared" ref="AO170:AP170" si="496">ROUND(H170*(5/12)+N170*(5/12)+U170+Z170-AG170,2)</f>
        <v>0</v>
      </c>
      <c r="AP170" s="184">
        <f t="shared" si="496"/>
        <v>0.03</v>
      </c>
      <c r="AQ170" s="184">
        <f t="shared" ref="AQ170:AR170" si="497">P170+AB170-AI170</f>
        <v>1</v>
      </c>
      <c r="AR170" s="184">
        <f t="shared" si="497"/>
        <v>1</v>
      </c>
      <c r="AS170" s="5"/>
      <c r="AT170" s="176">
        <v>0.0</v>
      </c>
      <c r="AU170" s="176">
        <v>0.16</v>
      </c>
      <c r="AV170" s="176">
        <v>0.0</v>
      </c>
      <c r="AW170" s="176">
        <v>0.0</v>
      </c>
      <c r="AX170" s="176">
        <v>0.0</v>
      </c>
      <c r="AY170" s="176">
        <v>1.0</v>
      </c>
      <c r="AZ170" s="176">
        <v>1.0</v>
      </c>
      <c r="BA170" s="195" t="s">
        <v>1897</v>
      </c>
      <c r="BB170" s="5"/>
      <c r="BC170" s="62"/>
      <c r="BE170" s="184"/>
      <c r="BF170" s="184"/>
      <c r="BG170" s="184"/>
      <c r="BH170" s="184"/>
      <c r="BI170" s="184"/>
      <c r="BJ170" s="184"/>
      <c r="BK170" s="81"/>
      <c r="BL170" s="305" t="s">
        <v>1561</v>
      </c>
      <c r="BM170" s="81"/>
      <c r="BN170" s="81"/>
    </row>
    <row r="171">
      <c r="A171" s="176">
        <v>166.0</v>
      </c>
      <c r="B171" s="377" t="s">
        <v>1898</v>
      </c>
      <c r="C171" s="287" t="s">
        <v>1893</v>
      </c>
      <c r="D171" s="245">
        <v>2.66</v>
      </c>
      <c r="E171" s="245">
        <v>0.93</v>
      </c>
      <c r="F171" s="245">
        <v>0.14</v>
      </c>
      <c r="G171" s="245">
        <v>0.2</v>
      </c>
      <c r="H171" s="245">
        <v>0.0</v>
      </c>
      <c r="I171" s="245">
        <v>0.07</v>
      </c>
      <c r="J171" s="264">
        <v>3.0</v>
      </c>
      <c r="K171" s="258">
        <v>0.452</v>
      </c>
      <c r="L171" s="258">
        <v>0.165</v>
      </c>
      <c r="M171" s="258">
        <v>0.3</v>
      </c>
      <c r="N171" s="269"/>
      <c r="O171" s="258">
        <v>0.083</v>
      </c>
      <c r="P171" s="180">
        <v>1.0</v>
      </c>
      <c r="Q171" s="180">
        <v>1.0</v>
      </c>
      <c r="R171" s="5"/>
      <c r="S171" s="176">
        <v>0.14</v>
      </c>
      <c r="T171" s="176">
        <v>0.03</v>
      </c>
      <c r="U171" s="176">
        <v>0.0</v>
      </c>
      <c r="V171" s="176">
        <v>0.0</v>
      </c>
      <c r="W171" s="5"/>
      <c r="X171" s="176">
        <v>0.03</v>
      </c>
      <c r="Y171" s="176">
        <v>0.228</v>
      </c>
      <c r="Z171" s="184"/>
      <c r="AA171" s="184"/>
      <c r="AB171" s="184"/>
      <c r="AC171" s="184"/>
      <c r="AD171" s="5"/>
      <c r="AE171" s="176"/>
      <c r="AF171" s="184"/>
      <c r="AG171" s="184"/>
      <c r="AH171" s="184"/>
      <c r="AI171" s="184"/>
      <c r="AJ171" s="184"/>
      <c r="AK171" s="5"/>
      <c r="AL171" s="184">
        <f t="shared" ref="AL171:AM171" si="498">ROUND(E171*(5/12)+K171*(5/12)+S171+X171-AE171,2)</f>
        <v>0.75</v>
      </c>
      <c r="AM171" s="184">
        <f t="shared" si="498"/>
        <v>0.39</v>
      </c>
      <c r="AN171" s="184">
        <f t="shared" si="339"/>
        <v>0.21</v>
      </c>
      <c r="AO171" s="184">
        <f t="shared" ref="AO171:AP171" si="499">ROUND(H171*(5/12)+N171*(5/12)+U171+Z171-AG171,2)</f>
        <v>0</v>
      </c>
      <c r="AP171" s="184">
        <f t="shared" si="499"/>
        <v>0.06</v>
      </c>
      <c r="AQ171" s="184">
        <f t="shared" ref="AQ171:AR171" si="500">P171+AB171-AI171</f>
        <v>1</v>
      </c>
      <c r="AR171" s="184">
        <f t="shared" si="500"/>
        <v>1</v>
      </c>
      <c r="AS171" s="5"/>
      <c r="AT171" s="176">
        <v>0.75</v>
      </c>
      <c r="AU171" s="176">
        <v>0.038</v>
      </c>
      <c r="AV171" s="176">
        <v>0.0</v>
      </c>
      <c r="AW171" s="176">
        <v>0.0</v>
      </c>
      <c r="AX171" s="176">
        <v>0.0</v>
      </c>
      <c r="AY171" s="176">
        <v>1.0</v>
      </c>
      <c r="AZ171" s="176">
        <v>1.0</v>
      </c>
      <c r="BA171" s="180" t="s">
        <v>1899</v>
      </c>
      <c r="BB171" s="5"/>
      <c r="BC171" s="62"/>
      <c r="BE171" s="184"/>
      <c r="BF171" s="184"/>
      <c r="BG171" s="184"/>
      <c r="BH171" s="184"/>
      <c r="BI171" s="184"/>
      <c r="BJ171" s="184"/>
      <c r="BK171" s="81"/>
      <c r="BL171" s="305" t="s">
        <v>1561</v>
      </c>
      <c r="BM171" s="81"/>
      <c r="BN171" s="81"/>
    </row>
    <row r="172">
      <c r="A172" s="176">
        <v>167.0</v>
      </c>
      <c r="B172" s="377" t="s">
        <v>1900</v>
      </c>
      <c r="C172" s="287" t="s">
        <v>1893</v>
      </c>
      <c r="D172" s="245">
        <v>3.66</v>
      </c>
      <c r="E172" s="245">
        <v>0.22</v>
      </c>
      <c r="F172" s="245">
        <v>0.08</v>
      </c>
      <c r="G172" s="245">
        <v>0.0</v>
      </c>
      <c r="H172" s="245">
        <v>0.0</v>
      </c>
      <c r="I172" s="245">
        <v>0.04</v>
      </c>
      <c r="J172" s="258">
        <v>4.0</v>
      </c>
      <c r="K172" s="269"/>
      <c r="L172" s="258">
        <v>0.088</v>
      </c>
      <c r="M172" s="258">
        <v>0.2</v>
      </c>
      <c r="N172" s="269"/>
      <c r="O172" s="258">
        <v>0.044</v>
      </c>
      <c r="P172" s="180">
        <v>1.0</v>
      </c>
      <c r="Q172" s="180">
        <v>1.0</v>
      </c>
      <c r="R172" s="5"/>
      <c r="S172" s="176">
        <v>0.0</v>
      </c>
      <c r="T172" s="176">
        <v>0.01</v>
      </c>
      <c r="U172" s="176">
        <v>0.0</v>
      </c>
      <c r="V172" s="176">
        <v>0.0</v>
      </c>
      <c r="W172" s="5"/>
      <c r="X172" s="184"/>
      <c r="Y172" s="176">
        <v>0.02</v>
      </c>
      <c r="Z172" s="184"/>
      <c r="AA172" s="184"/>
      <c r="AB172" s="184"/>
      <c r="AC172" s="176">
        <v>0.8</v>
      </c>
      <c r="AD172" s="5"/>
      <c r="AE172" s="176">
        <v>0.5</v>
      </c>
      <c r="AF172" s="184"/>
      <c r="AG172" s="184"/>
      <c r="AH172" s="184"/>
      <c r="AI172" s="176">
        <v>0.2</v>
      </c>
      <c r="AJ172" s="81"/>
      <c r="AK172" s="5"/>
      <c r="AL172" s="184">
        <f t="shared" ref="AL172:AM172" si="501">ROUND(E172*(5/12)+K172*(5/12)+S172+X172-AE172,2)</f>
        <v>-0.41</v>
      </c>
      <c r="AM172" s="184">
        <f t="shared" si="501"/>
        <v>0.1</v>
      </c>
      <c r="AN172" s="184">
        <f t="shared" si="339"/>
        <v>0.08</v>
      </c>
      <c r="AO172" s="184">
        <f t="shared" ref="AO172:AP172" si="502">ROUND(H172*(5/12)+N172*(5/12)+U172+Z172-AG172,2)</f>
        <v>0</v>
      </c>
      <c r="AP172" s="184">
        <f t="shared" si="502"/>
        <v>0.04</v>
      </c>
      <c r="AQ172" s="184">
        <f t="shared" ref="AQ172:AR172" si="503">P172+AB172-AI172</f>
        <v>0.8</v>
      </c>
      <c r="AR172" s="184">
        <f t="shared" si="503"/>
        <v>1.8</v>
      </c>
      <c r="AS172" s="5"/>
      <c r="AT172" s="176">
        <v>0.0</v>
      </c>
      <c r="AU172" s="176">
        <v>0.011</v>
      </c>
      <c r="AV172" s="176">
        <v>0.0</v>
      </c>
      <c r="AW172" s="176">
        <v>0.0</v>
      </c>
      <c r="AX172" s="176">
        <v>0.0</v>
      </c>
      <c r="AY172" s="176">
        <v>0.82</v>
      </c>
      <c r="AZ172" s="176">
        <v>1.0</v>
      </c>
      <c r="BA172" s="191" t="s">
        <v>1901</v>
      </c>
      <c r="BB172" s="5"/>
      <c r="BC172" s="62"/>
      <c r="BE172" s="184"/>
      <c r="BF172" s="184"/>
      <c r="BG172" s="184"/>
      <c r="BH172" s="184"/>
      <c r="BI172" s="184"/>
      <c r="BJ172" s="184"/>
      <c r="BK172" s="81"/>
      <c r="BL172" s="280" t="s">
        <v>1561</v>
      </c>
      <c r="BM172" s="81"/>
      <c r="BN172" s="81"/>
    </row>
    <row r="173">
      <c r="A173" s="176">
        <v>168.0</v>
      </c>
      <c r="B173" s="388" t="s">
        <v>1902</v>
      </c>
      <c r="C173" s="287" t="s">
        <v>1893</v>
      </c>
      <c r="D173" s="176">
        <v>4.0</v>
      </c>
      <c r="E173" s="389">
        <v>0.0</v>
      </c>
      <c r="F173" s="389">
        <v>0.05</v>
      </c>
      <c r="G173" s="389">
        <v>0.0</v>
      </c>
      <c r="H173" s="389">
        <v>0.0</v>
      </c>
      <c r="I173" s="373">
        <v>0.025</v>
      </c>
      <c r="J173" s="258">
        <v>3.67</v>
      </c>
      <c r="K173" s="258">
        <v>0.911</v>
      </c>
      <c r="L173" s="258">
        <v>0.059</v>
      </c>
      <c r="M173" s="268"/>
      <c r="N173" s="269"/>
      <c r="O173" s="258">
        <v>0.03</v>
      </c>
      <c r="P173" s="180">
        <v>1.0</v>
      </c>
      <c r="Q173" s="180">
        <v>1.0</v>
      </c>
      <c r="R173" s="5"/>
      <c r="S173" s="176">
        <v>0.0</v>
      </c>
      <c r="T173" s="176">
        <v>0.01</v>
      </c>
      <c r="U173" s="176">
        <v>0.0</v>
      </c>
      <c r="V173" s="176">
        <v>0.0</v>
      </c>
      <c r="W173" s="5"/>
      <c r="X173" s="184"/>
      <c r="Y173" s="176">
        <v>0.014</v>
      </c>
      <c r="Z173" s="184"/>
      <c r="AA173" s="184"/>
      <c r="AB173" s="184"/>
      <c r="AC173" s="176">
        <v>0.75</v>
      </c>
      <c r="AD173" s="5"/>
      <c r="AE173" s="81"/>
      <c r="AF173" s="184"/>
      <c r="AG173" s="184"/>
      <c r="AH173" s="184"/>
      <c r="AI173" s="176">
        <v>0.25</v>
      </c>
      <c r="AJ173" s="184"/>
      <c r="AK173" s="5"/>
      <c r="AL173" s="184">
        <f t="shared" ref="AL173:AM173" si="504">ROUND(E173*(5/12)+K173*(5/12)+S173+X173-AE173,2)</f>
        <v>0.38</v>
      </c>
      <c r="AM173" s="184">
        <f t="shared" si="504"/>
        <v>0.07</v>
      </c>
      <c r="AN173" s="184">
        <f t="shared" si="339"/>
        <v>0</v>
      </c>
      <c r="AO173" s="184">
        <f t="shared" ref="AO173:AP173" si="505">ROUND(H173*(5/12)+N173*(5/12)+U173+Z173-AG173,2)</f>
        <v>0</v>
      </c>
      <c r="AP173" s="184">
        <f t="shared" si="505"/>
        <v>0.02</v>
      </c>
      <c r="AQ173" s="184">
        <f t="shared" ref="AQ173:AR173" si="506">P173+AB173-AI173</f>
        <v>0.75</v>
      </c>
      <c r="AR173" s="184">
        <f t="shared" si="506"/>
        <v>1.75</v>
      </c>
      <c r="AS173" s="5"/>
      <c r="AT173" s="176">
        <v>0.5</v>
      </c>
      <c r="AU173" s="176">
        <v>0.013</v>
      </c>
      <c r="AV173" s="176">
        <v>0.0</v>
      </c>
      <c r="AW173" s="176">
        <v>0.0</v>
      </c>
      <c r="AX173" s="176">
        <v>0.0</v>
      </c>
      <c r="AY173" s="176">
        <v>1.0</v>
      </c>
      <c r="AZ173" s="176">
        <v>2.0</v>
      </c>
      <c r="BA173" s="180" t="s">
        <v>1903</v>
      </c>
      <c r="BB173" s="5"/>
      <c r="BC173" s="62"/>
      <c r="BE173" s="184"/>
      <c r="BF173" s="184"/>
      <c r="BG173" s="184"/>
      <c r="BH173" s="184"/>
      <c r="BI173" s="184"/>
      <c r="BJ173" s="184"/>
      <c r="BK173" s="81"/>
      <c r="BL173" s="280" t="s">
        <v>1561</v>
      </c>
      <c r="BM173" s="81"/>
      <c r="BN173" s="81"/>
    </row>
    <row r="174">
      <c r="A174" s="176">
        <v>169.0</v>
      </c>
      <c r="B174" s="390" t="s">
        <v>1904</v>
      </c>
      <c r="C174" s="287" t="s">
        <v>1893</v>
      </c>
      <c r="D174" s="176">
        <v>3.0</v>
      </c>
      <c r="E174" s="176">
        <v>0.11</v>
      </c>
      <c r="F174" s="176">
        <v>0.17</v>
      </c>
      <c r="G174" s="176">
        <v>0.3</v>
      </c>
      <c r="H174" s="176">
        <v>0.33</v>
      </c>
      <c r="I174" s="245">
        <v>0.09</v>
      </c>
      <c r="J174" s="258">
        <v>3.0</v>
      </c>
      <c r="K174" s="268"/>
      <c r="L174" s="258">
        <v>0.3</v>
      </c>
      <c r="M174" s="258">
        <v>0.7</v>
      </c>
      <c r="N174" s="268"/>
      <c r="O174" s="269"/>
      <c r="P174" s="180">
        <v>1.0</v>
      </c>
      <c r="Q174" s="180">
        <v>1.0</v>
      </c>
      <c r="R174" s="5"/>
      <c r="S174" s="176">
        <v>0.27</v>
      </c>
      <c r="T174" s="176">
        <v>0.03</v>
      </c>
      <c r="U174" s="176">
        <v>0.09</v>
      </c>
      <c r="V174" s="176">
        <v>0.0</v>
      </c>
      <c r="W174" s="5"/>
      <c r="X174" s="176">
        <v>1.54</v>
      </c>
      <c r="Y174" s="176">
        <v>0.242</v>
      </c>
      <c r="Z174" s="184"/>
      <c r="AA174" s="184"/>
      <c r="AB174" s="184"/>
      <c r="AC174" s="184"/>
      <c r="AD174" s="5"/>
      <c r="AE174" s="184"/>
      <c r="AF174" s="184"/>
      <c r="AG174" s="176">
        <v>0.17</v>
      </c>
      <c r="AH174" s="184"/>
      <c r="AI174" s="184"/>
      <c r="AJ174" s="176">
        <v>1.0</v>
      </c>
      <c r="AK174" s="5"/>
      <c r="AL174" s="184">
        <f t="shared" ref="AL174:AM174" si="507">ROUND(E174*(5/12)+K174*(5/12)+S174+X174-AE174,2)</f>
        <v>1.86</v>
      </c>
      <c r="AM174" s="184">
        <f t="shared" si="507"/>
        <v>0.47</v>
      </c>
      <c r="AN174" s="184">
        <f t="shared" si="339"/>
        <v>0.42</v>
      </c>
      <c r="AO174" s="184">
        <f t="shared" ref="AO174:AP174" si="508">ROUND(H174*(5/12)+N174*(5/12)+U174+Z174-AG174,2)</f>
        <v>0.06</v>
      </c>
      <c r="AP174" s="184">
        <f t="shared" si="508"/>
        <v>0.04</v>
      </c>
      <c r="AQ174" s="184">
        <f t="shared" ref="AQ174:AR174" si="509">P174+AB174-AI174</f>
        <v>1</v>
      </c>
      <c r="AR174" s="184">
        <f t="shared" si="509"/>
        <v>0</v>
      </c>
      <c r="AS174" s="5"/>
      <c r="AT174" s="176">
        <v>1.0</v>
      </c>
      <c r="AU174" s="176">
        <v>0.009</v>
      </c>
      <c r="AV174" s="176">
        <v>0.0</v>
      </c>
      <c r="AW174" s="176">
        <v>0.0</v>
      </c>
      <c r="AX174" s="176">
        <v>0.0</v>
      </c>
      <c r="AY174" s="176">
        <v>1.0</v>
      </c>
      <c r="AZ174" s="176">
        <v>0.0</v>
      </c>
      <c r="BA174" s="195" t="s">
        <v>1905</v>
      </c>
      <c r="BB174" s="5"/>
      <c r="BC174" s="62"/>
      <c r="BE174" s="184"/>
      <c r="BF174" s="184"/>
      <c r="BG174" s="184"/>
      <c r="BH174" s="184"/>
      <c r="BI174" s="184"/>
      <c r="BJ174" s="184"/>
      <c r="BK174" s="81"/>
      <c r="BL174" s="280" t="s">
        <v>1561</v>
      </c>
      <c r="BM174" s="81"/>
      <c r="BN174" s="81"/>
    </row>
    <row r="175">
      <c r="A175" s="176">
        <v>170.0</v>
      </c>
      <c r="B175" s="390" t="s">
        <v>1906</v>
      </c>
      <c r="C175" s="287" t="s">
        <v>1893</v>
      </c>
      <c r="D175" s="176">
        <v>3.0</v>
      </c>
      <c r="E175" s="176">
        <v>0.62</v>
      </c>
      <c r="F175" s="176">
        <v>0.12</v>
      </c>
      <c r="G175" s="176">
        <v>0.2</v>
      </c>
      <c r="H175" s="176">
        <v>0.0</v>
      </c>
      <c r="I175" s="245">
        <v>0.06</v>
      </c>
      <c r="J175" s="258">
        <v>3.67</v>
      </c>
      <c r="K175" s="258">
        <v>0.61</v>
      </c>
      <c r="L175" s="258">
        <v>0.127</v>
      </c>
      <c r="M175" s="258">
        <v>0.2</v>
      </c>
      <c r="N175" s="269"/>
      <c r="O175" s="258">
        <v>0.064</v>
      </c>
      <c r="P175" s="180">
        <v>1.0</v>
      </c>
      <c r="Q175" s="180">
        <v>1.0</v>
      </c>
      <c r="R175" s="5"/>
      <c r="S175" s="176">
        <v>0.0</v>
      </c>
      <c r="T175" s="176">
        <v>0.02</v>
      </c>
      <c r="U175" s="176">
        <v>0.0</v>
      </c>
      <c r="V175" s="176">
        <v>0.0</v>
      </c>
      <c r="W175" s="5"/>
      <c r="X175" s="176">
        <v>0.07</v>
      </c>
      <c r="Y175" s="176">
        <v>0.196</v>
      </c>
      <c r="Z175" s="184"/>
      <c r="AA175" s="184"/>
      <c r="AB175" s="184"/>
      <c r="AC175" s="184"/>
      <c r="AD175" s="5"/>
      <c r="AE175" s="184"/>
      <c r="AF175" s="184"/>
      <c r="AG175" s="184"/>
      <c r="AH175" s="184"/>
      <c r="AI175" s="184"/>
      <c r="AJ175" s="184"/>
      <c r="AK175" s="5"/>
      <c r="AL175" s="184">
        <f t="shared" ref="AL175:AM175" si="510">ROUND(E175*(5/12)+K175*(5/12)+S175+X175-AE175,2)</f>
        <v>0.58</v>
      </c>
      <c r="AM175" s="184">
        <f t="shared" si="510"/>
        <v>0.32</v>
      </c>
      <c r="AN175" s="184">
        <f t="shared" si="339"/>
        <v>0.17</v>
      </c>
      <c r="AO175" s="184">
        <f t="shared" ref="AO175:AP175" si="511">ROUND(H175*(5/12)+N175*(5/12)+U175+Z175-AG175,2)</f>
        <v>0</v>
      </c>
      <c r="AP175" s="184">
        <f t="shared" si="511"/>
        <v>0.05</v>
      </c>
      <c r="AQ175" s="184">
        <f t="shared" ref="AQ175:AR175" si="512">P175+AB175-AI175</f>
        <v>1</v>
      </c>
      <c r="AR175" s="184">
        <f t="shared" si="512"/>
        <v>1</v>
      </c>
      <c r="AS175" s="5"/>
      <c r="AT175" s="176">
        <v>0.0</v>
      </c>
      <c r="AU175" s="176">
        <v>0.032</v>
      </c>
      <c r="AV175" s="176">
        <v>0.0</v>
      </c>
      <c r="AW175" s="176">
        <v>0.0</v>
      </c>
      <c r="AX175" s="176">
        <v>0.0</v>
      </c>
      <c r="AY175" s="176">
        <v>0.0</v>
      </c>
      <c r="AZ175" s="176">
        <v>2.5</v>
      </c>
      <c r="BA175" s="180" t="s">
        <v>1907</v>
      </c>
      <c r="BB175" s="5"/>
      <c r="BC175" s="62"/>
      <c r="BE175" s="184"/>
      <c r="BF175" s="184"/>
      <c r="BG175" s="184"/>
      <c r="BH175" s="184"/>
      <c r="BI175" s="184"/>
      <c r="BJ175" s="184"/>
      <c r="BK175" s="81"/>
      <c r="BL175" s="280" t="s">
        <v>1561</v>
      </c>
      <c r="BM175" s="81"/>
      <c r="BN175" s="81"/>
    </row>
    <row r="176">
      <c r="A176" s="176">
        <v>171.0</v>
      </c>
      <c r="B176" s="390" t="s">
        <v>1908</v>
      </c>
      <c r="C176" s="287" t="s">
        <v>1893</v>
      </c>
      <c r="D176" s="176">
        <v>3.0</v>
      </c>
      <c r="E176" s="176">
        <v>0.85</v>
      </c>
      <c r="F176" s="176">
        <v>0.1</v>
      </c>
      <c r="G176" s="176">
        <v>0.0</v>
      </c>
      <c r="H176" s="176">
        <v>0.0</v>
      </c>
      <c r="I176" s="245">
        <v>0.05</v>
      </c>
      <c r="J176" s="258">
        <v>3.0</v>
      </c>
      <c r="K176" s="258">
        <v>0.842</v>
      </c>
      <c r="L176" s="258">
        <v>0.105</v>
      </c>
      <c r="M176" s="268"/>
      <c r="N176" s="269"/>
      <c r="O176" s="258">
        <v>0.053</v>
      </c>
      <c r="P176" s="180">
        <v>1.0</v>
      </c>
      <c r="Q176" s="180">
        <v>1.0</v>
      </c>
      <c r="R176" s="5"/>
      <c r="S176" s="176">
        <v>0.0</v>
      </c>
      <c r="T176" s="176">
        <v>0.01</v>
      </c>
      <c r="U176" s="176">
        <v>0.0</v>
      </c>
      <c r="V176" s="176">
        <v>0.0</v>
      </c>
      <c r="W176" s="5"/>
      <c r="X176" s="176">
        <v>0.42</v>
      </c>
      <c r="Y176" s="176">
        <v>0.147</v>
      </c>
      <c r="Z176" s="176">
        <v>0.04</v>
      </c>
      <c r="AA176" s="184"/>
      <c r="AB176" s="184"/>
      <c r="AC176" s="184"/>
      <c r="AD176" s="5"/>
      <c r="AE176" s="184"/>
      <c r="AF176" s="184"/>
      <c r="AG176" s="184"/>
      <c r="AH176" s="184"/>
      <c r="AI176" s="184"/>
      <c r="AJ176" s="184"/>
      <c r="AK176" s="5"/>
      <c r="AL176" s="184">
        <f t="shared" ref="AL176:AM176" si="513">ROUND(E176*(5/12)+K176*(5/12)+S176+X176-AE176,2)</f>
        <v>1.13</v>
      </c>
      <c r="AM176" s="184">
        <f t="shared" si="513"/>
        <v>0.24</v>
      </c>
      <c r="AN176" s="184">
        <f t="shared" si="339"/>
        <v>0</v>
      </c>
      <c r="AO176" s="184">
        <f t="shared" ref="AO176:AP176" si="514">ROUND(H176*(5/12)+N176*(5/12)+U176+Z176-AG176,2)</f>
        <v>0.04</v>
      </c>
      <c r="AP176" s="184">
        <f t="shared" si="514"/>
        <v>0.04</v>
      </c>
      <c r="AQ176" s="184">
        <f t="shared" ref="AQ176:AR176" si="515">P176+AB176-AI176</f>
        <v>1</v>
      </c>
      <c r="AR176" s="184">
        <f t="shared" si="515"/>
        <v>1</v>
      </c>
      <c r="AS176" s="5"/>
      <c r="AT176" s="176">
        <v>0.5</v>
      </c>
      <c r="AU176" s="176">
        <v>0.013</v>
      </c>
      <c r="AV176" s="176">
        <v>0.0</v>
      </c>
      <c r="AW176" s="176">
        <v>0.0</v>
      </c>
      <c r="AX176" s="176">
        <v>0.0</v>
      </c>
      <c r="AY176" s="176">
        <v>1.0</v>
      </c>
      <c r="AZ176" s="176">
        <v>1.0</v>
      </c>
      <c r="BA176" s="180" t="s">
        <v>1909</v>
      </c>
      <c r="BB176" s="5"/>
      <c r="BC176" s="62"/>
      <c r="BE176" s="184"/>
      <c r="BF176" s="184"/>
      <c r="BG176" s="184"/>
      <c r="BH176" s="184"/>
      <c r="BI176" s="184"/>
      <c r="BJ176" s="184"/>
      <c r="BK176" s="81"/>
      <c r="BL176" s="280" t="s">
        <v>1561</v>
      </c>
      <c r="BM176" s="81"/>
      <c r="BN176" s="81"/>
    </row>
    <row r="177">
      <c r="A177" s="176">
        <v>172.0</v>
      </c>
      <c r="B177" s="390" t="s">
        <v>1910</v>
      </c>
      <c r="C177" s="287" t="s">
        <v>1893</v>
      </c>
      <c r="D177" s="176">
        <v>3.0</v>
      </c>
      <c r="E177" s="176">
        <v>0.255</v>
      </c>
      <c r="F177" s="176">
        <v>0.085</v>
      </c>
      <c r="G177" s="176">
        <v>0.0</v>
      </c>
      <c r="H177" s="176">
        <v>0.62</v>
      </c>
      <c r="I177" s="245">
        <v>0.04</v>
      </c>
      <c r="J177" s="258">
        <v>3.67</v>
      </c>
      <c r="K177" s="258">
        <v>0.187</v>
      </c>
      <c r="L177" s="258">
        <v>0.095</v>
      </c>
      <c r="M177" s="268"/>
      <c r="N177" s="269"/>
      <c r="O177" s="258">
        <v>0.048</v>
      </c>
      <c r="P177" s="180">
        <v>1.0</v>
      </c>
      <c r="Q177" s="180">
        <v>1.0</v>
      </c>
      <c r="R177" s="5"/>
      <c r="S177" s="176">
        <v>0.0</v>
      </c>
      <c r="T177" s="176">
        <v>0.01</v>
      </c>
      <c r="U177" s="176">
        <v>0.0</v>
      </c>
      <c r="V177" s="176">
        <v>0.0</v>
      </c>
      <c r="W177" s="5"/>
      <c r="X177" s="184"/>
      <c r="Y177" s="176">
        <v>0.134</v>
      </c>
      <c r="Z177" s="184"/>
      <c r="AA177" s="184"/>
      <c r="AB177" s="184"/>
      <c r="AC177" s="184"/>
      <c r="AD177" s="5"/>
      <c r="AE177" s="184"/>
      <c r="AF177" s="184"/>
      <c r="AG177" s="176">
        <v>0.26</v>
      </c>
      <c r="AH177" s="184"/>
      <c r="AI177" s="184"/>
      <c r="AJ177" s="184"/>
      <c r="AK177" s="5"/>
      <c r="AL177" s="184">
        <f t="shared" ref="AL177:AM177" si="516">ROUND(E177*(5/12)+K177*(5/12)+S177+X177-AE177,2)</f>
        <v>0.18</v>
      </c>
      <c r="AM177" s="184">
        <f t="shared" si="516"/>
        <v>0.22</v>
      </c>
      <c r="AN177" s="184">
        <f t="shared" si="339"/>
        <v>0</v>
      </c>
      <c r="AO177" s="184">
        <f t="shared" ref="AO177:AP177" si="517">ROUND(H177*(5/12)+N177*(5/12)+U177+Z177-AG177,2)</f>
        <v>0</v>
      </c>
      <c r="AP177" s="184">
        <f t="shared" si="517"/>
        <v>0.04</v>
      </c>
      <c r="AQ177" s="184">
        <f t="shared" ref="AQ177:AR177" si="518">P177+AB177-AI177</f>
        <v>1</v>
      </c>
      <c r="AR177" s="184">
        <f t="shared" si="518"/>
        <v>1</v>
      </c>
      <c r="AS177" s="5"/>
      <c r="AT177" s="176">
        <v>0.0</v>
      </c>
      <c r="AU177" s="176">
        <v>0.03</v>
      </c>
      <c r="AV177" s="176">
        <v>0.0</v>
      </c>
      <c r="AW177" s="176">
        <v>0.0</v>
      </c>
      <c r="AX177" s="176">
        <v>0.0</v>
      </c>
      <c r="AY177" s="176">
        <v>1.0</v>
      </c>
      <c r="AZ177" s="176">
        <v>1.0</v>
      </c>
      <c r="BA177" s="195" t="s">
        <v>1911</v>
      </c>
      <c r="BB177" s="5"/>
      <c r="BC177" s="62"/>
      <c r="BE177" s="184"/>
      <c r="BF177" s="184"/>
      <c r="BG177" s="184"/>
      <c r="BH177" s="184"/>
      <c r="BI177" s="184"/>
      <c r="BJ177" s="184"/>
      <c r="BK177" s="81"/>
      <c r="BL177" s="280" t="s">
        <v>1561</v>
      </c>
      <c r="BM177" s="81"/>
      <c r="BN177" s="81"/>
    </row>
    <row r="178">
      <c r="A178" s="176">
        <v>173.0</v>
      </c>
      <c r="B178" s="375" t="s">
        <v>1912</v>
      </c>
      <c r="C178" s="287" t="s">
        <v>1893</v>
      </c>
      <c r="D178" s="176">
        <v>4.0</v>
      </c>
      <c r="E178" s="176">
        <v>0.0</v>
      </c>
      <c r="F178" s="176">
        <v>0.0</v>
      </c>
      <c r="G178" s="176">
        <v>0.0</v>
      </c>
      <c r="H178" s="176">
        <v>0.0</v>
      </c>
      <c r="I178" s="245">
        <v>0.0</v>
      </c>
      <c r="J178" s="258">
        <v>3.0</v>
      </c>
      <c r="K178" s="258">
        <v>0.775</v>
      </c>
      <c r="L178" s="258">
        <v>0.083</v>
      </c>
      <c r="M178" s="258">
        <v>0.1</v>
      </c>
      <c r="N178" s="269"/>
      <c r="O178" s="258">
        <v>0.042</v>
      </c>
      <c r="P178" s="180">
        <v>1.0</v>
      </c>
      <c r="Q178" s="180">
        <v>1.0</v>
      </c>
      <c r="R178" s="5"/>
      <c r="S178" s="176">
        <v>0.16</v>
      </c>
      <c r="T178" s="176">
        <v>0.01</v>
      </c>
      <c r="U178" s="176">
        <v>0.0</v>
      </c>
      <c r="V178" s="176">
        <v>0.0</v>
      </c>
      <c r="W178" s="5"/>
      <c r="X178" s="176">
        <v>0.0</v>
      </c>
      <c r="Y178" s="176">
        <v>0.02</v>
      </c>
      <c r="Z178" s="184"/>
      <c r="AA178" s="184"/>
      <c r="AB178" s="176">
        <v>0.5</v>
      </c>
      <c r="AC178" s="176">
        <v>0.5</v>
      </c>
      <c r="AD178" s="5"/>
      <c r="AE178" s="176"/>
      <c r="AF178" s="184"/>
      <c r="AG178" s="184"/>
      <c r="AH178" s="184"/>
      <c r="AI178" s="184"/>
      <c r="AJ178" s="184"/>
      <c r="AK178" s="5"/>
      <c r="AL178" s="184">
        <f t="shared" ref="AL178:AM178" si="519">ROUND(E178*(5/12)+K178*(5/12)+S178+X178-AE178,2)</f>
        <v>0.48</v>
      </c>
      <c r="AM178" s="184">
        <f t="shared" si="519"/>
        <v>0.06</v>
      </c>
      <c r="AN178" s="184">
        <f t="shared" si="339"/>
        <v>0.04</v>
      </c>
      <c r="AO178" s="184">
        <f t="shared" ref="AO178:AP178" si="520">ROUND(H178*(5/12)+N178*(5/12)+U178+Z178-AG178,2)</f>
        <v>0</v>
      </c>
      <c r="AP178" s="184">
        <f t="shared" si="520"/>
        <v>0.02</v>
      </c>
      <c r="AQ178" s="184">
        <f t="shared" ref="AQ178:AR178" si="521">P178+AB178-AI178</f>
        <v>1.5</v>
      </c>
      <c r="AR178" s="184">
        <f t="shared" si="521"/>
        <v>1.5</v>
      </c>
      <c r="AS178" s="5"/>
      <c r="AT178" s="176">
        <v>0.5</v>
      </c>
      <c r="AU178" s="176">
        <v>0.023</v>
      </c>
      <c r="AV178" s="176">
        <v>0.0</v>
      </c>
      <c r="AW178" s="176">
        <v>0.0</v>
      </c>
      <c r="AX178" s="176">
        <v>0.0</v>
      </c>
      <c r="AY178" s="176">
        <v>2.0</v>
      </c>
      <c r="AZ178" s="176">
        <v>1.5</v>
      </c>
      <c r="BA178" s="180" t="s">
        <v>1913</v>
      </c>
      <c r="BB178" s="5"/>
      <c r="BC178" s="62"/>
      <c r="BE178" s="184"/>
      <c r="BF178" s="184"/>
      <c r="BG178" s="184"/>
      <c r="BH178" s="184"/>
      <c r="BI178" s="184"/>
      <c r="BJ178" s="184"/>
      <c r="BK178" s="81"/>
      <c r="BL178" s="280" t="s">
        <v>1561</v>
      </c>
      <c r="BM178" s="81"/>
      <c r="BN178" s="81"/>
    </row>
    <row r="179">
      <c r="A179" s="176">
        <v>174.0</v>
      </c>
      <c r="B179" s="388" t="s">
        <v>1914</v>
      </c>
      <c r="C179" s="287" t="s">
        <v>1893</v>
      </c>
      <c r="D179" s="176">
        <v>3.66</v>
      </c>
      <c r="E179" s="176">
        <v>0.2</v>
      </c>
      <c r="F179" s="176">
        <v>0.09</v>
      </c>
      <c r="G179" s="176">
        <v>0.0</v>
      </c>
      <c r="H179" s="176">
        <v>0.0</v>
      </c>
      <c r="I179" s="245">
        <v>0.05</v>
      </c>
      <c r="J179" s="258">
        <v>3.67</v>
      </c>
      <c r="K179" s="268"/>
      <c r="L179" s="258">
        <v>0.098</v>
      </c>
      <c r="M179" s="258">
        <v>0.2</v>
      </c>
      <c r="N179" s="269"/>
      <c r="O179" s="258">
        <v>0.049</v>
      </c>
      <c r="P179" s="180">
        <v>1.0</v>
      </c>
      <c r="Q179" s="180">
        <v>1.0</v>
      </c>
      <c r="R179" s="5"/>
      <c r="S179" s="176">
        <v>0.05</v>
      </c>
      <c r="T179" s="176">
        <v>0.01</v>
      </c>
      <c r="U179" s="176">
        <v>0.0</v>
      </c>
      <c r="V179" s="176">
        <v>0.0</v>
      </c>
      <c r="W179" s="5"/>
      <c r="X179" s="176">
        <v>0.44</v>
      </c>
      <c r="Y179" s="176">
        <v>0.123</v>
      </c>
      <c r="Z179" s="184"/>
      <c r="AA179" s="184"/>
      <c r="AB179" s="176">
        <v>0.0</v>
      </c>
      <c r="AC179" s="176">
        <v>1.0</v>
      </c>
      <c r="AD179" s="5"/>
      <c r="AE179" s="184"/>
      <c r="AF179" s="184"/>
      <c r="AG179" s="184"/>
      <c r="AH179" s="184"/>
      <c r="AI179" s="184"/>
      <c r="AJ179" s="184"/>
      <c r="AK179" s="5"/>
      <c r="AL179" s="184">
        <f t="shared" ref="AL179:AM179" si="522">ROUND(E179*(5/12)+K179*(5/12)+S179+X179-AE179,2)</f>
        <v>0.57</v>
      </c>
      <c r="AM179" s="184">
        <f t="shared" si="522"/>
        <v>0.21</v>
      </c>
      <c r="AN179" s="184">
        <f t="shared" si="339"/>
        <v>0.08</v>
      </c>
      <c r="AO179" s="184">
        <f t="shared" ref="AO179:AP179" si="523">ROUND(H179*(5/12)+N179*(5/12)+U179+Z179-AG179,2)</f>
        <v>0</v>
      </c>
      <c r="AP179" s="184">
        <f t="shared" si="523"/>
        <v>0.04</v>
      </c>
      <c r="AQ179" s="184">
        <f t="shared" ref="AQ179:AR179" si="524">P179+AB179-AI179</f>
        <v>1</v>
      </c>
      <c r="AR179" s="184">
        <f t="shared" si="524"/>
        <v>2</v>
      </c>
      <c r="AS179" s="5"/>
      <c r="AT179" s="176">
        <v>0.5</v>
      </c>
      <c r="AU179" s="176">
        <v>0.0</v>
      </c>
      <c r="AV179" s="176">
        <v>0.0</v>
      </c>
      <c r="AW179" s="176">
        <v>0.0</v>
      </c>
      <c r="AX179" s="176">
        <v>0.0</v>
      </c>
      <c r="AY179" s="176">
        <v>1.0</v>
      </c>
      <c r="AZ179" s="176">
        <v>2.0</v>
      </c>
      <c r="BA179" s="195" t="s">
        <v>1915</v>
      </c>
      <c r="BB179" s="5"/>
      <c r="BC179" s="62"/>
      <c r="BE179" s="184"/>
      <c r="BF179" s="184"/>
      <c r="BG179" s="184"/>
      <c r="BH179" s="184"/>
      <c r="BI179" s="184"/>
      <c r="BJ179" s="184"/>
      <c r="BK179" s="81"/>
      <c r="BL179" s="280" t="s">
        <v>1561</v>
      </c>
      <c r="BM179" s="81"/>
      <c r="BN179" s="81"/>
    </row>
    <row r="180">
      <c r="A180" s="176">
        <v>175.0</v>
      </c>
      <c r="B180" s="388" t="s">
        <v>1916</v>
      </c>
      <c r="C180" s="287" t="s">
        <v>1893</v>
      </c>
      <c r="D180" s="245">
        <v>3.33</v>
      </c>
      <c r="E180" s="245">
        <v>0.52</v>
      </c>
      <c r="F180" s="245">
        <v>0.1</v>
      </c>
      <c r="G180" s="245">
        <v>0.0</v>
      </c>
      <c r="H180" s="245">
        <v>0.0</v>
      </c>
      <c r="I180" s="245">
        <v>0.05</v>
      </c>
      <c r="J180" s="258">
        <v>4.75</v>
      </c>
      <c r="K180" s="258">
        <v>0.1</v>
      </c>
      <c r="L180" s="258">
        <v>0.1</v>
      </c>
      <c r="M180" s="268"/>
      <c r="N180" s="269"/>
      <c r="O180" s="258">
        <v>0.05</v>
      </c>
      <c r="P180" s="180">
        <v>1.0</v>
      </c>
      <c r="Q180" s="180">
        <v>1.0</v>
      </c>
      <c r="R180" s="5"/>
      <c r="S180" s="176">
        <v>0.0</v>
      </c>
      <c r="T180" s="176">
        <v>0.01</v>
      </c>
      <c r="U180" s="176">
        <v>0.0</v>
      </c>
      <c r="V180" s="176">
        <v>0.0</v>
      </c>
      <c r="W180" s="5"/>
      <c r="X180" s="184"/>
      <c r="Y180" s="176">
        <v>0.035</v>
      </c>
      <c r="Z180" s="184"/>
      <c r="AA180" s="184"/>
      <c r="AB180" s="184"/>
      <c r="AC180" s="176">
        <v>0.75</v>
      </c>
      <c r="AD180" s="5"/>
      <c r="AE180" s="184"/>
      <c r="AF180" s="184"/>
      <c r="AG180" s="184"/>
      <c r="AH180" s="184"/>
      <c r="AI180" s="176">
        <v>0.25</v>
      </c>
      <c r="AJ180" s="184"/>
      <c r="AK180" s="5"/>
      <c r="AL180" s="184">
        <f t="shared" ref="AL180:AM180" si="525">ROUND(E180*(5/12)+K180*(5/12)+S180+X180-AE180,2)</f>
        <v>0.26</v>
      </c>
      <c r="AM180" s="184">
        <f t="shared" si="525"/>
        <v>0.13</v>
      </c>
      <c r="AN180" s="184">
        <f t="shared" si="339"/>
        <v>0</v>
      </c>
      <c r="AO180" s="184">
        <f t="shared" ref="AO180:AP180" si="526">ROUND(H180*(5/12)+N180*(5/12)+U180+Z180-AG180,2)</f>
        <v>0</v>
      </c>
      <c r="AP180" s="184">
        <f t="shared" si="526"/>
        <v>0.04</v>
      </c>
      <c r="AQ180" s="184">
        <f t="shared" ref="AQ180:AR180" si="527">P180+AB180-AI180</f>
        <v>0.75</v>
      </c>
      <c r="AR180" s="184">
        <f t="shared" si="527"/>
        <v>1.75</v>
      </c>
      <c r="AS180" s="5"/>
      <c r="AT180" s="176">
        <v>0.0</v>
      </c>
      <c r="AU180" s="176">
        <v>0.013</v>
      </c>
      <c r="AV180" s="176">
        <v>0.0</v>
      </c>
      <c r="AW180" s="176">
        <v>0.0</v>
      </c>
      <c r="AX180" s="176">
        <v>0.0</v>
      </c>
      <c r="AY180" s="176">
        <v>0.0</v>
      </c>
      <c r="AZ180" s="176">
        <v>1.0</v>
      </c>
      <c r="BA180" s="195" t="s">
        <v>1917</v>
      </c>
      <c r="BB180" s="5"/>
      <c r="BC180" s="62"/>
      <c r="BE180" s="184"/>
      <c r="BF180" s="184"/>
      <c r="BG180" s="184"/>
      <c r="BH180" s="184"/>
      <c r="BI180" s="184"/>
      <c r="BJ180" s="184"/>
      <c r="BK180" s="81"/>
      <c r="BL180" s="305" t="s">
        <v>1561</v>
      </c>
      <c r="BM180" s="81"/>
      <c r="BN180" s="81"/>
    </row>
    <row r="181">
      <c r="A181" s="176">
        <v>176.0</v>
      </c>
      <c r="B181" s="377" t="s">
        <v>1918</v>
      </c>
      <c r="C181" s="287" t="s">
        <v>1893</v>
      </c>
      <c r="D181" s="245">
        <v>3.66</v>
      </c>
      <c r="E181" s="245">
        <v>0.33</v>
      </c>
      <c r="F181" s="245">
        <v>0.0</v>
      </c>
      <c r="G181" s="245">
        <v>0.0</v>
      </c>
      <c r="H181" s="245">
        <v>0.0</v>
      </c>
      <c r="I181" s="245">
        <v>0.0</v>
      </c>
      <c r="J181" s="258">
        <v>4.0</v>
      </c>
      <c r="K181" s="258">
        <v>0.0</v>
      </c>
      <c r="L181" s="258">
        <v>0.0</v>
      </c>
      <c r="M181" s="258">
        <v>0.0</v>
      </c>
      <c r="N181" s="258">
        <v>0.0</v>
      </c>
      <c r="O181" s="258">
        <v>0.0</v>
      </c>
      <c r="P181" s="180">
        <v>1.0</v>
      </c>
      <c r="Q181" s="180">
        <v>1.0</v>
      </c>
      <c r="R181" s="5"/>
      <c r="S181" s="176">
        <v>0.0</v>
      </c>
      <c r="T181" s="176">
        <v>0.0</v>
      </c>
      <c r="U181" s="176">
        <v>0.0</v>
      </c>
      <c r="V181" s="176">
        <v>0.0</v>
      </c>
      <c r="W181" s="5"/>
      <c r="X181" s="184"/>
      <c r="Y181" s="184"/>
      <c r="Z181" s="184"/>
      <c r="AA181" s="184"/>
      <c r="AB181" s="184"/>
      <c r="AC181" s="184"/>
      <c r="AD181" s="5"/>
      <c r="AE181" s="184"/>
      <c r="AF181" s="184"/>
      <c r="AG181" s="184"/>
      <c r="AH181" s="184"/>
      <c r="AI181" s="184"/>
      <c r="AJ181" s="184"/>
      <c r="AK181" s="5"/>
      <c r="AL181" s="184">
        <f t="shared" ref="AL181:AM181" si="528">ROUND(E181*(5/12)+K181*(5/12)+S181+X181-AE181,2)</f>
        <v>0.14</v>
      </c>
      <c r="AM181" s="184">
        <f t="shared" si="528"/>
        <v>0</v>
      </c>
      <c r="AN181" s="184">
        <f t="shared" si="339"/>
        <v>0</v>
      </c>
      <c r="AO181" s="184">
        <f t="shared" ref="AO181:AP181" si="529">ROUND(H181*(5/12)+N181*(5/12)+U181+Z181-AG181,2)</f>
        <v>0</v>
      </c>
      <c r="AP181" s="184">
        <f t="shared" si="529"/>
        <v>0</v>
      </c>
      <c r="AQ181" s="184">
        <f t="shared" ref="AQ181:AR181" si="530">P181+AB181-AI181</f>
        <v>1</v>
      </c>
      <c r="AR181" s="184">
        <f t="shared" si="530"/>
        <v>1</v>
      </c>
      <c r="AS181" s="5"/>
      <c r="AT181" s="176">
        <v>0.0</v>
      </c>
      <c r="AU181" s="176">
        <v>0.0</v>
      </c>
      <c r="AV181" s="176">
        <v>0.0</v>
      </c>
      <c r="AW181" s="176">
        <v>0.0</v>
      </c>
      <c r="AX181" s="176">
        <v>0.0</v>
      </c>
      <c r="AY181" s="176">
        <v>0.0</v>
      </c>
      <c r="AZ181" s="176">
        <v>0.0</v>
      </c>
      <c r="BA181" s="195" t="s">
        <v>1919</v>
      </c>
      <c r="BB181" s="5"/>
      <c r="BC181" s="62"/>
      <c r="BE181" s="184"/>
      <c r="BF181" s="184"/>
      <c r="BG181" s="184"/>
      <c r="BH181" s="184"/>
      <c r="BI181" s="184"/>
      <c r="BJ181" s="184"/>
      <c r="BK181" s="81"/>
      <c r="BL181" s="81"/>
      <c r="BM181" s="81"/>
      <c r="BN181" s="81"/>
    </row>
    <row r="182">
      <c r="A182" s="176">
        <v>177.0</v>
      </c>
      <c r="B182" s="377" t="s">
        <v>1920</v>
      </c>
      <c r="C182" s="287" t="s">
        <v>1893</v>
      </c>
      <c r="D182" s="245"/>
      <c r="E182" s="245"/>
      <c r="F182" s="245"/>
      <c r="G182" s="245"/>
      <c r="H182" s="245"/>
      <c r="I182" s="245"/>
      <c r="J182" s="258">
        <v>3.67</v>
      </c>
      <c r="K182" s="258">
        <v>1.0</v>
      </c>
      <c r="L182" s="268"/>
      <c r="M182" s="268"/>
      <c r="N182" s="268"/>
      <c r="O182" s="268"/>
      <c r="P182" s="180">
        <v>0.33</v>
      </c>
      <c r="Q182" s="180">
        <v>0.33</v>
      </c>
      <c r="R182" s="5"/>
      <c r="S182" s="176"/>
      <c r="T182" s="176"/>
      <c r="U182" s="176"/>
      <c r="V182" s="176"/>
      <c r="W182" s="5"/>
      <c r="X182" s="184"/>
      <c r="Y182" s="184"/>
      <c r="Z182" s="184"/>
      <c r="AA182" s="184"/>
      <c r="AB182" s="184"/>
      <c r="AC182" s="184"/>
      <c r="AD182" s="5"/>
      <c r="AE182" s="184"/>
      <c r="AF182" s="184"/>
      <c r="AG182" s="184"/>
      <c r="AH182" s="184"/>
      <c r="AI182" s="184"/>
      <c r="AJ182" s="184"/>
      <c r="AK182" s="5"/>
      <c r="AL182" s="184">
        <f t="shared" ref="AL182:AM182" si="531">ROUND(E182*(5/12)+K182*(5/12)+S182+X182-AE182,2)</f>
        <v>0.42</v>
      </c>
      <c r="AM182" s="184">
        <f t="shared" si="531"/>
        <v>0</v>
      </c>
      <c r="AN182" s="184">
        <f t="shared" si="339"/>
        <v>0</v>
      </c>
      <c r="AO182" s="184">
        <f t="shared" ref="AO182:AP182" si="532">ROUND(H182*(5/12)+N182*(5/12)+U182+Z182-AG182,2)</f>
        <v>0</v>
      </c>
      <c r="AP182" s="184">
        <f t="shared" si="532"/>
        <v>0</v>
      </c>
      <c r="AQ182" s="184">
        <f t="shared" ref="AQ182:AR182" si="533">P182+AB182-AI182</f>
        <v>0.33</v>
      </c>
      <c r="AR182" s="184">
        <f t="shared" si="533"/>
        <v>0.33</v>
      </c>
      <c r="AS182" s="5"/>
      <c r="AT182" s="176">
        <v>0.0</v>
      </c>
      <c r="AU182" s="176">
        <v>0.0</v>
      </c>
      <c r="AV182" s="176">
        <v>0.0</v>
      </c>
      <c r="AW182" s="176">
        <v>0.0</v>
      </c>
      <c r="AX182" s="176">
        <v>0.0</v>
      </c>
      <c r="AY182" s="176">
        <v>0.0</v>
      </c>
      <c r="AZ182" s="176">
        <v>0.5</v>
      </c>
      <c r="BA182" s="195" t="s">
        <v>1921</v>
      </c>
      <c r="BB182" s="5"/>
      <c r="BC182" s="62"/>
      <c r="BE182" s="184"/>
      <c r="BF182" s="184"/>
      <c r="BG182" s="184"/>
      <c r="BH182" s="184"/>
      <c r="BI182" s="184"/>
      <c r="BJ182" s="184"/>
      <c r="BK182" s="81"/>
      <c r="BL182" s="81"/>
      <c r="BM182" s="81"/>
      <c r="BN182" s="81"/>
    </row>
    <row r="183">
      <c r="A183" s="176">
        <v>178.0</v>
      </c>
      <c r="B183" s="377" t="s">
        <v>1922</v>
      </c>
      <c r="C183" s="287" t="s">
        <v>1893</v>
      </c>
      <c r="D183" s="245"/>
      <c r="E183" s="245"/>
      <c r="F183" s="245"/>
      <c r="G183" s="245"/>
      <c r="H183" s="245"/>
      <c r="I183" s="245"/>
      <c r="J183" s="258">
        <v>4.0</v>
      </c>
      <c r="K183" s="268"/>
      <c r="L183" s="268"/>
      <c r="M183" s="268"/>
      <c r="N183" s="268"/>
      <c r="O183" s="268"/>
      <c r="P183" s="180">
        <v>0.33</v>
      </c>
      <c r="Q183" s="180">
        <v>0.33</v>
      </c>
      <c r="R183" s="5"/>
      <c r="S183" s="176"/>
      <c r="T183" s="176"/>
      <c r="U183" s="176"/>
      <c r="V183" s="176"/>
      <c r="W183" s="5"/>
      <c r="X183" s="184"/>
      <c r="Y183" s="184"/>
      <c r="Z183" s="184"/>
      <c r="AA183" s="184"/>
      <c r="AB183" s="184"/>
      <c r="AC183" s="184"/>
      <c r="AD183" s="5"/>
      <c r="AE183" s="184"/>
      <c r="AF183" s="184"/>
      <c r="AG183" s="184"/>
      <c r="AH183" s="184"/>
      <c r="AI183" s="184"/>
      <c r="AJ183" s="184"/>
      <c r="AK183" s="5"/>
      <c r="AL183" s="184">
        <f t="shared" ref="AL183:AM183" si="534">ROUND(E183*(5/12)+K183*(5/12)+S183+X183-AE183,2)</f>
        <v>0</v>
      </c>
      <c r="AM183" s="184">
        <f t="shared" si="534"/>
        <v>0</v>
      </c>
      <c r="AN183" s="184">
        <f t="shared" si="339"/>
        <v>0</v>
      </c>
      <c r="AO183" s="184">
        <f t="shared" ref="AO183:AP183" si="535">ROUND(H183*(5/12)+N183*(5/12)+U183+Z183-AG183,2)</f>
        <v>0</v>
      </c>
      <c r="AP183" s="184">
        <f t="shared" si="535"/>
        <v>0</v>
      </c>
      <c r="AQ183" s="184">
        <f t="shared" ref="AQ183:AR183" si="536">P183+AB183-AI183</f>
        <v>0.33</v>
      </c>
      <c r="AR183" s="184">
        <f t="shared" si="536"/>
        <v>0.33</v>
      </c>
      <c r="AS183" s="5"/>
      <c r="AT183" s="176">
        <v>0.0</v>
      </c>
      <c r="AU183" s="176">
        <v>0.0</v>
      </c>
      <c r="AV183" s="176">
        <v>0.0</v>
      </c>
      <c r="AW183" s="176">
        <v>0.0</v>
      </c>
      <c r="AX183" s="176">
        <v>0.0</v>
      </c>
      <c r="AY183" s="176">
        <v>1.0</v>
      </c>
      <c r="AZ183" s="176">
        <v>0.0</v>
      </c>
      <c r="BA183" s="180" t="s">
        <v>1923</v>
      </c>
      <c r="BB183" s="5"/>
      <c r="BC183" s="62"/>
      <c r="BE183" s="184"/>
      <c r="BF183" s="184"/>
      <c r="BG183" s="184"/>
      <c r="BH183" s="184"/>
      <c r="BI183" s="184"/>
      <c r="BJ183" s="184"/>
      <c r="BK183" s="81"/>
      <c r="BL183" s="81"/>
      <c r="BM183" s="81"/>
      <c r="BN183" s="81"/>
    </row>
    <row r="184">
      <c r="A184" s="176">
        <v>179.0</v>
      </c>
      <c r="B184" s="378" t="s">
        <v>1924</v>
      </c>
      <c r="C184" s="287" t="s">
        <v>221</v>
      </c>
      <c r="D184" s="376">
        <v>1.33</v>
      </c>
      <c r="E184" s="376">
        <v>0.22</v>
      </c>
      <c r="F184" s="376">
        <v>0.05</v>
      </c>
      <c r="G184" s="376">
        <v>0.1</v>
      </c>
      <c r="H184" s="373"/>
      <c r="I184" s="376">
        <v>0.3</v>
      </c>
      <c r="J184" s="269">
        <v>0.0</v>
      </c>
      <c r="K184" s="269">
        <v>1.7</v>
      </c>
      <c r="L184" s="269">
        <v>0.0</v>
      </c>
      <c r="M184" s="269">
        <v>0.0</v>
      </c>
      <c r="N184" s="269">
        <v>0.0</v>
      </c>
      <c r="O184" s="269">
        <v>0.3</v>
      </c>
      <c r="P184" s="180">
        <v>1.0</v>
      </c>
      <c r="Q184" s="180">
        <v>1.0</v>
      </c>
      <c r="R184" s="5"/>
      <c r="S184" s="176">
        <v>0.17</v>
      </c>
      <c r="T184" s="176">
        <v>0.0</v>
      </c>
      <c r="U184" s="176">
        <v>0.11</v>
      </c>
      <c r="V184" s="176">
        <v>0.06</v>
      </c>
      <c r="W184" s="5"/>
      <c r="X184" s="184"/>
      <c r="Y184" s="184"/>
      <c r="Z184" s="184"/>
      <c r="AA184" s="184"/>
      <c r="AB184" s="184"/>
      <c r="AC184" s="184"/>
      <c r="AD184" s="5"/>
      <c r="AE184" s="176">
        <v>0.25</v>
      </c>
      <c r="AF184" s="176">
        <v>0.045</v>
      </c>
      <c r="AG184" s="184"/>
      <c r="AH184" s="176">
        <v>0.03</v>
      </c>
      <c r="AI184" s="184"/>
      <c r="AJ184" s="184"/>
      <c r="AK184" s="5"/>
      <c r="AL184" s="184">
        <f t="shared" ref="AL184:AM184" si="537">ROUND(E184*(5/12)+K184*(5/12)+S184+X184-AE184,2)</f>
        <v>0.72</v>
      </c>
      <c r="AM184" s="184">
        <f t="shared" si="537"/>
        <v>-0.02</v>
      </c>
      <c r="AN184" s="184">
        <f t="shared" si="339"/>
        <v>0.04</v>
      </c>
      <c r="AO184" s="184">
        <f t="shared" ref="AO184:AP184" si="538">ROUND(H184*(5/12)+N184*(5/12)+U184+Z184-AG184,2)</f>
        <v>0.11</v>
      </c>
      <c r="AP184" s="184">
        <f t="shared" si="538"/>
        <v>0.28</v>
      </c>
      <c r="AQ184" s="184">
        <f t="shared" ref="AQ184:AR184" si="539">P184+AB184-AI184</f>
        <v>1</v>
      </c>
      <c r="AR184" s="184">
        <f t="shared" si="539"/>
        <v>1</v>
      </c>
      <c r="AS184" s="5"/>
      <c r="AT184" s="176">
        <v>1.0</v>
      </c>
      <c r="AU184" s="176">
        <v>0.02</v>
      </c>
      <c r="AV184" s="176">
        <v>0.1</v>
      </c>
      <c r="AW184" s="176">
        <v>0.11</v>
      </c>
      <c r="AX184" s="176">
        <v>0.283</v>
      </c>
      <c r="AY184" s="176">
        <v>1.0</v>
      </c>
      <c r="AZ184" s="176">
        <v>1.0</v>
      </c>
      <c r="BA184" s="196" t="s">
        <v>1925</v>
      </c>
      <c r="BB184" s="5"/>
      <c r="BC184" s="62"/>
      <c r="BE184" s="391">
        <v>0.5</v>
      </c>
      <c r="BF184" s="392"/>
      <c r="BG184" s="392"/>
      <c r="BH184" s="392"/>
      <c r="BI184" s="393">
        <v>0.75</v>
      </c>
      <c r="BJ184" s="184"/>
      <c r="BK184" s="280" t="s">
        <v>1926</v>
      </c>
      <c r="BL184" s="280" t="s">
        <v>1152</v>
      </c>
      <c r="BM184" s="81"/>
      <c r="BN184" s="81"/>
    </row>
    <row r="185">
      <c r="A185" s="176">
        <v>180.0</v>
      </c>
      <c r="B185" s="372" t="s">
        <v>222</v>
      </c>
      <c r="C185" s="287" t="s">
        <v>221</v>
      </c>
      <c r="D185" s="376">
        <v>1.67</v>
      </c>
      <c r="E185" s="376">
        <v>1.17</v>
      </c>
      <c r="F185" s="376">
        <v>0.2</v>
      </c>
      <c r="G185" s="376">
        <v>0.2</v>
      </c>
      <c r="H185" s="376">
        <v>0.66</v>
      </c>
      <c r="I185" s="376">
        <v>0.1</v>
      </c>
      <c r="J185" s="269">
        <v>0.0</v>
      </c>
      <c r="K185" s="269">
        <v>2.0</v>
      </c>
      <c r="L185" s="269">
        <v>0.1</v>
      </c>
      <c r="M185" s="269">
        <v>0.0</v>
      </c>
      <c r="N185" s="269">
        <v>1.6</v>
      </c>
      <c r="O185" s="269">
        <v>0.3</v>
      </c>
      <c r="P185" s="180">
        <v>1.0</v>
      </c>
      <c r="Q185" s="180">
        <v>1.0</v>
      </c>
      <c r="R185" s="5"/>
      <c r="S185" s="176">
        <v>0.58</v>
      </c>
      <c r="T185" s="176">
        <v>0.04</v>
      </c>
      <c r="U185" s="176">
        <v>0.05</v>
      </c>
      <c r="V185" s="176">
        <v>0.0</v>
      </c>
      <c r="W185" s="5"/>
      <c r="X185" s="176">
        <v>0.5</v>
      </c>
      <c r="Y185" s="176">
        <v>0.118</v>
      </c>
      <c r="Z185" s="176">
        <v>0.19</v>
      </c>
      <c r="AA185" s="184"/>
      <c r="AB185" s="176">
        <v>1.0</v>
      </c>
      <c r="AC185" s="184"/>
      <c r="AD185" s="5"/>
      <c r="AE185" s="176">
        <v>0.02</v>
      </c>
      <c r="AF185" s="184"/>
      <c r="AG185" s="176"/>
      <c r="AH185" s="184"/>
      <c r="AI185" s="184"/>
      <c r="AJ185" s="184"/>
      <c r="AK185" s="5"/>
      <c r="AL185" s="184">
        <f t="shared" ref="AL185:AM185" si="540">ROUND(E185*(5/12)+K185*(5/12)+S185+X185-AE185,2)</f>
        <v>2.38</v>
      </c>
      <c r="AM185" s="184">
        <f t="shared" si="540"/>
        <v>0.28</v>
      </c>
      <c r="AN185" s="184">
        <f t="shared" si="339"/>
        <v>0.08</v>
      </c>
      <c r="AO185" s="184">
        <f t="shared" ref="AO185:AP185" si="541">ROUND(H185*(5/12)+N185*(5/12)+U185+Z185-AG185,2)</f>
        <v>1.18</v>
      </c>
      <c r="AP185" s="184">
        <f t="shared" si="541"/>
        <v>0.17</v>
      </c>
      <c r="AQ185" s="184">
        <f t="shared" ref="AQ185:AR185" si="542">P185+AB185-AI185</f>
        <v>2</v>
      </c>
      <c r="AR185" s="184">
        <f t="shared" si="542"/>
        <v>1</v>
      </c>
      <c r="AS185" s="5"/>
      <c r="AT185" s="176">
        <v>2.25</v>
      </c>
      <c r="AU185" s="176">
        <v>0.186</v>
      </c>
      <c r="AV185" s="176">
        <v>0.1</v>
      </c>
      <c r="AW185" s="176">
        <v>1.0</v>
      </c>
      <c r="AX185" s="176">
        <v>0.0</v>
      </c>
      <c r="AY185" s="176">
        <v>0.0</v>
      </c>
      <c r="AZ185" s="176">
        <v>1.0</v>
      </c>
      <c r="BA185" s="180" t="s">
        <v>1927</v>
      </c>
      <c r="BB185" s="5"/>
      <c r="BC185" s="62"/>
      <c r="BE185" s="184"/>
      <c r="BF185" s="184"/>
      <c r="BG185" s="184"/>
      <c r="BH185" s="184"/>
      <c r="BI185" s="184"/>
      <c r="BJ185" s="184"/>
      <c r="BK185" s="81"/>
      <c r="BL185" s="81"/>
      <c r="BM185" s="81"/>
      <c r="BN185" s="81"/>
    </row>
    <row r="186">
      <c r="A186" s="176">
        <v>181.0</v>
      </c>
      <c r="B186" s="372" t="s">
        <v>223</v>
      </c>
      <c r="C186" s="287" t="s">
        <v>221</v>
      </c>
      <c r="D186" s="376">
        <v>2.0</v>
      </c>
      <c r="E186" s="376">
        <v>1.4</v>
      </c>
      <c r="F186" s="376">
        <v>0.3</v>
      </c>
      <c r="G186" s="376">
        <v>0.2</v>
      </c>
      <c r="H186" s="373"/>
      <c r="I186" s="376">
        <v>0.1</v>
      </c>
      <c r="J186" s="269">
        <v>0.0</v>
      </c>
      <c r="K186" s="269">
        <v>2.2</v>
      </c>
      <c r="L186" s="269">
        <v>0.5</v>
      </c>
      <c r="M186" s="269">
        <v>0.5</v>
      </c>
      <c r="N186" s="269">
        <v>0.8</v>
      </c>
      <c r="O186" s="269">
        <v>0.0</v>
      </c>
      <c r="P186" s="180">
        <v>1.0</v>
      </c>
      <c r="Q186" s="180">
        <v>1.0</v>
      </c>
      <c r="R186" s="5"/>
      <c r="S186" s="176">
        <v>0.41</v>
      </c>
      <c r="T186" s="176">
        <v>0.04</v>
      </c>
      <c r="U186" s="176">
        <v>0.05</v>
      </c>
      <c r="V186" s="176">
        <v>0.0</v>
      </c>
      <c r="W186" s="5"/>
      <c r="X186" s="176">
        <v>0.22</v>
      </c>
      <c r="Y186" s="176">
        <v>0.161</v>
      </c>
      <c r="Z186" s="176">
        <v>0.19</v>
      </c>
      <c r="AA186" s="184"/>
      <c r="AB186" s="184"/>
      <c r="AC186" s="184"/>
      <c r="AD186" s="5"/>
      <c r="AE186" s="176"/>
      <c r="AF186" s="184"/>
      <c r="AG186" s="176"/>
      <c r="AH186" s="184"/>
      <c r="AI186" s="184"/>
      <c r="AJ186" s="184"/>
      <c r="AK186" s="5"/>
      <c r="AL186" s="184">
        <f t="shared" ref="AL186:AM186" si="543">ROUND(E186*(5/12)+K186*(5/12)+S186+X186-AE186,2)</f>
        <v>2.13</v>
      </c>
      <c r="AM186" s="184">
        <f t="shared" si="543"/>
        <v>0.53</v>
      </c>
      <c r="AN186" s="184">
        <f t="shared" si="339"/>
        <v>0.29</v>
      </c>
      <c r="AO186" s="184">
        <f t="shared" ref="AO186:AP186" si="544">ROUND(H186*(5/12)+N186*(5/12)+U186+Z186-AG186,2)</f>
        <v>0.57</v>
      </c>
      <c r="AP186" s="184">
        <f t="shared" si="544"/>
        <v>0.04</v>
      </c>
      <c r="AQ186" s="184">
        <f t="shared" ref="AQ186:AR186" si="545">P186+AB186-AI186</f>
        <v>1</v>
      </c>
      <c r="AR186" s="184">
        <f t="shared" si="545"/>
        <v>1</v>
      </c>
      <c r="AS186" s="5"/>
      <c r="AT186" s="176">
        <v>1.5</v>
      </c>
      <c r="AU186" s="176">
        <v>0.389</v>
      </c>
      <c r="AV186" s="176">
        <v>0.2</v>
      </c>
      <c r="AW186" s="176">
        <v>0.33</v>
      </c>
      <c r="AX186" s="176">
        <v>0.0</v>
      </c>
      <c r="AY186" s="176">
        <v>0.0</v>
      </c>
      <c r="AZ186" s="176">
        <v>1.0</v>
      </c>
      <c r="BA186" s="195" t="s">
        <v>1928</v>
      </c>
      <c r="BB186" s="5"/>
      <c r="BC186" s="62"/>
      <c r="BE186" s="184"/>
      <c r="BF186" s="184"/>
      <c r="BG186" s="184"/>
      <c r="BH186" s="184"/>
      <c r="BI186" s="184"/>
      <c r="BJ186" s="184"/>
      <c r="BK186" s="81"/>
      <c r="BL186" s="81"/>
      <c r="BM186" s="81"/>
      <c r="BN186" s="81"/>
    </row>
    <row r="187">
      <c r="A187" s="176">
        <v>182.0</v>
      </c>
      <c r="B187" s="372" t="s">
        <v>1929</v>
      </c>
      <c r="C187" s="287" t="s">
        <v>221</v>
      </c>
      <c r="D187" s="376">
        <v>2.0</v>
      </c>
      <c r="E187" s="376">
        <v>1.55</v>
      </c>
      <c r="F187" s="376">
        <v>0.15</v>
      </c>
      <c r="G187" s="376">
        <v>0.2</v>
      </c>
      <c r="H187" s="373"/>
      <c r="I187" s="376">
        <v>0.1</v>
      </c>
      <c r="J187" s="269">
        <v>1.0</v>
      </c>
      <c r="K187" s="269">
        <v>1.5</v>
      </c>
      <c r="L187" s="269">
        <v>0.5</v>
      </c>
      <c r="M187" s="269">
        <v>0.2</v>
      </c>
      <c r="N187" s="269">
        <v>0.8</v>
      </c>
      <c r="O187" s="269">
        <v>0.0</v>
      </c>
      <c r="P187" s="180">
        <v>1.0</v>
      </c>
      <c r="Q187" s="180">
        <v>1.0</v>
      </c>
      <c r="R187" s="5"/>
      <c r="S187" s="176">
        <v>0.17</v>
      </c>
      <c r="T187" s="176">
        <v>0.0</v>
      </c>
      <c r="U187" s="176">
        <v>0.0</v>
      </c>
      <c r="V187" s="176">
        <v>0.0</v>
      </c>
      <c r="W187" s="5"/>
      <c r="X187" s="184"/>
      <c r="Y187" s="176">
        <v>0.006</v>
      </c>
      <c r="Z187" s="184"/>
      <c r="AA187" s="184"/>
      <c r="AB187" s="184"/>
      <c r="AC187" s="184"/>
      <c r="AD187" s="5"/>
      <c r="AE187" s="184"/>
      <c r="AF187" s="184"/>
      <c r="AG187" s="184"/>
      <c r="AH187" s="184"/>
      <c r="AI187" s="184"/>
      <c r="AJ187" s="184"/>
      <c r="AK187" s="5"/>
      <c r="AL187" s="184">
        <f t="shared" ref="AL187:AM187" si="546">ROUND(E187*(5/12)+K187*(5/12)+S187+X187-AE187,2)</f>
        <v>1.44</v>
      </c>
      <c r="AM187" s="184">
        <f t="shared" si="546"/>
        <v>0.28</v>
      </c>
      <c r="AN187" s="184">
        <f t="shared" si="339"/>
        <v>0.17</v>
      </c>
      <c r="AO187" s="184">
        <f t="shared" ref="AO187:AP187" si="547">ROUND(H187*(5/12)+N187*(5/12)+U187+Z187-AG187,2)</f>
        <v>0.33</v>
      </c>
      <c r="AP187" s="184">
        <f t="shared" si="547"/>
        <v>0.04</v>
      </c>
      <c r="AQ187" s="184">
        <f t="shared" ref="AQ187:AR187" si="548">P187+AB187-AI187</f>
        <v>1</v>
      </c>
      <c r="AR187" s="184">
        <f t="shared" si="548"/>
        <v>1</v>
      </c>
      <c r="AS187" s="5"/>
      <c r="AT187" s="176">
        <v>0.5</v>
      </c>
      <c r="AU187" s="176">
        <v>0.82</v>
      </c>
      <c r="AV187" s="176">
        <v>0.2</v>
      </c>
      <c r="AW187" s="176">
        <v>0.33</v>
      </c>
      <c r="AX187" s="176">
        <v>0.066</v>
      </c>
      <c r="AY187" s="176">
        <v>1.0</v>
      </c>
      <c r="AZ187" s="176">
        <v>1.0</v>
      </c>
      <c r="BA187" s="180" t="s">
        <v>1930</v>
      </c>
      <c r="BB187" s="5"/>
      <c r="BC187" s="62"/>
      <c r="BE187" s="184"/>
      <c r="BF187" s="184"/>
      <c r="BG187" s="184"/>
      <c r="BH187" s="184"/>
      <c r="BI187" s="184"/>
      <c r="BJ187" s="184"/>
      <c r="BK187" s="81"/>
      <c r="BL187" s="280" t="s">
        <v>1152</v>
      </c>
      <c r="BM187" s="81"/>
      <c r="BN187" s="81"/>
    </row>
    <row r="188">
      <c r="A188" s="176">
        <v>183.0</v>
      </c>
      <c r="B188" s="372" t="s">
        <v>1488</v>
      </c>
      <c r="C188" s="287" t="s">
        <v>221</v>
      </c>
      <c r="D188" s="376">
        <v>3.66</v>
      </c>
      <c r="E188" s="376">
        <v>0.14</v>
      </c>
      <c r="F188" s="376">
        <v>0.1</v>
      </c>
      <c r="G188" s="376">
        <v>0.1</v>
      </c>
      <c r="H188" s="373"/>
      <c r="I188" s="376">
        <v>0.0</v>
      </c>
      <c r="J188" s="269">
        <v>2.0</v>
      </c>
      <c r="K188" s="269">
        <v>1.0</v>
      </c>
      <c r="L188" s="269">
        <v>0.0</v>
      </c>
      <c r="M188" s="269">
        <v>0.2</v>
      </c>
      <c r="N188" s="269">
        <v>0.8</v>
      </c>
      <c r="O188" s="269">
        <v>0.0</v>
      </c>
      <c r="P188" s="180">
        <v>1.0</v>
      </c>
      <c r="Q188" s="180">
        <v>1.0</v>
      </c>
      <c r="R188" s="5"/>
      <c r="S188" s="176">
        <v>0.17</v>
      </c>
      <c r="T188" s="176">
        <v>0.0</v>
      </c>
      <c r="U188" s="176">
        <v>0.06</v>
      </c>
      <c r="V188" s="176">
        <v>0.0</v>
      </c>
      <c r="W188" s="5"/>
      <c r="X188" s="184"/>
      <c r="Y188" s="184"/>
      <c r="Z188" s="184"/>
      <c r="AA188" s="184"/>
      <c r="AB188" s="184"/>
      <c r="AC188" s="184"/>
      <c r="AD188" s="5"/>
      <c r="AE188" s="184"/>
      <c r="AF188" s="184"/>
      <c r="AG188" s="184"/>
      <c r="AH188" s="184"/>
      <c r="AI188" s="184"/>
      <c r="AJ188" s="184"/>
      <c r="AK188" s="5"/>
      <c r="AL188" s="184">
        <f t="shared" ref="AL188:AM188" si="549">ROUND(E188*(5/12)+K188*(5/12)+S188+X188-AE188,2)</f>
        <v>0.65</v>
      </c>
      <c r="AM188" s="184">
        <f t="shared" si="549"/>
        <v>0.04</v>
      </c>
      <c r="AN188" s="184">
        <f t="shared" si="339"/>
        <v>0.13</v>
      </c>
      <c r="AO188" s="184">
        <f t="shared" ref="AO188:AP188" si="550">ROUND(H188*(5/12)+N188*(5/12)+U188+Z188-AG188,2)</f>
        <v>0.39</v>
      </c>
      <c r="AP188" s="184">
        <f t="shared" si="550"/>
        <v>0</v>
      </c>
      <c r="AQ188" s="184">
        <f t="shared" ref="AQ188:AR188" si="551">P188+AB188-AI188</f>
        <v>1</v>
      </c>
      <c r="AR188" s="184">
        <f t="shared" si="551"/>
        <v>1</v>
      </c>
      <c r="AS188" s="5"/>
      <c r="AT188" s="176">
        <v>0.5</v>
      </c>
      <c r="AU188" s="176">
        <v>0.0</v>
      </c>
      <c r="AV188" s="176">
        <v>0.2</v>
      </c>
      <c r="AW188" s="176">
        <v>0.39</v>
      </c>
      <c r="AX188" s="176">
        <v>0.0</v>
      </c>
      <c r="AY188" s="176">
        <v>1.0</v>
      </c>
      <c r="AZ188" s="176">
        <v>1.0</v>
      </c>
      <c r="BA188" s="180" t="s">
        <v>1931</v>
      </c>
      <c r="BB188" s="5"/>
      <c r="BC188" s="62"/>
      <c r="BE188" s="184"/>
      <c r="BF188" s="184"/>
      <c r="BG188" s="184"/>
      <c r="BH188" s="184"/>
      <c r="BI188" s="184"/>
      <c r="BJ188" s="184"/>
      <c r="BK188" s="81"/>
      <c r="BL188" s="81"/>
      <c r="BM188" s="81"/>
      <c r="BN188" s="81"/>
    </row>
    <row r="189">
      <c r="A189" s="176">
        <v>184.0</v>
      </c>
      <c r="B189" s="372" t="s">
        <v>1490</v>
      </c>
      <c r="C189" s="287" t="s">
        <v>221</v>
      </c>
      <c r="D189" s="376">
        <v>3.66</v>
      </c>
      <c r="E189" s="376">
        <v>0.14</v>
      </c>
      <c r="F189" s="376">
        <v>0.1</v>
      </c>
      <c r="G189" s="376">
        <v>0.1</v>
      </c>
      <c r="H189" s="373"/>
      <c r="I189" s="376">
        <v>0.0</v>
      </c>
      <c r="J189" s="269">
        <v>2.0</v>
      </c>
      <c r="K189" s="269">
        <v>1.0</v>
      </c>
      <c r="L189" s="269">
        <v>0.1</v>
      </c>
      <c r="M189" s="269">
        <v>0.1</v>
      </c>
      <c r="N189" s="269">
        <v>0.8</v>
      </c>
      <c r="O189" s="269">
        <v>0.0</v>
      </c>
      <c r="P189" s="180">
        <v>1.0</v>
      </c>
      <c r="Q189" s="180">
        <v>1.0</v>
      </c>
      <c r="R189" s="5"/>
      <c r="S189" s="176">
        <v>0.17</v>
      </c>
      <c r="T189" s="176">
        <v>0.0</v>
      </c>
      <c r="U189" s="176">
        <v>0.17</v>
      </c>
      <c r="V189" s="176">
        <v>0.0</v>
      </c>
      <c r="W189" s="5"/>
      <c r="X189" s="184"/>
      <c r="Y189" s="184"/>
      <c r="Z189" s="184"/>
      <c r="AA189" s="184"/>
      <c r="AB189" s="184"/>
      <c r="AC189" s="184"/>
      <c r="AD189" s="5"/>
      <c r="AE189" s="184"/>
      <c r="AF189" s="184"/>
      <c r="AG189" s="184"/>
      <c r="AH189" s="184"/>
      <c r="AI189" s="184"/>
      <c r="AJ189" s="184"/>
      <c r="AK189" s="5"/>
      <c r="AL189" s="184">
        <f t="shared" ref="AL189:AM189" si="552">ROUND(E189*(5/12)+K189*(5/12)+S189+X189-AE189,2)</f>
        <v>0.65</v>
      </c>
      <c r="AM189" s="184">
        <f t="shared" si="552"/>
        <v>0.08</v>
      </c>
      <c r="AN189" s="184">
        <f t="shared" si="339"/>
        <v>0.08</v>
      </c>
      <c r="AO189" s="184">
        <f t="shared" ref="AO189:AP189" si="553">ROUND(H189*(5/12)+N189*(5/12)+U189+Z189-AG189,2)</f>
        <v>0.5</v>
      </c>
      <c r="AP189" s="184">
        <f t="shared" si="553"/>
        <v>0</v>
      </c>
      <c r="AQ189" s="184">
        <f t="shared" ref="AQ189:AR189" si="554">P189+AB189-AI189</f>
        <v>1</v>
      </c>
      <c r="AR189" s="184">
        <f t="shared" si="554"/>
        <v>1</v>
      </c>
      <c r="AS189" s="5"/>
      <c r="AT189" s="176">
        <v>0.5</v>
      </c>
      <c r="AU189" s="176">
        <v>0.086</v>
      </c>
      <c r="AV189" s="176">
        <v>0.1</v>
      </c>
      <c r="AW189" s="176">
        <v>0.49</v>
      </c>
      <c r="AX189" s="176">
        <v>0.0</v>
      </c>
      <c r="AY189" s="176">
        <v>1.0</v>
      </c>
      <c r="AZ189" s="176">
        <v>1.0</v>
      </c>
      <c r="BA189" s="180" t="s">
        <v>1932</v>
      </c>
      <c r="BB189" s="5"/>
      <c r="BC189" s="62"/>
      <c r="BE189" s="184"/>
      <c r="BF189" s="184"/>
      <c r="BG189" s="184"/>
      <c r="BH189" s="184"/>
      <c r="BI189" s="184"/>
      <c r="BJ189" s="184"/>
      <c r="BK189" s="81"/>
      <c r="BL189" s="81"/>
      <c r="BM189" s="81"/>
      <c r="BN189" s="81"/>
    </row>
    <row r="190">
      <c r="A190" s="176">
        <v>185.0</v>
      </c>
      <c r="B190" s="372" t="s">
        <v>1492</v>
      </c>
      <c r="C190" s="287" t="s">
        <v>221</v>
      </c>
      <c r="D190" s="376">
        <v>3.67</v>
      </c>
      <c r="E190" s="376">
        <v>0.13</v>
      </c>
      <c r="F190" s="376">
        <v>0.1</v>
      </c>
      <c r="G190" s="376">
        <v>0.1</v>
      </c>
      <c r="H190" s="373"/>
      <c r="I190" s="376">
        <v>0.0</v>
      </c>
      <c r="J190" s="269">
        <v>2.0</v>
      </c>
      <c r="K190" s="269">
        <v>1.0</v>
      </c>
      <c r="L190" s="269">
        <v>0.0</v>
      </c>
      <c r="M190" s="269">
        <v>0.2</v>
      </c>
      <c r="N190" s="269">
        <v>0.8</v>
      </c>
      <c r="O190" s="269">
        <v>0.0</v>
      </c>
      <c r="P190" s="180">
        <v>1.0</v>
      </c>
      <c r="Q190" s="180">
        <v>1.0</v>
      </c>
      <c r="R190" s="5"/>
      <c r="S190" s="176">
        <v>0.0</v>
      </c>
      <c r="T190" s="176">
        <v>0.0</v>
      </c>
      <c r="U190" s="176">
        <v>0.0</v>
      </c>
      <c r="V190" s="176">
        <v>0.06</v>
      </c>
      <c r="W190" s="5"/>
      <c r="X190" s="184"/>
      <c r="Y190" s="184"/>
      <c r="Z190" s="184"/>
      <c r="AA190" s="184"/>
      <c r="AB190" s="184"/>
      <c r="AC190" s="184"/>
      <c r="AD190" s="5"/>
      <c r="AE190" s="184"/>
      <c r="AF190" s="184"/>
      <c r="AG190" s="184"/>
      <c r="AH190" s="176">
        <v>0.06</v>
      </c>
      <c r="AI190" s="184"/>
      <c r="AJ190" s="184"/>
      <c r="AK190" s="5"/>
      <c r="AL190" s="184">
        <f t="shared" ref="AL190:AM190" si="555">ROUND(E190*(5/12)+K190*(5/12)+S190+X190-AE190,2)</f>
        <v>0.47</v>
      </c>
      <c r="AM190" s="184">
        <f t="shared" si="555"/>
        <v>0.04</v>
      </c>
      <c r="AN190" s="184">
        <f t="shared" si="339"/>
        <v>0.13</v>
      </c>
      <c r="AO190" s="184">
        <f t="shared" ref="AO190:AP190" si="556">ROUND(H190*(5/12)+N190*(5/12)+U190+Z190-AG190,2)</f>
        <v>0.33</v>
      </c>
      <c r="AP190" s="184">
        <f t="shared" si="556"/>
        <v>0</v>
      </c>
      <c r="AQ190" s="184">
        <f t="shared" ref="AQ190:AR190" si="557">P190+AB190-AI190</f>
        <v>1</v>
      </c>
      <c r="AR190" s="184">
        <f t="shared" si="557"/>
        <v>1</v>
      </c>
      <c r="AS190" s="5"/>
      <c r="AT190" s="176">
        <v>0.5</v>
      </c>
      <c r="AU190" s="176">
        <v>0.0</v>
      </c>
      <c r="AV190" s="176">
        <v>0.2</v>
      </c>
      <c r="AW190" s="176">
        <v>0.33</v>
      </c>
      <c r="AX190" s="176">
        <v>0.0</v>
      </c>
      <c r="AY190" s="176">
        <v>1.0</v>
      </c>
      <c r="AZ190" s="176">
        <v>1.0</v>
      </c>
      <c r="BA190" s="180" t="s">
        <v>1933</v>
      </c>
      <c r="BB190" s="5"/>
      <c r="BC190" s="62"/>
      <c r="BE190" s="184"/>
      <c r="BF190" s="184"/>
      <c r="BG190" s="184"/>
      <c r="BH190" s="184"/>
      <c r="BI190" s="184"/>
      <c r="BJ190" s="184"/>
      <c r="BK190" s="81"/>
      <c r="BL190" s="280" t="s">
        <v>1561</v>
      </c>
      <c r="BM190" s="81"/>
      <c r="BN190" s="81"/>
    </row>
    <row r="191">
      <c r="A191" s="176">
        <v>186.0</v>
      </c>
      <c r="B191" s="372" t="s">
        <v>1934</v>
      </c>
      <c r="C191" s="287" t="s">
        <v>221</v>
      </c>
      <c r="D191" s="376">
        <v>3.67</v>
      </c>
      <c r="E191" s="376">
        <v>0.13</v>
      </c>
      <c r="F191" s="376">
        <v>0.1</v>
      </c>
      <c r="G191" s="376">
        <v>0.1</v>
      </c>
      <c r="H191" s="373"/>
      <c r="I191" s="376">
        <v>0.0</v>
      </c>
      <c r="J191" s="269">
        <v>4.0</v>
      </c>
      <c r="K191" s="269">
        <v>0.0</v>
      </c>
      <c r="L191" s="269">
        <v>0.0</v>
      </c>
      <c r="M191" s="269">
        <v>0.0</v>
      </c>
      <c r="N191" s="269">
        <v>0.0</v>
      </c>
      <c r="O191" s="269">
        <v>0.0</v>
      </c>
      <c r="P191" s="180">
        <v>1.0</v>
      </c>
      <c r="Q191" s="180">
        <v>1.0</v>
      </c>
      <c r="R191" s="5"/>
      <c r="S191" s="176">
        <v>0.17</v>
      </c>
      <c r="T191" s="176">
        <v>0.0</v>
      </c>
      <c r="U191" s="176">
        <v>0.0</v>
      </c>
      <c r="V191" s="176">
        <v>0.0</v>
      </c>
      <c r="W191" s="5"/>
      <c r="X191" s="184"/>
      <c r="Y191" s="184"/>
      <c r="Z191" s="184"/>
      <c r="AA191" s="184"/>
      <c r="AB191" s="184"/>
      <c r="AC191" s="184"/>
      <c r="AD191" s="5"/>
      <c r="AE191" s="176">
        <v>0.17</v>
      </c>
      <c r="AF191" s="184"/>
      <c r="AG191" s="184"/>
      <c r="AH191" s="184"/>
      <c r="AI191" s="184"/>
      <c r="AJ191" s="184"/>
      <c r="AK191" s="5"/>
      <c r="AL191" s="184">
        <f t="shared" ref="AL191:AM191" si="558">ROUND(E191*(5/12)+K191*(5/12)+S191+X191-AE191,2)</f>
        <v>0.05</v>
      </c>
      <c r="AM191" s="184">
        <f t="shared" si="558"/>
        <v>0.04</v>
      </c>
      <c r="AN191" s="184">
        <f t="shared" si="339"/>
        <v>0.04</v>
      </c>
      <c r="AO191" s="184">
        <f t="shared" ref="AO191:AP191" si="559">ROUND(H191*(5/12)+N191*(5/12)+U191+Z191-AG191,2)</f>
        <v>0</v>
      </c>
      <c r="AP191" s="184">
        <f t="shared" si="559"/>
        <v>0</v>
      </c>
      <c r="AQ191" s="184">
        <f t="shared" ref="AQ191:AR191" si="560">P191+AB191-AI191</f>
        <v>1</v>
      </c>
      <c r="AR191" s="184">
        <f t="shared" si="560"/>
        <v>1</v>
      </c>
      <c r="AS191" s="5"/>
      <c r="AT191" s="176">
        <v>0.5</v>
      </c>
      <c r="AU191" s="176">
        <v>0.046</v>
      </c>
      <c r="AV191" s="176">
        <v>0.1</v>
      </c>
      <c r="AW191" s="176">
        <v>0.0</v>
      </c>
      <c r="AX191" s="176">
        <v>0.0</v>
      </c>
      <c r="AY191" s="176">
        <v>1.0</v>
      </c>
      <c r="AZ191" s="176">
        <v>1.0</v>
      </c>
      <c r="BA191" s="196" t="s">
        <v>1935</v>
      </c>
      <c r="BB191" s="5"/>
      <c r="BC191" s="62"/>
      <c r="BE191" s="184"/>
      <c r="BF191" s="184"/>
      <c r="BG191" s="184"/>
      <c r="BH191" s="184"/>
      <c r="BI191" s="184"/>
      <c r="BJ191" s="184"/>
      <c r="BK191" s="81"/>
      <c r="BL191" s="280" t="s">
        <v>1561</v>
      </c>
      <c r="BM191" s="81"/>
      <c r="BN191" s="81"/>
    </row>
    <row r="192">
      <c r="A192" s="176">
        <v>187.0</v>
      </c>
      <c r="B192" s="372" t="s">
        <v>1495</v>
      </c>
      <c r="C192" s="287" t="s">
        <v>221</v>
      </c>
      <c r="D192" s="376">
        <v>3.67</v>
      </c>
      <c r="E192" s="376">
        <v>0.13</v>
      </c>
      <c r="F192" s="376">
        <v>0.1</v>
      </c>
      <c r="G192" s="376">
        <v>0.1</v>
      </c>
      <c r="H192" s="373"/>
      <c r="I192" s="376">
        <v>0.0</v>
      </c>
      <c r="J192" s="269">
        <v>2.0</v>
      </c>
      <c r="K192" s="269">
        <v>1.0</v>
      </c>
      <c r="L192" s="269">
        <v>0.0</v>
      </c>
      <c r="M192" s="269">
        <v>0.2</v>
      </c>
      <c r="N192" s="269">
        <v>0.8</v>
      </c>
      <c r="O192" s="269">
        <v>0.0</v>
      </c>
      <c r="P192" s="180">
        <v>1.0</v>
      </c>
      <c r="Q192" s="180">
        <v>1.0</v>
      </c>
      <c r="R192" s="5"/>
      <c r="S192" s="176">
        <v>0.17</v>
      </c>
      <c r="T192" s="176">
        <v>0.0</v>
      </c>
      <c r="U192" s="176">
        <v>0.0</v>
      </c>
      <c r="V192" s="176">
        <v>0.0</v>
      </c>
      <c r="W192" s="5"/>
      <c r="X192" s="184"/>
      <c r="Y192" s="184"/>
      <c r="Z192" s="184"/>
      <c r="AA192" s="184"/>
      <c r="AB192" s="184"/>
      <c r="AC192" s="184"/>
      <c r="AD192" s="5"/>
      <c r="AE192" s="176">
        <v>0.17</v>
      </c>
      <c r="AF192" s="184"/>
      <c r="AG192" s="184"/>
      <c r="AH192" s="184"/>
      <c r="AI192" s="184"/>
      <c r="AJ192" s="184"/>
      <c r="AK192" s="5"/>
      <c r="AL192" s="184">
        <f t="shared" ref="AL192:AM192" si="561">ROUND(E192*(5/12)+K192*(5/12)+S192+X192-AE192,2)</f>
        <v>0.47</v>
      </c>
      <c r="AM192" s="184">
        <f t="shared" si="561"/>
        <v>0.04</v>
      </c>
      <c r="AN192" s="184">
        <f t="shared" si="339"/>
        <v>0.13</v>
      </c>
      <c r="AO192" s="184">
        <f t="shared" ref="AO192:AP192" si="562">ROUND(H192*(5/12)+N192*(5/12)+U192+Z192-AG192,2)</f>
        <v>0.33</v>
      </c>
      <c r="AP192" s="184">
        <f t="shared" si="562"/>
        <v>0</v>
      </c>
      <c r="AQ192" s="184">
        <f t="shared" ref="AQ192:AR192" si="563">P192+AB192-AI192</f>
        <v>1</v>
      </c>
      <c r="AR192" s="184">
        <f t="shared" si="563"/>
        <v>1</v>
      </c>
      <c r="AS192" s="5"/>
      <c r="AT192" s="176">
        <v>0.5</v>
      </c>
      <c r="AU192" s="176">
        <v>0.042</v>
      </c>
      <c r="AV192" s="176">
        <v>0.2</v>
      </c>
      <c r="AW192" s="176">
        <v>0.33</v>
      </c>
      <c r="AX192" s="176">
        <v>0.0</v>
      </c>
      <c r="AY192" s="176">
        <v>1.0</v>
      </c>
      <c r="AZ192" s="176">
        <v>1.0</v>
      </c>
      <c r="BA192" s="196" t="s">
        <v>1936</v>
      </c>
      <c r="BB192" s="5"/>
      <c r="BC192" s="62"/>
      <c r="BE192" s="184"/>
      <c r="BF192" s="184"/>
      <c r="BG192" s="184"/>
      <c r="BH192" s="184"/>
      <c r="BI192" s="184"/>
      <c r="BJ192" s="184"/>
      <c r="BK192" s="81"/>
      <c r="BL192" s="280" t="s">
        <v>1561</v>
      </c>
      <c r="BM192" s="280" t="s">
        <v>1937</v>
      </c>
      <c r="BN192" s="81"/>
    </row>
    <row r="193">
      <c r="A193" s="176">
        <v>188.0</v>
      </c>
      <c r="B193" s="377" t="s">
        <v>1938</v>
      </c>
      <c r="C193" s="287" t="s">
        <v>221</v>
      </c>
      <c r="D193" s="394">
        <v>4.0</v>
      </c>
      <c r="E193" s="395">
        <v>0.0</v>
      </c>
      <c r="F193" s="395">
        <v>0.0</v>
      </c>
      <c r="G193" s="395">
        <v>0.0</v>
      </c>
      <c r="H193" s="396"/>
      <c r="I193" s="397">
        <v>0.0</v>
      </c>
      <c r="J193" s="268">
        <v>4.0</v>
      </c>
      <c r="K193" s="268">
        <v>0.0</v>
      </c>
      <c r="L193" s="268">
        <v>0.0</v>
      </c>
      <c r="M193" s="268">
        <v>0.0</v>
      </c>
      <c r="N193" s="268">
        <v>0.0</v>
      </c>
      <c r="O193" s="268">
        <v>0.0</v>
      </c>
      <c r="P193" s="180">
        <v>0.83</v>
      </c>
      <c r="Q193" s="180">
        <v>0.83</v>
      </c>
      <c r="R193" s="5"/>
      <c r="S193" s="176"/>
      <c r="T193" s="176"/>
      <c r="U193" s="176"/>
      <c r="V193" s="176"/>
      <c r="W193" s="5"/>
      <c r="X193" s="176"/>
      <c r="Y193" s="184"/>
      <c r="Z193" s="184"/>
      <c r="AA193" s="184"/>
      <c r="AB193" s="176"/>
      <c r="AC193" s="176"/>
      <c r="AD193" s="5"/>
      <c r="AE193" s="184"/>
      <c r="AF193" s="184"/>
      <c r="AG193" s="184"/>
      <c r="AH193" s="184"/>
      <c r="AI193" s="184"/>
      <c r="AJ193" s="184"/>
      <c r="AK193" s="5"/>
      <c r="AL193" s="184">
        <f t="shared" ref="AL193:AM193" si="564">ROUND(E193*(5/12)+K193*(5/12)+S193+X193-AE193,2)</f>
        <v>0</v>
      </c>
      <c r="AM193" s="184">
        <f t="shared" si="564"/>
        <v>0</v>
      </c>
      <c r="AN193" s="184">
        <f t="shared" si="339"/>
        <v>0</v>
      </c>
      <c r="AO193" s="184">
        <f t="shared" ref="AO193:AP193" si="565">ROUND(H193*(5/12)+N193*(5/12)+U193+Z193-AG193,2)</f>
        <v>0</v>
      </c>
      <c r="AP193" s="184">
        <f t="shared" si="565"/>
        <v>0</v>
      </c>
      <c r="AQ193" s="184">
        <f t="shared" ref="AQ193:AR193" si="566">P193+AB193-AI193</f>
        <v>0.83</v>
      </c>
      <c r="AR193" s="184">
        <f t="shared" si="566"/>
        <v>0.83</v>
      </c>
      <c r="AS193" s="5"/>
      <c r="AT193" s="176">
        <v>0.0</v>
      </c>
      <c r="AU193" s="176">
        <v>0.0</v>
      </c>
      <c r="AV193" s="176">
        <v>0.0</v>
      </c>
      <c r="AW193" s="176">
        <v>0.0</v>
      </c>
      <c r="AX193" s="176">
        <v>0.0</v>
      </c>
      <c r="AY193" s="176">
        <v>0.0</v>
      </c>
      <c r="AZ193" s="176">
        <v>1.0</v>
      </c>
      <c r="BA193" s="180" t="s">
        <v>1939</v>
      </c>
      <c r="BB193" s="5"/>
      <c r="BC193" s="62"/>
      <c r="BE193" s="184"/>
      <c r="BF193" s="184"/>
      <c r="BG193" s="184"/>
      <c r="BH193" s="184"/>
      <c r="BI193" s="184"/>
      <c r="BJ193" s="184"/>
      <c r="BK193" s="81"/>
      <c r="BL193" s="81"/>
      <c r="BM193" s="81"/>
      <c r="BN193" s="81"/>
    </row>
    <row r="194">
      <c r="A194" s="176">
        <v>189.0</v>
      </c>
      <c r="B194" s="143" t="s">
        <v>1940</v>
      </c>
      <c r="C194" s="287" t="s">
        <v>221</v>
      </c>
      <c r="D194" s="394">
        <v>4.0</v>
      </c>
      <c r="E194" s="395">
        <v>0.0</v>
      </c>
      <c r="F194" s="395">
        <v>0.0</v>
      </c>
      <c r="G194" s="395">
        <v>0.0</v>
      </c>
      <c r="H194" s="396"/>
      <c r="I194" s="397">
        <v>0.0</v>
      </c>
      <c r="J194" s="268">
        <v>3.0</v>
      </c>
      <c r="K194" s="268">
        <v>1.0</v>
      </c>
      <c r="L194" s="268">
        <v>0.0</v>
      </c>
      <c r="M194" s="268">
        <v>0.0</v>
      </c>
      <c r="N194" s="268">
        <v>0.0</v>
      </c>
      <c r="O194" s="268">
        <v>0.0</v>
      </c>
      <c r="P194" s="180">
        <v>0.67</v>
      </c>
      <c r="Q194" s="180">
        <v>0.67</v>
      </c>
      <c r="R194" s="5"/>
      <c r="S194" s="176"/>
      <c r="T194" s="176"/>
      <c r="U194" s="176"/>
      <c r="V194" s="176"/>
      <c r="W194" s="5"/>
      <c r="X194" s="176"/>
      <c r="Y194" s="184"/>
      <c r="Z194" s="184"/>
      <c r="AA194" s="184"/>
      <c r="AB194" s="176"/>
      <c r="AC194" s="176"/>
      <c r="AD194" s="5"/>
      <c r="AE194" s="184"/>
      <c r="AF194" s="184"/>
      <c r="AG194" s="184"/>
      <c r="AH194" s="184"/>
      <c r="AI194" s="184"/>
      <c r="AJ194" s="184"/>
      <c r="AK194" s="5"/>
      <c r="AL194" s="184">
        <f t="shared" ref="AL194:AM194" si="567">ROUND(E194*(5/12)+K194*(5/12)+S194+X194-AE194,2)</f>
        <v>0.42</v>
      </c>
      <c r="AM194" s="184">
        <f t="shared" si="567"/>
        <v>0</v>
      </c>
      <c r="AN194" s="184">
        <f t="shared" si="339"/>
        <v>0</v>
      </c>
      <c r="AO194" s="184">
        <f t="shared" ref="AO194:AP194" si="568">ROUND(H194*(5/12)+N194*(5/12)+U194+Z194-AG194,2)</f>
        <v>0</v>
      </c>
      <c r="AP194" s="184">
        <f t="shared" si="568"/>
        <v>0</v>
      </c>
      <c r="AQ194" s="184">
        <f t="shared" ref="AQ194:AR194" si="569">P194+AB194-AI194</f>
        <v>0.67</v>
      </c>
      <c r="AR194" s="184">
        <f t="shared" si="569"/>
        <v>0.67</v>
      </c>
      <c r="AS194" s="5"/>
      <c r="AT194" s="176">
        <v>0.0</v>
      </c>
      <c r="AU194" s="176">
        <v>0.0</v>
      </c>
      <c r="AV194" s="176">
        <v>0.0</v>
      </c>
      <c r="AW194" s="176">
        <v>0.0</v>
      </c>
      <c r="AX194" s="176">
        <v>0.0</v>
      </c>
      <c r="AY194" s="176">
        <v>0.5</v>
      </c>
      <c r="AZ194" s="176">
        <v>1.0</v>
      </c>
      <c r="BA194" s="180" t="s">
        <v>1941</v>
      </c>
      <c r="BB194" s="5"/>
      <c r="BC194" s="62"/>
      <c r="BE194" s="184"/>
      <c r="BF194" s="184"/>
      <c r="BG194" s="184"/>
      <c r="BH194" s="184"/>
      <c r="BI194" s="184"/>
      <c r="BJ194" s="184"/>
      <c r="BK194" s="81"/>
      <c r="BL194" s="81"/>
      <c r="BM194" s="81"/>
      <c r="BN194" s="81"/>
    </row>
    <row r="195">
      <c r="A195" s="176">
        <v>190.0</v>
      </c>
      <c r="B195" s="398" t="s">
        <v>1942</v>
      </c>
      <c r="C195" s="287" t="s">
        <v>221</v>
      </c>
      <c r="D195" s="394">
        <v>4.0</v>
      </c>
      <c r="E195" s="395">
        <v>0.0</v>
      </c>
      <c r="F195" s="395">
        <v>0.0</v>
      </c>
      <c r="G195" s="395">
        <v>0.0</v>
      </c>
      <c r="H195" s="396"/>
      <c r="I195" s="397">
        <v>0.0</v>
      </c>
      <c r="J195" s="268">
        <v>4.0</v>
      </c>
      <c r="K195" s="268">
        <v>0.0</v>
      </c>
      <c r="L195" s="268">
        <v>0.0</v>
      </c>
      <c r="M195" s="268">
        <v>0.0</v>
      </c>
      <c r="N195" s="268">
        <v>0.0</v>
      </c>
      <c r="O195" s="268">
        <v>0.0</v>
      </c>
      <c r="P195" s="180">
        <v>1.0</v>
      </c>
      <c r="Q195" s="180">
        <v>1.0</v>
      </c>
      <c r="R195" s="5"/>
      <c r="S195" s="176"/>
      <c r="T195" s="176"/>
      <c r="U195" s="176"/>
      <c r="V195" s="176"/>
      <c r="W195" s="5"/>
      <c r="X195" s="176"/>
      <c r="Y195" s="184"/>
      <c r="Z195" s="184"/>
      <c r="AA195" s="184"/>
      <c r="AB195" s="176"/>
      <c r="AC195" s="176"/>
      <c r="AD195" s="5"/>
      <c r="AE195" s="184"/>
      <c r="AF195" s="184"/>
      <c r="AG195" s="184"/>
      <c r="AH195" s="184"/>
      <c r="AI195" s="184"/>
      <c r="AJ195" s="184"/>
      <c r="AK195" s="5"/>
      <c r="AL195" s="184">
        <f t="shared" ref="AL195:AM195" si="570">ROUND(E195*(5/12)+K195*(5/12)+S195+X195-AE195,2)</f>
        <v>0</v>
      </c>
      <c r="AM195" s="184">
        <f t="shared" si="570"/>
        <v>0</v>
      </c>
      <c r="AN195" s="184">
        <f t="shared" si="339"/>
        <v>0</v>
      </c>
      <c r="AO195" s="184">
        <f t="shared" ref="AO195:AP195" si="571">ROUND(H195*(5/12)+N195*(5/12)+U195+Z195-AG195,2)</f>
        <v>0</v>
      </c>
      <c r="AP195" s="184">
        <f t="shared" si="571"/>
        <v>0</v>
      </c>
      <c r="AQ195" s="184">
        <f t="shared" ref="AQ195:AR195" si="572">P195+AB195-AI195</f>
        <v>1</v>
      </c>
      <c r="AR195" s="184">
        <f t="shared" si="572"/>
        <v>1</v>
      </c>
      <c r="AS195" s="5"/>
      <c r="AT195" s="176"/>
      <c r="AU195" s="176"/>
      <c r="AV195" s="176"/>
      <c r="AW195" s="176"/>
      <c r="AX195" s="176"/>
      <c r="AY195" s="176"/>
      <c r="AZ195" s="176"/>
      <c r="BA195" s="180"/>
      <c r="BB195" s="5"/>
      <c r="BC195" s="62"/>
      <c r="BE195" s="184"/>
      <c r="BF195" s="184"/>
      <c r="BG195" s="184"/>
      <c r="BH195" s="184"/>
      <c r="BI195" s="184"/>
      <c r="BJ195" s="184"/>
      <c r="BK195" s="81"/>
      <c r="BL195" s="81"/>
      <c r="BM195" s="81"/>
      <c r="BN195" s="81"/>
    </row>
    <row r="196">
      <c r="A196" s="176">
        <v>191.0</v>
      </c>
      <c r="B196" s="372" t="s">
        <v>86</v>
      </c>
      <c r="C196" s="287" t="s">
        <v>234</v>
      </c>
      <c r="D196" s="376">
        <v>2.0</v>
      </c>
      <c r="E196" s="376">
        <v>0.0</v>
      </c>
      <c r="F196" s="376">
        <v>0.0</v>
      </c>
      <c r="G196" s="373">
        <v>0.0</v>
      </c>
      <c r="H196" s="373">
        <v>0.0</v>
      </c>
      <c r="I196" s="373">
        <v>0.0</v>
      </c>
      <c r="J196" s="268">
        <v>1.0</v>
      </c>
      <c r="K196" s="268">
        <v>0.9</v>
      </c>
      <c r="L196" s="268">
        <v>0.1</v>
      </c>
      <c r="M196" s="268">
        <v>0.0</v>
      </c>
      <c r="N196" s="268">
        <v>0.0</v>
      </c>
      <c r="O196" s="268">
        <v>0.0</v>
      </c>
      <c r="P196" s="180">
        <v>1.0</v>
      </c>
      <c r="Q196" s="180">
        <v>1.0</v>
      </c>
      <c r="R196" s="5"/>
      <c r="S196" s="176">
        <v>0.17</v>
      </c>
      <c r="T196" s="176">
        <v>0.0</v>
      </c>
      <c r="U196" s="176">
        <v>0.0</v>
      </c>
      <c r="V196" s="176">
        <v>0.0</v>
      </c>
      <c r="W196" s="5"/>
      <c r="X196" s="176">
        <v>2.16</v>
      </c>
      <c r="Y196" s="184"/>
      <c r="Z196" s="184"/>
      <c r="AA196" s="184"/>
      <c r="AB196" s="176">
        <v>1.0</v>
      </c>
      <c r="AC196" s="176">
        <v>1.0</v>
      </c>
      <c r="AD196" s="5"/>
      <c r="AE196" s="184"/>
      <c r="AF196" s="184"/>
      <c r="AG196" s="184"/>
      <c r="AH196" s="184"/>
      <c r="AI196" s="184"/>
      <c r="AJ196" s="184"/>
      <c r="AK196" s="5"/>
      <c r="AL196" s="184">
        <f t="shared" ref="AL196:AM196" si="573">ROUND(E196*(5/12)+K196*(5/12)+S196+X196-AE196,2)</f>
        <v>2.71</v>
      </c>
      <c r="AM196" s="184">
        <f t="shared" si="573"/>
        <v>0.04</v>
      </c>
      <c r="AN196" s="184">
        <f t="shared" si="339"/>
        <v>0</v>
      </c>
      <c r="AO196" s="184">
        <f t="shared" ref="AO196:AP196" si="574">ROUND(H196*(5/12)+N196*(5/12)+U196+Z196-AG196,2)</f>
        <v>0</v>
      </c>
      <c r="AP196" s="184">
        <f t="shared" si="574"/>
        <v>0</v>
      </c>
      <c r="AQ196" s="184">
        <f t="shared" ref="AQ196:AR196" si="575">P196+AB196-AI196</f>
        <v>2</v>
      </c>
      <c r="AR196" s="184">
        <f t="shared" si="575"/>
        <v>2</v>
      </c>
      <c r="AS196" s="5"/>
      <c r="AT196" s="176">
        <v>0.5</v>
      </c>
      <c r="AU196" s="176">
        <v>0.0</v>
      </c>
      <c r="AV196" s="176">
        <v>0.0</v>
      </c>
      <c r="AW196" s="176">
        <v>0.0</v>
      </c>
      <c r="AX196" s="176">
        <v>0.0</v>
      </c>
      <c r="AY196" s="176">
        <v>2.0</v>
      </c>
      <c r="AZ196" s="176">
        <v>0.0</v>
      </c>
      <c r="BA196" s="195" t="s">
        <v>1943</v>
      </c>
      <c r="BB196" s="5"/>
      <c r="BC196" s="62"/>
      <c r="BE196" s="184"/>
      <c r="BF196" s="184"/>
      <c r="BG196" s="184"/>
      <c r="BH196" s="184"/>
      <c r="BI196" s="184"/>
      <c r="BJ196" s="184"/>
      <c r="BK196" s="81"/>
      <c r="BL196" s="81"/>
      <c r="BM196" s="81"/>
      <c r="BN196" s="81"/>
    </row>
    <row r="197">
      <c r="A197" s="176">
        <v>192.0</v>
      </c>
      <c r="B197" s="372" t="s">
        <v>237</v>
      </c>
      <c r="C197" s="287" t="s">
        <v>234</v>
      </c>
      <c r="D197" s="376">
        <v>1.0</v>
      </c>
      <c r="E197" s="376">
        <v>2.15</v>
      </c>
      <c r="F197" s="376">
        <v>0.25</v>
      </c>
      <c r="G197" s="376">
        <v>0.6</v>
      </c>
      <c r="H197" s="376">
        <v>0.0</v>
      </c>
      <c r="I197" s="373">
        <v>0.0</v>
      </c>
      <c r="J197" s="268">
        <v>1.0</v>
      </c>
      <c r="K197" s="268">
        <v>2.0</v>
      </c>
      <c r="L197" s="268">
        <v>0.4</v>
      </c>
      <c r="M197" s="268">
        <v>0.6</v>
      </c>
      <c r="N197" s="268">
        <v>0.0</v>
      </c>
      <c r="O197" s="268">
        <v>0.0</v>
      </c>
      <c r="P197" s="180">
        <v>1.0</v>
      </c>
      <c r="Q197" s="180">
        <v>1.0</v>
      </c>
      <c r="R197" s="5"/>
      <c r="S197" s="176">
        <v>0.07</v>
      </c>
      <c r="T197" s="176">
        <v>0.0</v>
      </c>
      <c r="U197" s="176">
        <v>0.1</v>
      </c>
      <c r="V197" s="176">
        <v>0.0</v>
      </c>
      <c r="W197" s="5"/>
      <c r="X197" s="176">
        <v>2.23</v>
      </c>
      <c r="Y197" s="184"/>
      <c r="Z197" s="176">
        <v>1.45</v>
      </c>
      <c r="AA197" s="184"/>
      <c r="AB197" s="176">
        <v>2.25</v>
      </c>
      <c r="AC197" s="176">
        <v>2.0</v>
      </c>
      <c r="AD197" s="5"/>
      <c r="AE197" s="184"/>
      <c r="AF197" s="184"/>
      <c r="AG197" s="184"/>
      <c r="AH197" s="184"/>
      <c r="AI197" s="184"/>
      <c r="AJ197" s="184"/>
      <c r="AK197" s="5"/>
      <c r="AL197" s="184">
        <f t="shared" ref="AL197:AM197" si="576">ROUND(E197*(5/12)+K197*(5/12)+S197+X197-AE197,2)</f>
        <v>4.03</v>
      </c>
      <c r="AM197" s="184">
        <f t="shared" si="576"/>
        <v>0.27</v>
      </c>
      <c r="AN197" s="184">
        <f t="shared" si="339"/>
        <v>0.5</v>
      </c>
      <c r="AO197" s="184">
        <f t="shared" ref="AO197:AP197" si="577">ROUND(H197*(5/12)+N197*(5/12)+U197+Z197-AG197,2)</f>
        <v>1.55</v>
      </c>
      <c r="AP197" s="184">
        <f t="shared" si="577"/>
        <v>0</v>
      </c>
      <c r="AQ197" s="184">
        <f t="shared" ref="AQ197:AR197" si="578">P197+AB197-AI197</f>
        <v>3.25</v>
      </c>
      <c r="AR197" s="184">
        <f t="shared" si="578"/>
        <v>3</v>
      </c>
      <c r="AS197" s="5"/>
      <c r="AT197" s="176">
        <v>0.0</v>
      </c>
      <c r="AU197" s="176">
        <v>0.052</v>
      </c>
      <c r="AV197" s="176">
        <v>0.1</v>
      </c>
      <c r="AW197" s="176">
        <v>1.66</v>
      </c>
      <c r="AX197" s="176">
        <v>0.0</v>
      </c>
      <c r="AY197" s="176">
        <v>2.0</v>
      </c>
      <c r="AZ197" s="176">
        <v>1.0</v>
      </c>
      <c r="BA197" s="180" t="s">
        <v>1944</v>
      </c>
      <c r="BB197" s="5"/>
      <c r="BC197" s="62"/>
      <c r="BE197" s="184"/>
      <c r="BF197" s="184"/>
      <c r="BG197" s="184"/>
      <c r="BH197" s="184"/>
      <c r="BI197" s="184"/>
      <c r="BJ197" s="184"/>
      <c r="BK197" s="81"/>
      <c r="BL197" s="81"/>
      <c r="BM197" s="81"/>
      <c r="BN197" s="81"/>
    </row>
    <row r="198">
      <c r="A198" s="176">
        <v>193.0</v>
      </c>
      <c r="B198" s="377" t="s">
        <v>239</v>
      </c>
      <c r="C198" s="287" t="s">
        <v>234</v>
      </c>
      <c r="D198" s="376">
        <v>2.0</v>
      </c>
      <c r="E198" s="376">
        <v>1.81</v>
      </c>
      <c r="F198" s="376">
        <v>0.19</v>
      </c>
      <c r="G198" s="376">
        <v>0.0</v>
      </c>
      <c r="H198" s="373">
        <v>0.0</v>
      </c>
      <c r="I198" s="373">
        <v>0.0</v>
      </c>
      <c r="J198" s="268">
        <v>3.0</v>
      </c>
      <c r="K198" s="268">
        <v>0.4</v>
      </c>
      <c r="L198" s="268">
        <v>0.6</v>
      </c>
      <c r="M198" s="268">
        <v>0.0</v>
      </c>
      <c r="N198" s="268">
        <v>0.0</v>
      </c>
      <c r="O198" s="268">
        <v>0.0</v>
      </c>
      <c r="P198" s="180">
        <v>1.0</v>
      </c>
      <c r="Q198" s="180">
        <v>1.0</v>
      </c>
      <c r="R198" s="5"/>
      <c r="S198" s="176"/>
      <c r="T198" s="176"/>
      <c r="U198" s="176"/>
      <c r="V198" s="176"/>
      <c r="W198" s="5"/>
      <c r="X198" s="176"/>
      <c r="Y198" s="176"/>
      <c r="Z198" s="184"/>
      <c r="AA198" s="176"/>
      <c r="AB198" s="176"/>
      <c r="AC198" s="176"/>
      <c r="AD198" s="5"/>
      <c r="AE198" s="184"/>
      <c r="AF198" s="184"/>
      <c r="AG198" s="184"/>
      <c r="AH198" s="184"/>
      <c r="AI198" s="184"/>
      <c r="AJ198" s="184"/>
      <c r="AK198" s="5"/>
      <c r="AL198" s="184">
        <f t="shared" ref="AL198:AM198" si="579">ROUND(E198*(5/12)+K198*(5/12)+S198+X198-AE198,2)</f>
        <v>0.92</v>
      </c>
      <c r="AM198" s="184">
        <f t="shared" si="579"/>
        <v>0.33</v>
      </c>
      <c r="AN198" s="184">
        <f t="shared" si="339"/>
        <v>0</v>
      </c>
      <c r="AO198" s="184">
        <f t="shared" ref="AO198:AP198" si="580">ROUND(H198*(5/12)+N198*(5/12)+U198+Z198-AG198,2)</f>
        <v>0</v>
      </c>
      <c r="AP198" s="184">
        <f t="shared" si="580"/>
        <v>0</v>
      </c>
      <c r="AQ198" s="184">
        <f t="shared" ref="AQ198:AR198" si="581">P198+AB198-AI198</f>
        <v>1</v>
      </c>
      <c r="AR198" s="184">
        <f t="shared" si="581"/>
        <v>1</v>
      </c>
      <c r="AS198" s="5"/>
      <c r="AT198" s="176">
        <v>0.0</v>
      </c>
      <c r="AU198" s="176">
        <v>0.217</v>
      </c>
      <c r="AV198" s="176">
        <v>0.0</v>
      </c>
      <c r="AW198" s="176">
        <v>0.0</v>
      </c>
      <c r="AX198" s="176">
        <v>0.0</v>
      </c>
      <c r="AY198" s="176">
        <v>0.0</v>
      </c>
      <c r="AZ198" s="176">
        <v>1.0</v>
      </c>
      <c r="BA198" s="195" t="s">
        <v>1945</v>
      </c>
      <c r="BB198" s="5"/>
      <c r="BC198" s="62"/>
      <c r="BE198" s="184"/>
      <c r="BF198" s="184"/>
      <c r="BG198" s="184"/>
      <c r="BH198" s="184"/>
      <c r="BI198" s="184"/>
      <c r="BJ198" s="184"/>
      <c r="BK198" s="81"/>
      <c r="BL198" s="81"/>
      <c r="BM198" s="81"/>
      <c r="BN198" s="81"/>
    </row>
    <row r="199">
      <c r="A199" s="176">
        <v>194.0</v>
      </c>
      <c r="B199" s="372" t="s">
        <v>1946</v>
      </c>
      <c r="C199" s="287" t="s">
        <v>234</v>
      </c>
      <c r="D199" s="376">
        <v>4.0</v>
      </c>
      <c r="E199" s="376">
        <v>0.0</v>
      </c>
      <c r="F199" s="376">
        <v>0.0</v>
      </c>
      <c r="G199" s="376">
        <v>0.0</v>
      </c>
      <c r="H199" s="373">
        <v>0.0</v>
      </c>
      <c r="I199" s="373">
        <v>0.0</v>
      </c>
      <c r="J199" s="268">
        <v>2.0</v>
      </c>
      <c r="K199" s="268">
        <v>1.9</v>
      </c>
      <c r="L199" s="268">
        <v>0.1</v>
      </c>
      <c r="M199" s="268">
        <v>0.0</v>
      </c>
      <c r="N199" s="268">
        <v>0.0</v>
      </c>
      <c r="O199" s="268">
        <v>0.0</v>
      </c>
      <c r="P199" s="180">
        <v>1.0</v>
      </c>
      <c r="Q199" s="180">
        <v>1.0</v>
      </c>
      <c r="R199" s="5"/>
      <c r="S199" s="176">
        <v>0.17</v>
      </c>
      <c r="T199" s="176">
        <v>0.07</v>
      </c>
      <c r="U199" s="176">
        <v>0.0</v>
      </c>
      <c r="V199" s="176">
        <v>0.1</v>
      </c>
      <c r="W199" s="5"/>
      <c r="X199" s="176">
        <v>1.78</v>
      </c>
      <c r="Y199" s="176">
        <v>0.183</v>
      </c>
      <c r="Z199" s="184"/>
      <c r="AA199" s="176">
        <v>0.2</v>
      </c>
      <c r="AB199" s="176">
        <v>2.0</v>
      </c>
      <c r="AC199" s="176">
        <v>2.0</v>
      </c>
      <c r="AD199" s="5"/>
      <c r="AE199" s="184"/>
      <c r="AF199" s="184"/>
      <c r="AG199" s="184"/>
      <c r="AH199" s="184"/>
      <c r="AI199" s="184"/>
      <c r="AJ199" s="184"/>
      <c r="AK199" s="5"/>
      <c r="AL199" s="184">
        <f t="shared" ref="AL199:AM199" si="582">ROUND(E199*(5/12)+K199*(5/12)+S199+X199-AE199,2)</f>
        <v>2.74</v>
      </c>
      <c r="AM199" s="184">
        <f t="shared" si="582"/>
        <v>0.29</v>
      </c>
      <c r="AN199" s="184">
        <f t="shared" si="339"/>
        <v>0</v>
      </c>
      <c r="AO199" s="184">
        <f t="shared" ref="AO199:AP199" si="583">ROUND(H199*(5/12)+N199*(5/12)+U199+Z199-AG199,2)</f>
        <v>0</v>
      </c>
      <c r="AP199" s="184">
        <f t="shared" si="583"/>
        <v>0.3</v>
      </c>
      <c r="AQ199" s="184">
        <f t="shared" ref="AQ199:AR199" si="584">P199+AB199-AI199</f>
        <v>3</v>
      </c>
      <c r="AR199" s="184">
        <f t="shared" si="584"/>
        <v>3</v>
      </c>
      <c r="AS199" s="5"/>
      <c r="AT199" s="176">
        <v>0.75</v>
      </c>
      <c r="AU199" s="176">
        <v>0.0</v>
      </c>
      <c r="AV199" s="176">
        <v>0.0</v>
      </c>
      <c r="AW199" s="176">
        <v>0.0</v>
      </c>
      <c r="AX199" s="176">
        <v>0.0</v>
      </c>
      <c r="AY199" s="176">
        <v>2.0</v>
      </c>
      <c r="AZ199" s="176">
        <v>0.0</v>
      </c>
      <c r="BA199" s="180" t="s">
        <v>1947</v>
      </c>
      <c r="BB199" s="5"/>
      <c r="BC199" s="62"/>
      <c r="BE199" s="184"/>
      <c r="BF199" s="184"/>
      <c r="BG199" s="184"/>
      <c r="BH199" s="184"/>
      <c r="BI199" s="184"/>
      <c r="BJ199" s="184"/>
      <c r="BK199" s="81"/>
      <c r="BL199" s="81"/>
      <c r="BM199" s="81"/>
      <c r="BN199" s="81"/>
    </row>
    <row r="200">
      <c r="A200" s="176">
        <v>195.0</v>
      </c>
      <c r="B200" s="372" t="s">
        <v>238</v>
      </c>
      <c r="C200" s="287" t="s">
        <v>234</v>
      </c>
      <c r="D200" s="376">
        <v>2.0</v>
      </c>
      <c r="E200" s="376">
        <v>1.3</v>
      </c>
      <c r="F200" s="376">
        <v>0.1</v>
      </c>
      <c r="G200" s="373">
        <v>0.0</v>
      </c>
      <c r="H200" s="373">
        <v>0.0</v>
      </c>
      <c r="I200" s="376">
        <v>0.6</v>
      </c>
      <c r="J200" s="268">
        <v>3.0</v>
      </c>
      <c r="K200" s="268">
        <v>0.4</v>
      </c>
      <c r="L200" s="268">
        <v>0.0</v>
      </c>
      <c r="M200" s="268">
        <v>0.0</v>
      </c>
      <c r="N200" s="268">
        <v>0.0</v>
      </c>
      <c r="O200" s="268">
        <v>0.6</v>
      </c>
      <c r="P200" s="180">
        <v>1.0</v>
      </c>
      <c r="Q200" s="180">
        <v>1.0</v>
      </c>
      <c r="R200" s="5"/>
      <c r="S200" s="176">
        <v>0.32</v>
      </c>
      <c r="T200" s="176">
        <v>0.02</v>
      </c>
      <c r="U200" s="176">
        <v>0.0</v>
      </c>
      <c r="V200" s="176">
        <v>0.0</v>
      </c>
      <c r="W200" s="5"/>
      <c r="X200" s="176">
        <v>0.63</v>
      </c>
      <c r="Y200" s="176">
        <v>0.033</v>
      </c>
      <c r="Z200" s="184"/>
      <c r="AA200" s="184"/>
      <c r="AB200" s="176">
        <v>2.0</v>
      </c>
      <c r="AC200" s="176">
        <v>2.0</v>
      </c>
      <c r="AD200" s="5"/>
      <c r="AE200" s="184"/>
      <c r="AF200" s="184"/>
      <c r="AG200" s="184"/>
      <c r="AH200" s="184"/>
      <c r="AI200" s="184"/>
      <c r="AJ200" s="184"/>
      <c r="AK200" s="5"/>
      <c r="AL200" s="184">
        <f t="shared" ref="AL200:AM200" si="585">ROUND(E200*(5/12)+K200*(5/12)+S200+X200-AE200,2)</f>
        <v>1.66</v>
      </c>
      <c r="AM200" s="184">
        <f t="shared" si="585"/>
        <v>0.09</v>
      </c>
      <c r="AN200" s="184">
        <f t="shared" si="339"/>
        <v>0</v>
      </c>
      <c r="AO200" s="184">
        <f t="shared" ref="AO200:AP200" si="586">ROUND(H200*(5/12)+N200*(5/12)+U200+Z200-AG200,2)</f>
        <v>0</v>
      </c>
      <c r="AP200" s="184">
        <f t="shared" si="586"/>
        <v>0.5</v>
      </c>
      <c r="AQ200" s="184">
        <f t="shared" ref="AQ200:AR200" si="587">P200+AB200-AI200</f>
        <v>3</v>
      </c>
      <c r="AR200" s="184">
        <f t="shared" si="587"/>
        <v>3</v>
      </c>
      <c r="AS200" s="5"/>
      <c r="AT200" s="176">
        <v>0.0</v>
      </c>
      <c r="AU200" s="176">
        <v>0.0</v>
      </c>
      <c r="AV200" s="176">
        <v>0.0</v>
      </c>
      <c r="AW200" s="176">
        <v>0.0</v>
      </c>
      <c r="AX200" s="176">
        <v>0.0</v>
      </c>
      <c r="AY200" s="176">
        <v>2.0</v>
      </c>
      <c r="AZ200" s="176">
        <v>0.0</v>
      </c>
      <c r="BA200" s="399" t="s">
        <v>1948</v>
      </c>
      <c r="BB200" s="5"/>
      <c r="BC200" s="62"/>
      <c r="BE200" s="184"/>
      <c r="BF200" s="184"/>
      <c r="BG200" s="184"/>
      <c r="BH200" s="184"/>
      <c r="BI200" s="184"/>
      <c r="BJ200" s="184"/>
      <c r="BK200" s="81"/>
      <c r="BL200" s="81"/>
      <c r="BM200" s="81"/>
      <c r="BN200" s="81"/>
    </row>
    <row r="201">
      <c r="A201" s="176">
        <v>196.0</v>
      </c>
      <c r="B201" s="372" t="s">
        <v>242</v>
      </c>
      <c r="C201" s="287" t="s">
        <v>234</v>
      </c>
      <c r="D201" s="376">
        <v>4.0</v>
      </c>
      <c r="E201" s="376">
        <v>0.0</v>
      </c>
      <c r="F201" s="376">
        <v>0.0</v>
      </c>
      <c r="G201" s="373">
        <v>0.0</v>
      </c>
      <c r="H201" s="373">
        <v>0.0</v>
      </c>
      <c r="I201" s="376">
        <v>0.0</v>
      </c>
      <c r="J201" s="268">
        <v>0.0</v>
      </c>
      <c r="K201" s="268">
        <v>4.0</v>
      </c>
      <c r="L201" s="268">
        <v>0.0</v>
      </c>
      <c r="M201" s="268">
        <v>0.0</v>
      </c>
      <c r="N201" s="268">
        <v>0.0</v>
      </c>
      <c r="O201" s="268">
        <v>0.0</v>
      </c>
      <c r="P201" s="180">
        <v>1.0</v>
      </c>
      <c r="Q201" s="180">
        <v>1.0</v>
      </c>
      <c r="R201" s="5"/>
      <c r="S201" s="176">
        <v>0.67</v>
      </c>
      <c r="T201" s="176">
        <v>0.0</v>
      </c>
      <c r="U201" s="176">
        <v>0.0</v>
      </c>
      <c r="V201" s="176">
        <v>0.0</v>
      </c>
      <c r="W201" s="5"/>
      <c r="X201" s="176">
        <v>1.66</v>
      </c>
      <c r="Y201" s="184"/>
      <c r="Z201" s="184"/>
      <c r="AA201" s="184"/>
      <c r="AB201" s="184"/>
      <c r="AC201" s="176">
        <v>2.0</v>
      </c>
      <c r="AD201" s="5"/>
      <c r="AE201" s="184"/>
      <c r="AF201" s="184"/>
      <c r="AG201" s="184"/>
      <c r="AH201" s="176">
        <v>0.08</v>
      </c>
      <c r="AI201" s="184"/>
      <c r="AJ201" s="184"/>
      <c r="AK201" s="5"/>
      <c r="AL201" s="184">
        <f t="shared" ref="AL201:AM201" si="588">ROUND(E201*(5/12)+K201*(5/12)+S201+X201-AE201,2)</f>
        <v>4</v>
      </c>
      <c r="AM201" s="184">
        <f t="shared" si="588"/>
        <v>0</v>
      </c>
      <c r="AN201" s="184">
        <f t="shared" si="339"/>
        <v>0</v>
      </c>
      <c r="AO201" s="184">
        <f t="shared" ref="AO201:AP201" si="589">ROUND(H201*(5/12)+N201*(5/12)+U201+Z201-AG201,2)</f>
        <v>0</v>
      </c>
      <c r="AP201" s="184">
        <f t="shared" si="589"/>
        <v>-0.08</v>
      </c>
      <c r="AQ201" s="184">
        <f t="shared" ref="AQ201:AR201" si="590">P201+AB201-AI201</f>
        <v>1</v>
      </c>
      <c r="AR201" s="184">
        <f t="shared" si="590"/>
        <v>3</v>
      </c>
      <c r="AS201" s="5"/>
      <c r="AT201" s="176">
        <v>4.0</v>
      </c>
      <c r="AU201" s="176">
        <v>0.0</v>
      </c>
      <c r="AV201" s="176">
        <v>0.0</v>
      </c>
      <c r="AW201" s="176">
        <v>0.0</v>
      </c>
      <c r="AX201" s="176">
        <v>0.0</v>
      </c>
      <c r="AY201" s="176">
        <v>1.0</v>
      </c>
      <c r="AZ201" s="176">
        <v>1.0</v>
      </c>
      <c r="BA201" s="180" t="s">
        <v>1949</v>
      </c>
      <c r="BB201" s="5"/>
      <c r="BC201" s="62"/>
      <c r="BE201" s="184"/>
      <c r="BF201" s="184"/>
      <c r="BG201" s="184"/>
      <c r="BH201" s="184"/>
      <c r="BI201" s="184"/>
      <c r="BJ201" s="184"/>
      <c r="BK201" s="81"/>
      <c r="BL201" s="81"/>
      <c r="BM201" s="81"/>
      <c r="BN201" s="81"/>
    </row>
    <row r="202">
      <c r="A202" s="176">
        <v>197.0</v>
      </c>
      <c r="B202" s="400" t="s">
        <v>1950</v>
      </c>
      <c r="C202" s="287" t="s">
        <v>234</v>
      </c>
      <c r="D202" s="245">
        <v>4.0</v>
      </c>
      <c r="E202" s="245">
        <v>0.0</v>
      </c>
      <c r="F202" s="245">
        <v>0.0</v>
      </c>
      <c r="G202" s="373"/>
      <c r="H202" s="373"/>
      <c r="I202" s="373"/>
      <c r="J202" s="258"/>
      <c r="K202" s="258"/>
      <c r="L202" s="258"/>
      <c r="M202" s="258"/>
      <c r="N202" s="258"/>
      <c r="O202" s="258"/>
      <c r="P202" s="180">
        <v>1.0</v>
      </c>
      <c r="Q202" s="180">
        <v>1.0</v>
      </c>
      <c r="R202" s="5"/>
      <c r="S202" s="176">
        <v>0.15</v>
      </c>
      <c r="T202" s="176">
        <v>0.02</v>
      </c>
      <c r="U202" s="176">
        <v>0.0</v>
      </c>
      <c r="V202" s="176">
        <v>0.0</v>
      </c>
      <c r="W202" s="5"/>
      <c r="X202" s="176">
        <v>3.45</v>
      </c>
      <c r="Y202" s="176">
        <v>0.033</v>
      </c>
      <c r="Z202" s="184"/>
      <c r="AA202" s="184"/>
      <c r="AB202" s="176">
        <v>3.0</v>
      </c>
      <c r="AC202" s="176">
        <v>2.0</v>
      </c>
      <c r="AD202" s="5"/>
      <c r="AE202" s="184"/>
      <c r="AF202" s="184"/>
      <c r="AG202" s="184"/>
      <c r="AH202" s="184"/>
      <c r="AI202" s="184"/>
      <c r="AJ202" s="184"/>
      <c r="AK202" s="5"/>
      <c r="AL202" s="184">
        <f t="shared" ref="AL202:AM202" si="591">ROUND(E202*(5/12)+K202*(5/12)+S202+X202-AE202,2)</f>
        <v>3.6</v>
      </c>
      <c r="AM202" s="184">
        <f t="shared" si="591"/>
        <v>0.05</v>
      </c>
      <c r="AN202" s="184">
        <f t="shared" si="339"/>
        <v>0</v>
      </c>
      <c r="AO202" s="184">
        <f t="shared" ref="AO202:AP202" si="592">ROUND(H202*(5/12)+N202*(5/12)+U202+Z202-AG202,2)</f>
        <v>0</v>
      </c>
      <c r="AP202" s="184">
        <f t="shared" si="592"/>
        <v>0</v>
      </c>
      <c r="AQ202" s="184">
        <f t="shared" ref="AQ202:AR202" si="593">P202+AB202-AI202</f>
        <v>4</v>
      </c>
      <c r="AR202" s="184">
        <f t="shared" si="593"/>
        <v>3</v>
      </c>
      <c r="AS202" s="5"/>
      <c r="AT202" s="176"/>
      <c r="AU202" s="176"/>
      <c r="AV202" s="176"/>
      <c r="AW202" s="176"/>
      <c r="AX202" s="176"/>
      <c r="AY202" s="176"/>
      <c r="AZ202" s="176"/>
      <c r="BA202" s="180"/>
      <c r="BB202" s="5"/>
      <c r="BC202" s="62"/>
      <c r="BE202" s="184"/>
      <c r="BF202" s="184"/>
      <c r="BG202" s="184"/>
      <c r="BH202" s="184"/>
      <c r="BI202" s="184"/>
      <c r="BJ202" s="184"/>
      <c r="BK202" s="81"/>
      <c r="BL202" s="81"/>
      <c r="BM202" s="81"/>
      <c r="BN202" s="81"/>
    </row>
    <row r="203">
      <c r="A203" s="176">
        <v>198.0</v>
      </c>
      <c r="B203" s="400" t="s">
        <v>1951</v>
      </c>
      <c r="C203" s="287" t="s">
        <v>234</v>
      </c>
      <c r="D203" s="245">
        <v>4.0</v>
      </c>
      <c r="E203" s="245">
        <v>0.0</v>
      </c>
      <c r="F203" s="245">
        <v>0.0</v>
      </c>
      <c r="G203" s="373"/>
      <c r="H203" s="373"/>
      <c r="I203" s="373"/>
      <c r="J203" s="258"/>
      <c r="K203" s="258"/>
      <c r="L203" s="258"/>
      <c r="M203" s="258"/>
      <c r="N203" s="258"/>
      <c r="O203" s="258"/>
      <c r="P203" s="180">
        <v>1.0</v>
      </c>
      <c r="Q203" s="180">
        <v>1.0</v>
      </c>
      <c r="R203" s="5"/>
      <c r="S203" s="176">
        <v>0.33</v>
      </c>
      <c r="T203" s="176">
        <v>0.0</v>
      </c>
      <c r="U203" s="176">
        <v>0.0</v>
      </c>
      <c r="V203" s="176">
        <v>0.0</v>
      </c>
      <c r="W203" s="5"/>
      <c r="X203" s="176">
        <v>1.71</v>
      </c>
      <c r="Y203" s="184"/>
      <c r="Z203" s="184"/>
      <c r="AA203" s="184"/>
      <c r="AB203" s="176">
        <v>1.0</v>
      </c>
      <c r="AC203" s="176">
        <v>1.0</v>
      </c>
      <c r="AD203" s="5"/>
      <c r="AE203" s="184"/>
      <c r="AF203" s="184"/>
      <c r="AG203" s="184"/>
      <c r="AH203" s="184"/>
      <c r="AI203" s="184"/>
      <c r="AJ203" s="184"/>
      <c r="AK203" s="5"/>
      <c r="AL203" s="184">
        <f t="shared" ref="AL203:AM203" si="594">ROUND(E203*(5/12)+K203*(5/12)+S203+X203-AE203,2)</f>
        <v>2.04</v>
      </c>
      <c r="AM203" s="184">
        <f t="shared" si="594"/>
        <v>0</v>
      </c>
      <c r="AN203" s="184">
        <f t="shared" si="339"/>
        <v>0</v>
      </c>
      <c r="AO203" s="184">
        <f t="shared" ref="AO203:AP203" si="595">ROUND(H203*(5/12)+N203*(5/12)+U203+Z203-AG203,2)</f>
        <v>0</v>
      </c>
      <c r="AP203" s="184">
        <f t="shared" si="595"/>
        <v>0</v>
      </c>
      <c r="AQ203" s="184">
        <f t="shared" ref="AQ203:AR203" si="596">P203+AB203-AI203</f>
        <v>2</v>
      </c>
      <c r="AR203" s="184">
        <f t="shared" si="596"/>
        <v>2</v>
      </c>
      <c r="AS203" s="5"/>
      <c r="AT203" s="176"/>
      <c r="AU203" s="176"/>
      <c r="AV203" s="176"/>
      <c r="AW203" s="176"/>
      <c r="AX203" s="176"/>
      <c r="AY203" s="176"/>
      <c r="AZ203" s="176"/>
      <c r="BA203" s="180"/>
      <c r="BB203" s="5"/>
      <c r="BC203" s="62"/>
      <c r="BE203" s="184"/>
      <c r="BF203" s="184"/>
      <c r="BG203" s="184"/>
      <c r="BH203" s="184"/>
      <c r="BI203" s="184"/>
      <c r="BJ203" s="184"/>
      <c r="BK203" s="81"/>
      <c r="BL203" s="81"/>
      <c r="BM203" s="81"/>
      <c r="BN203" s="81"/>
    </row>
    <row r="204">
      <c r="A204" s="176">
        <v>199.0</v>
      </c>
      <c r="B204" s="372" t="s">
        <v>1508</v>
      </c>
      <c r="C204" s="287" t="s">
        <v>234</v>
      </c>
      <c r="D204" s="376">
        <v>4.0</v>
      </c>
      <c r="E204" s="376">
        <v>0.0</v>
      </c>
      <c r="F204" s="376">
        <v>0.0</v>
      </c>
      <c r="G204" s="373">
        <v>0.0</v>
      </c>
      <c r="H204" s="373">
        <v>0.0</v>
      </c>
      <c r="I204" s="373">
        <v>0.0</v>
      </c>
      <c r="J204" s="268">
        <v>4.0</v>
      </c>
      <c r="K204" s="268">
        <v>0.0</v>
      </c>
      <c r="L204" s="268">
        <v>0.0</v>
      </c>
      <c r="M204" s="268">
        <v>0.0</v>
      </c>
      <c r="N204" s="268">
        <v>0.0</v>
      </c>
      <c r="O204" s="268">
        <v>0.0</v>
      </c>
      <c r="P204" s="180">
        <v>1.0</v>
      </c>
      <c r="Q204" s="180">
        <v>1.0</v>
      </c>
      <c r="R204" s="5"/>
      <c r="S204" s="176">
        <v>0.23</v>
      </c>
      <c r="T204" s="176">
        <v>0.1</v>
      </c>
      <c r="U204" s="176">
        <v>0.0</v>
      </c>
      <c r="V204" s="176">
        <v>0.0</v>
      </c>
      <c r="W204" s="5"/>
      <c r="X204" s="176">
        <v>0.47</v>
      </c>
      <c r="Y204" s="184"/>
      <c r="Z204" s="184"/>
      <c r="AA204" s="184"/>
      <c r="AB204" s="176">
        <v>1.0</v>
      </c>
      <c r="AC204" s="176">
        <v>1.0</v>
      </c>
      <c r="AD204" s="5"/>
      <c r="AE204" s="184"/>
      <c r="AF204" s="176">
        <v>0.3</v>
      </c>
      <c r="AG204" s="184"/>
      <c r="AH204" s="184"/>
      <c r="AI204" s="184"/>
      <c r="AJ204" s="184"/>
      <c r="AK204" s="5"/>
      <c r="AL204" s="184">
        <f t="shared" ref="AL204:AM204" si="597">ROUND(E204*(5/12)+K204*(5/12)+S204+X204-AE204,2)</f>
        <v>0.7</v>
      </c>
      <c r="AM204" s="184">
        <f t="shared" si="597"/>
        <v>-0.2</v>
      </c>
      <c r="AN204" s="184">
        <f t="shared" si="339"/>
        <v>0</v>
      </c>
      <c r="AO204" s="184">
        <f t="shared" ref="AO204:AP204" si="598">ROUND(H204*(5/12)+N204*(5/12)+U204+Z204-AG204,2)</f>
        <v>0</v>
      </c>
      <c r="AP204" s="184">
        <f t="shared" si="598"/>
        <v>0</v>
      </c>
      <c r="AQ204" s="184">
        <f t="shared" ref="AQ204:AR204" si="599">P204+AB204-AI204</f>
        <v>2</v>
      </c>
      <c r="AR204" s="184">
        <f t="shared" si="599"/>
        <v>2</v>
      </c>
      <c r="AS204" s="5"/>
      <c r="AT204" s="176">
        <v>0.7</v>
      </c>
      <c r="AU204" s="176">
        <v>0.14</v>
      </c>
      <c r="AV204" s="176">
        <v>0.0</v>
      </c>
      <c r="AW204" s="176">
        <v>0.0</v>
      </c>
      <c r="AX204" s="176">
        <v>0.0</v>
      </c>
      <c r="AY204" s="176">
        <v>2.0</v>
      </c>
      <c r="AZ204" s="176">
        <v>2.0</v>
      </c>
      <c r="BA204" s="196" t="s">
        <v>1952</v>
      </c>
      <c r="BB204" s="5"/>
      <c r="BC204" s="62"/>
      <c r="BE204" s="184"/>
      <c r="BF204" s="184"/>
      <c r="BG204" s="184"/>
      <c r="BH204" s="184"/>
      <c r="BI204" s="184"/>
      <c r="BJ204" s="184"/>
      <c r="BK204" s="81"/>
      <c r="BL204" s="81"/>
      <c r="BM204" s="81"/>
      <c r="BN204" s="81"/>
    </row>
    <row r="205">
      <c r="A205" s="176">
        <v>200.0</v>
      </c>
      <c r="B205" s="377" t="s">
        <v>1510</v>
      </c>
      <c r="C205" s="287" t="s">
        <v>234</v>
      </c>
      <c r="D205" s="376">
        <v>4.0</v>
      </c>
      <c r="E205" s="376">
        <v>0.0</v>
      </c>
      <c r="F205" s="376">
        <v>0.0</v>
      </c>
      <c r="G205" s="376">
        <v>0.3</v>
      </c>
      <c r="H205" s="376">
        <v>0.0</v>
      </c>
      <c r="I205" s="376">
        <v>0.0</v>
      </c>
      <c r="J205" s="268">
        <v>4.0</v>
      </c>
      <c r="K205" s="268">
        <v>0.0</v>
      </c>
      <c r="L205" s="268">
        <v>0.0</v>
      </c>
      <c r="M205" s="268">
        <v>0.3</v>
      </c>
      <c r="N205" s="268">
        <v>0.0</v>
      </c>
      <c r="O205" s="268">
        <v>0.0</v>
      </c>
      <c r="P205" s="180">
        <v>1.0</v>
      </c>
      <c r="Q205" s="180">
        <v>1.0</v>
      </c>
      <c r="R205" s="5"/>
      <c r="S205" s="176">
        <v>0.0</v>
      </c>
      <c r="T205" s="176">
        <v>0.0</v>
      </c>
      <c r="U205" s="176">
        <v>0.0</v>
      </c>
      <c r="V205" s="176">
        <v>0.0</v>
      </c>
      <c r="W205" s="5"/>
      <c r="X205" s="176">
        <v>1.0</v>
      </c>
      <c r="Y205" s="184"/>
      <c r="Z205" s="184"/>
      <c r="AA205" s="184"/>
      <c r="AB205" s="176">
        <v>1.0</v>
      </c>
      <c r="AC205" s="176">
        <v>1.0</v>
      </c>
      <c r="AD205" s="5"/>
      <c r="AE205" s="184"/>
      <c r="AF205" s="184"/>
      <c r="AG205" s="184"/>
      <c r="AH205" s="184"/>
      <c r="AI205" s="184"/>
      <c r="AJ205" s="184"/>
      <c r="AK205" s="5"/>
      <c r="AL205" s="184">
        <f t="shared" ref="AL205:AM205" si="600">ROUND(E205*(5/12)+K205*(5/12)+S205+X205-AE205,2)</f>
        <v>1</v>
      </c>
      <c r="AM205" s="184">
        <f t="shared" si="600"/>
        <v>0</v>
      </c>
      <c r="AN205" s="184">
        <f t="shared" si="339"/>
        <v>0.25</v>
      </c>
      <c r="AO205" s="184">
        <f t="shared" ref="AO205:AP205" si="601">ROUND(H205*(5/12)+N205*(5/12)+U205+Z205-AG205,2)</f>
        <v>0</v>
      </c>
      <c r="AP205" s="184">
        <f t="shared" si="601"/>
        <v>0</v>
      </c>
      <c r="AQ205" s="184">
        <f t="shared" ref="AQ205:AR205" si="602">P205+AB205-AI205</f>
        <v>2</v>
      </c>
      <c r="AR205" s="184">
        <f t="shared" si="602"/>
        <v>2</v>
      </c>
      <c r="AS205" s="5"/>
      <c r="AT205" s="176">
        <v>0.0</v>
      </c>
      <c r="AU205" s="176">
        <v>0.0</v>
      </c>
      <c r="AV205" s="176">
        <v>0.1</v>
      </c>
      <c r="AW205" s="176">
        <v>0.0</v>
      </c>
      <c r="AX205" s="176">
        <v>0.0</v>
      </c>
      <c r="AY205" s="176">
        <v>0.0</v>
      </c>
      <c r="AZ205" s="176">
        <v>0.0</v>
      </c>
      <c r="BA205" s="180" t="s">
        <v>1953</v>
      </c>
      <c r="BB205" s="5"/>
      <c r="BC205" s="62"/>
      <c r="BE205" s="184"/>
      <c r="BF205" s="184"/>
      <c r="BG205" s="184"/>
      <c r="BH205" s="184"/>
      <c r="BI205" s="184"/>
      <c r="BJ205" s="184"/>
      <c r="BK205" s="81"/>
      <c r="BL205" s="81"/>
      <c r="BM205" s="81"/>
      <c r="BN205" s="81"/>
    </row>
    <row r="206">
      <c r="A206" s="176">
        <v>201.0</v>
      </c>
      <c r="B206" s="377" t="s">
        <v>1954</v>
      </c>
      <c r="C206" s="287" t="s">
        <v>234</v>
      </c>
      <c r="D206" s="376">
        <v>2.0</v>
      </c>
      <c r="E206" s="376">
        <v>1.0</v>
      </c>
      <c r="F206" s="376">
        <v>0.1</v>
      </c>
      <c r="G206" s="376">
        <v>0.3</v>
      </c>
      <c r="H206" s="376">
        <v>0.6</v>
      </c>
      <c r="I206" s="376">
        <v>0.0</v>
      </c>
      <c r="J206" s="268">
        <v>2.0</v>
      </c>
      <c r="K206" s="268">
        <v>1.1</v>
      </c>
      <c r="L206" s="268">
        <v>0.0</v>
      </c>
      <c r="M206" s="268">
        <v>0.3</v>
      </c>
      <c r="N206" s="268">
        <v>0.6</v>
      </c>
      <c r="O206" s="268">
        <v>0.0</v>
      </c>
      <c r="P206" s="180">
        <v>1.0</v>
      </c>
      <c r="Q206" s="180">
        <v>1.0</v>
      </c>
      <c r="R206" s="5"/>
      <c r="S206" s="176">
        <v>0.33</v>
      </c>
      <c r="T206" s="176">
        <v>0.0</v>
      </c>
      <c r="U206" s="176">
        <v>0.0</v>
      </c>
      <c r="V206" s="176">
        <v>0.0</v>
      </c>
      <c r="W206" s="5"/>
      <c r="X206" s="184"/>
      <c r="Y206" s="184"/>
      <c r="Z206" s="184"/>
      <c r="AA206" s="184"/>
      <c r="AB206" s="176"/>
      <c r="AC206" s="176"/>
      <c r="AD206" s="5"/>
      <c r="AE206" s="184"/>
      <c r="AF206" s="184"/>
      <c r="AG206" s="184"/>
      <c r="AH206" s="184"/>
      <c r="AI206" s="184"/>
      <c r="AJ206" s="184"/>
      <c r="AK206" s="5"/>
      <c r="AL206" s="184">
        <f t="shared" ref="AL206:AM206" si="603">ROUND(E206*(5/12)+K206*(5/12)+S206+X206-AE206,2)</f>
        <v>1.21</v>
      </c>
      <c r="AM206" s="184">
        <f t="shared" si="603"/>
        <v>0.04</v>
      </c>
      <c r="AN206" s="184">
        <f t="shared" si="339"/>
        <v>0.25</v>
      </c>
      <c r="AO206" s="184">
        <f t="shared" ref="AO206:AP206" si="604">ROUND(H206*(5/12)+N206*(5/12)+U206+Z206-AG206,2)</f>
        <v>0.5</v>
      </c>
      <c r="AP206" s="184">
        <f t="shared" si="604"/>
        <v>0</v>
      </c>
      <c r="AQ206" s="184">
        <f t="shared" ref="AQ206:AR206" si="605">P206+AB206-AI206</f>
        <v>1</v>
      </c>
      <c r="AR206" s="184">
        <f t="shared" si="605"/>
        <v>1</v>
      </c>
      <c r="AS206" s="5"/>
      <c r="AT206" s="176">
        <v>0.0</v>
      </c>
      <c r="AU206" s="176">
        <v>0.0</v>
      </c>
      <c r="AV206" s="176">
        <v>0.1</v>
      </c>
      <c r="AW206" s="176">
        <v>0.0</v>
      </c>
      <c r="AX206" s="176">
        <v>0.0</v>
      </c>
      <c r="AY206" s="176">
        <v>1.0</v>
      </c>
      <c r="AZ206" s="176">
        <v>0.0</v>
      </c>
      <c r="BA206" s="180" t="s">
        <v>1955</v>
      </c>
      <c r="BB206" s="5"/>
      <c r="BC206" s="62"/>
      <c r="BE206" s="184"/>
      <c r="BF206" s="184"/>
      <c r="BG206" s="184"/>
      <c r="BH206" s="184"/>
      <c r="BI206" s="184"/>
      <c r="BJ206" s="184"/>
      <c r="BK206" s="81"/>
      <c r="BL206" s="81"/>
      <c r="BM206" s="81"/>
      <c r="BN206" s="81"/>
    </row>
    <row r="207">
      <c r="A207" s="176">
        <v>202.0</v>
      </c>
      <c r="B207" s="387" t="s">
        <v>1956</v>
      </c>
      <c r="C207" s="287" t="s">
        <v>234</v>
      </c>
      <c r="D207" s="245">
        <v>2.0</v>
      </c>
      <c r="E207" s="245">
        <v>1.9</v>
      </c>
      <c r="F207" s="245">
        <v>0.1</v>
      </c>
      <c r="G207" s="376"/>
      <c r="H207" s="376"/>
      <c r="I207" s="376"/>
      <c r="J207" s="258"/>
      <c r="K207" s="258"/>
      <c r="L207" s="258"/>
      <c r="M207" s="258"/>
      <c r="N207" s="258"/>
      <c r="O207" s="258"/>
      <c r="P207" s="180">
        <v>1.0</v>
      </c>
      <c r="Q207" s="180">
        <v>1.0</v>
      </c>
      <c r="R207" s="5"/>
      <c r="S207" s="176">
        <v>0.0</v>
      </c>
      <c r="T207" s="176">
        <v>0.0</v>
      </c>
      <c r="U207" s="176">
        <v>0.0</v>
      </c>
      <c r="V207" s="176">
        <v>0.0</v>
      </c>
      <c r="W207" s="5"/>
      <c r="X207" s="176"/>
      <c r="Y207" s="184"/>
      <c r="Z207" s="184"/>
      <c r="AA207" s="184"/>
      <c r="AB207" s="176"/>
      <c r="AC207" s="176"/>
      <c r="AD207" s="5"/>
      <c r="AE207" s="184"/>
      <c r="AF207" s="184"/>
      <c r="AG207" s="184"/>
      <c r="AH207" s="184"/>
      <c r="AI207" s="184"/>
      <c r="AJ207" s="184"/>
      <c r="AK207" s="5"/>
      <c r="AL207" s="184">
        <f t="shared" ref="AL207:AM207" si="606">ROUND(E207*(5/12)+K207*(5/12)+S207+X207-AE207,2)</f>
        <v>0.79</v>
      </c>
      <c r="AM207" s="184">
        <f t="shared" si="606"/>
        <v>0.04</v>
      </c>
      <c r="AN207" s="184">
        <f t="shared" si="339"/>
        <v>0</v>
      </c>
      <c r="AO207" s="184">
        <f t="shared" ref="AO207:AP207" si="607">ROUND(H207*(5/12)+N207*(5/12)+U207+Z207-AG207,2)</f>
        <v>0</v>
      </c>
      <c r="AP207" s="184">
        <f t="shared" si="607"/>
        <v>0</v>
      </c>
      <c r="AQ207" s="184">
        <f t="shared" ref="AQ207:AR207" si="608">P207+AB207-AI207</f>
        <v>1</v>
      </c>
      <c r="AR207" s="184">
        <f t="shared" si="608"/>
        <v>1</v>
      </c>
      <c r="AS207" s="5"/>
      <c r="AT207" s="176"/>
      <c r="AU207" s="176"/>
      <c r="AV207" s="176"/>
      <c r="AW207" s="176"/>
      <c r="AX207" s="176"/>
      <c r="AY207" s="176"/>
      <c r="AZ207" s="176"/>
      <c r="BA207" s="180" t="s">
        <v>650</v>
      </c>
      <c r="BB207" s="5"/>
      <c r="BC207" s="62"/>
      <c r="BE207" s="184"/>
      <c r="BF207" s="184"/>
      <c r="BG207" s="184"/>
      <c r="BH207" s="184"/>
      <c r="BI207" s="184"/>
      <c r="BJ207" s="184"/>
      <c r="BK207" s="81"/>
      <c r="BL207" s="81"/>
      <c r="BM207" s="81"/>
      <c r="BN207" s="81"/>
    </row>
    <row r="208">
      <c r="A208" s="176">
        <v>203.0</v>
      </c>
      <c r="B208" s="143" t="s">
        <v>1957</v>
      </c>
      <c r="C208" s="287" t="s">
        <v>234</v>
      </c>
      <c r="D208" s="245"/>
      <c r="E208" s="245"/>
      <c r="F208" s="245"/>
      <c r="G208" s="376"/>
      <c r="H208" s="376"/>
      <c r="I208" s="376"/>
      <c r="J208" s="268">
        <v>4.0</v>
      </c>
      <c r="K208" s="268">
        <v>0.0</v>
      </c>
      <c r="L208" s="268">
        <v>0.0</v>
      </c>
      <c r="M208" s="268">
        <v>0.0</v>
      </c>
      <c r="N208" s="268">
        <v>0.0</v>
      </c>
      <c r="O208" s="268">
        <v>0.0</v>
      </c>
      <c r="P208" s="180">
        <f>3/12</f>
        <v>0.25</v>
      </c>
      <c r="Q208" s="180">
        <v>0.25</v>
      </c>
      <c r="R208" s="5"/>
      <c r="S208" s="176"/>
      <c r="T208" s="176"/>
      <c r="U208" s="176"/>
      <c r="V208" s="176"/>
      <c r="W208" s="5"/>
      <c r="X208" s="176"/>
      <c r="Y208" s="184"/>
      <c r="Z208" s="184"/>
      <c r="AA208" s="184"/>
      <c r="AB208" s="176"/>
      <c r="AC208" s="176"/>
      <c r="AD208" s="5"/>
      <c r="AE208" s="184"/>
      <c r="AF208" s="184"/>
      <c r="AG208" s="184"/>
      <c r="AH208" s="184"/>
      <c r="AI208" s="184"/>
      <c r="AJ208" s="184"/>
      <c r="AK208" s="5"/>
      <c r="AL208" s="184">
        <f t="shared" ref="AL208:AM208" si="609">ROUND(E208*(5/12)+K208*(5/12)+S208+X208-AE208,2)</f>
        <v>0</v>
      </c>
      <c r="AM208" s="184">
        <f t="shared" si="609"/>
        <v>0</v>
      </c>
      <c r="AN208" s="184">
        <f t="shared" si="339"/>
        <v>0</v>
      </c>
      <c r="AO208" s="184">
        <f t="shared" ref="AO208:AP208" si="610">ROUND(H208*(5/12)+N208*(5/12)+U208+Z208-AG208,2)</f>
        <v>0</v>
      </c>
      <c r="AP208" s="184">
        <f t="shared" si="610"/>
        <v>0</v>
      </c>
      <c r="AQ208" s="184">
        <f t="shared" ref="AQ208:AR208" si="611">P208+AB208-AI208</f>
        <v>0.25</v>
      </c>
      <c r="AR208" s="184">
        <f t="shared" si="611"/>
        <v>0.25</v>
      </c>
      <c r="AS208" s="5"/>
      <c r="AT208" s="176">
        <v>0.0</v>
      </c>
      <c r="AU208" s="176">
        <v>0.0</v>
      </c>
      <c r="AV208" s="176">
        <v>0.0</v>
      </c>
      <c r="AW208" s="176">
        <v>0.0</v>
      </c>
      <c r="AX208" s="176">
        <v>0.0</v>
      </c>
      <c r="AY208" s="176">
        <v>0.0</v>
      </c>
      <c r="AZ208" s="176">
        <v>0.0</v>
      </c>
      <c r="BA208" s="195" t="s">
        <v>1958</v>
      </c>
      <c r="BB208" s="5"/>
      <c r="BC208" s="62"/>
      <c r="BE208" s="184"/>
      <c r="BF208" s="184"/>
      <c r="BG208" s="184"/>
      <c r="BH208" s="184"/>
      <c r="BI208" s="184"/>
      <c r="BJ208" s="184"/>
      <c r="BK208" s="81"/>
      <c r="BL208" s="81"/>
      <c r="BM208" s="81"/>
      <c r="BN208" s="81"/>
    </row>
    <row r="209">
      <c r="A209" s="176">
        <v>204.0</v>
      </c>
      <c r="B209" s="143" t="s">
        <v>1959</v>
      </c>
      <c r="C209" s="287" t="s">
        <v>234</v>
      </c>
      <c r="D209" s="245"/>
      <c r="E209" s="245"/>
      <c r="F209" s="245"/>
      <c r="G209" s="376"/>
      <c r="H209" s="376"/>
      <c r="I209" s="376"/>
      <c r="J209" s="268">
        <v>3.0</v>
      </c>
      <c r="K209" s="268">
        <v>1.0</v>
      </c>
      <c r="L209" s="268">
        <v>0.0</v>
      </c>
      <c r="M209" s="268">
        <v>0.0</v>
      </c>
      <c r="N209" s="268">
        <v>0.0</v>
      </c>
      <c r="O209" s="268">
        <v>0.0</v>
      </c>
      <c r="P209" s="180">
        <v>0.08</v>
      </c>
      <c r="Q209" s="180">
        <v>0.08</v>
      </c>
      <c r="R209" s="5"/>
      <c r="S209" s="176"/>
      <c r="T209" s="176"/>
      <c r="U209" s="176"/>
      <c r="V209" s="176"/>
      <c r="W209" s="5"/>
      <c r="X209" s="176"/>
      <c r="Y209" s="184"/>
      <c r="Z209" s="184"/>
      <c r="AA209" s="184"/>
      <c r="AB209" s="176"/>
      <c r="AC209" s="176"/>
      <c r="AD209" s="5"/>
      <c r="AE209" s="184"/>
      <c r="AF209" s="184"/>
      <c r="AG209" s="184"/>
      <c r="AH209" s="184"/>
      <c r="AI209" s="184"/>
      <c r="AJ209" s="184"/>
      <c r="AK209" s="5"/>
      <c r="AL209" s="184">
        <f t="shared" ref="AL209:AM209" si="612">ROUND(E209*(5/12)+K209*(5/12)+S209+X209-AE209,2)</f>
        <v>0.42</v>
      </c>
      <c r="AM209" s="184">
        <f t="shared" si="612"/>
        <v>0</v>
      </c>
      <c r="AN209" s="184">
        <f t="shared" si="339"/>
        <v>0</v>
      </c>
      <c r="AO209" s="184">
        <f t="shared" ref="AO209:AP209" si="613">ROUND(H209*(5/12)+N209*(5/12)+U209+Z209-AG209,2)</f>
        <v>0</v>
      </c>
      <c r="AP209" s="184">
        <f t="shared" si="613"/>
        <v>0</v>
      </c>
      <c r="AQ209" s="184">
        <f t="shared" ref="AQ209:AR209" si="614">P209+AB209-AI209</f>
        <v>0.08</v>
      </c>
      <c r="AR209" s="184">
        <f t="shared" si="614"/>
        <v>0.08</v>
      </c>
      <c r="AS209" s="5"/>
      <c r="AT209" s="176">
        <v>0.0</v>
      </c>
      <c r="AU209" s="176">
        <v>0.0</v>
      </c>
      <c r="AV209" s="176">
        <v>0.0</v>
      </c>
      <c r="AW209" s="176">
        <v>0.0</v>
      </c>
      <c r="AX209" s="176">
        <v>0.0</v>
      </c>
      <c r="AY209" s="176">
        <v>0.0</v>
      </c>
      <c r="AZ209" s="176">
        <v>0.0</v>
      </c>
      <c r="BA209" s="195" t="s">
        <v>1960</v>
      </c>
      <c r="BB209" s="5"/>
      <c r="BC209" s="62"/>
      <c r="BE209" s="184"/>
      <c r="BF209" s="184"/>
      <c r="BG209" s="184"/>
      <c r="BH209" s="184"/>
      <c r="BI209" s="184"/>
      <c r="BJ209" s="184"/>
      <c r="BK209" s="81"/>
      <c r="BL209" s="81"/>
      <c r="BM209" s="81"/>
      <c r="BN209" s="81"/>
    </row>
    <row r="210">
      <c r="A210" s="176">
        <v>205.0</v>
      </c>
      <c r="B210" s="143" t="s">
        <v>1961</v>
      </c>
      <c r="C210" s="287" t="s">
        <v>234</v>
      </c>
      <c r="D210" s="245"/>
      <c r="E210" s="245"/>
      <c r="F210" s="245"/>
      <c r="G210" s="376"/>
      <c r="H210" s="376"/>
      <c r="I210" s="376"/>
      <c r="J210" s="268">
        <v>0.0</v>
      </c>
      <c r="K210" s="268">
        <v>4.0</v>
      </c>
      <c r="L210" s="268">
        <v>0.0</v>
      </c>
      <c r="M210" s="268">
        <v>0.0</v>
      </c>
      <c r="N210" s="268">
        <v>0.0</v>
      </c>
      <c r="O210" s="268">
        <v>0.0</v>
      </c>
      <c r="P210" s="180"/>
      <c r="Q210" s="180"/>
      <c r="R210" s="5"/>
      <c r="S210" s="176"/>
      <c r="T210" s="176"/>
      <c r="U210" s="176"/>
      <c r="V210" s="176"/>
      <c r="W210" s="5"/>
      <c r="X210" s="176"/>
      <c r="Y210" s="184"/>
      <c r="Z210" s="184"/>
      <c r="AA210" s="184"/>
      <c r="AB210" s="176"/>
      <c r="AC210" s="176"/>
      <c r="AD210" s="5"/>
      <c r="AE210" s="184"/>
      <c r="AF210" s="184"/>
      <c r="AG210" s="184"/>
      <c r="AH210" s="184"/>
      <c r="AI210" s="184"/>
      <c r="AJ210" s="184"/>
      <c r="AK210" s="5"/>
      <c r="AL210" s="184">
        <f t="shared" ref="AL210:AM210" si="615">ROUND(E210*(5/12)+K210*(5/12)+S210+X210-AE210,2)</f>
        <v>1.67</v>
      </c>
      <c r="AM210" s="184">
        <f t="shared" si="615"/>
        <v>0</v>
      </c>
      <c r="AN210" s="184">
        <f t="shared" si="339"/>
        <v>0</v>
      </c>
      <c r="AO210" s="184">
        <f t="shared" ref="AO210:AP210" si="616">ROUND(H210*(5/12)+N210*(5/12)+U210+Z210-AG210,2)</f>
        <v>0</v>
      </c>
      <c r="AP210" s="184">
        <f t="shared" si="616"/>
        <v>0</v>
      </c>
      <c r="AQ210" s="184">
        <f t="shared" ref="AQ210:AR210" si="617">P210+AB210-AI210</f>
        <v>0</v>
      </c>
      <c r="AR210" s="184">
        <f t="shared" si="617"/>
        <v>0</v>
      </c>
      <c r="AS210" s="5"/>
      <c r="AT210" s="176">
        <v>0.0</v>
      </c>
      <c r="AU210" s="176">
        <v>0.0</v>
      </c>
      <c r="AV210" s="176">
        <v>0.0</v>
      </c>
      <c r="AW210" s="176">
        <v>0.0</v>
      </c>
      <c r="AX210" s="176">
        <v>0.0</v>
      </c>
      <c r="AY210" s="176">
        <v>0.0</v>
      </c>
      <c r="AZ210" s="176">
        <v>0.0</v>
      </c>
      <c r="BA210" s="180" t="s">
        <v>650</v>
      </c>
      <c r="BB210" s="5"/>
      <c r="BC210" s="62"/>
      <c r="BE210" s="184"/>
      <c r="BF210" s="184"/>
      <c r="BG210" s="184"/>
      <c r="BH210" s="184"/>
      <c r="BI210" s="184"/>
      <c r="BJ210" s="184"/>
      <c r="BK210" s="81"/>
      <c r="BL210" s="81"/>
      <c r="BM210" s="81"/>
      <c r="BN210" s="81"/>
    </row>
    <row r="211">
      <c r="A211" s="176">
        <v>206.0</v>
      </c>
      <c r="B211" s="372" t="s">
        <v>1962</v>
      </c>
      <c r="C211" s="287" t="s">
        <v>1457</v>
      </c>
      <c r="D211" s="245">
        <v>3.08</v>
      </c>
      <c r="E211" s="245">
        <v>0.92</v>
      </c>
      <c r="F211" s="401"/>
      <c r="G211" s="401"/>
      <c r="H211" s="401"/>
      <c r="I211" s="401"/>
      <c r="J211" s="258">
        <v>4.0675</v>
      </c>
      <c r="K211" s="258">
        <v>0.56</v>
      </c>
      <c r="L211" s="258">
        <v>0.0</v>
      </c>
      <c r="M211" s="258">
        <v>0.0</v>
      </c>
      <c r="N211" s="258">
        <v>0.13</v>
      </c>
      <c r="O211" s="258"/>
      <c r="P211" s="180">
        <v>1.0</v>
      </c>
      <c r="Q211" s="180">
        <v>1.0</v>
      </c>
      <c r="R211" s="5"/>
      <c r="S211" s="176">
        <v>0.0</v>
      </c>
      <c r="T211" s="176">
        <v>0.02</v>
      </c>
      <c r="U211" s="176">
        <v>0.07</v>
      </c>
      <c r="V211" s="176">
        <v>0.0</v>
      </c>
      <c r="W211" s="5"/>
      <c r="X211" s="184"/>
      <c r="Y211" s="176">
        <v>0.083</v>
      </c>
      <c r="Z211" s="176">
        <v>0.21</v>
      </c>
      <c r="AA211" s="184"/>
      <c r="AB211" s="184"/>
      <c r="AC211" s="176">
        <v>1.5</v>
      </c>
      <c r="AD211" s="5"/>
      <c r="AE211" s="176">
        <v>0.12</v>
      </c>
      <c r="AF211" s="184"/>
      <c r="AG211" s="184"/>
      <c r="AH211" s="184"/>
      <c r="AI211" s="184"/>
      <c r="AJ211" s="184"/>
      <c r="AK211" s="5"/>
      <c r="AL211" s="184">
        <f t="shared" ref="AL211:AM211" si="618">ROUND(E211*(5/12)+K211*(5/12)+S211+X211-AE211,2)</f>
        <v>0.5</v>
      </c>
      <c r="AM211" s="184">
        <f t="shared" si="618"/>
        <v>0.1</v>
      </c>
      <c r="AN211" s="184">
        <f t="shared" si="339"/>
        <v>0</v>
      </c>
      <c r="AO211" s="184">
        <f t="shared" ref="AO211:AP211" si="619">ROUND(H211*(5/12)+N211*(5/12)+U211+Z211-AG211,2)</f>
        <v>0.33</v>
      </c>
      <c r="AP211" s="184">
        <f t="shared" si="619"/>
        <v>0</v>
      </c>
      <c r="AQ211" s="184">
        <f t="shared" ref="AQ211:AR211" si="620">P211+AB211-AI211</f>
        <v>1</v>
      </c>
      <c r="AR211" s="184">
        <f t="shared" si="620"/>
        <v>2.5</v>
      </c>
      <c r="AS211" s="5"/>
      <c r="AT211" s="176">
        <v>0.25</v>
      </c>
      <c r="AU211" s="176">
        <v>0.0</v>
      </c>
      <c r="AV211" s="176">
        <v>0.0</v>
      </c>
      <c r="AW211" s="176">
        <v>0.0</v>
      </c>
      <c r="AX211" s="176">
        <v>0.0</v>
      </c>
      <c r="AY211" s="176">
        <v>1.0</v>
      </c>
      <c r="AZ211" s="176">
        <v>0.0</v>
      </c>
      <c r="BA211" s="180" t="s">
        <v>1963</v>
      </c>
      <c r="BB211" s="5"/>
      <c r="BC211" s="62"/>
      <c r="BE211" s="184"/>
      <c r="BF211" s="184"/>
      <c r="BG211" s="184"/>
      <c r="BH211" s="184"/>
      <c r="BI211" s="184"/>
      <c r="BJ211" s="184"/>
      <c r="BK211" s="81"/>
      <c r="BL211" s="81"/>
      <c r="BM211" s="81"/>
      <c r="BN211" s="81"/>
    </row>
    <row r="212">
      <c r="A212" s="176">
        <v>207.0</v>
      </c>
      <c r="B212" s="372" t="s">
        <v>1964</v>
      </c>
      <c r="C212" s="287" t="s">
        <v>1457</v>
      </c>
      <c r="D212" s="245">
        <v>2.0</v>
      </c>
      <c r="E212" s="401"/>
      <c r="F212" s="401"/>
      <c r="G212" s="401"/>
      <c r="H212" s="401"/>
      <c r="I212" s="401"/>
      <c r="J212" s="258">
        <v>2.0</v>
      </c>
      <c r="K212" s="258">
        <v>0.0</v>
      </c>
      <c r="L212" s="258">
        <v>0.0</v>
      </c>
      <c r="M212" s="258">
        <v>0.0</v>
      </c>
      <c r="N212" s="258">
        <v>0.0</v>
      </c>
      <c r="O212" s="269"/>
      <c r="P212" s="180">
        <v>1.0</v>
      </c>
      <c r="Q212" s="180">
        <v>1.0</v>
      </c>
      <c r="R212" s="5"/>
      <c r="S212" s="176">
        <v>0.0</v>
      </c>
      <c r="T212" s="176">
        <v>0.0</v>
      </c>
      <c r="U212" s="176">
        <v>0.0</v>
      </c>
      <c r="V212" s="176">
        <v>0.0</v>
      </c>
      <c r="W212" s="5"/>
      <c r="X212" s="176">
        <v>0.72</v>
      </c>
      <c r="Y212" s="198"/>
      <c r="Z212" s="176">
        <v>0.04</v>
      </c>
      <c r="AA212" s="184"/>
      <c r="AB212" s="176">
        <v>2.0</v>
      </c>
      <c r="AC212" s="176">
        <v>1.0</v>
      </c>
      <c r="AD212" s="5"/>
      <c r="AE212" s="184"/>
      <c r="AF212" s="176">
        <v>0.028</v>
      </c>
      <c r="AG212" s="184"/>
      <c r="AH212" s="184"/>
      <c r="AI212" s="184"/>
      <c r="AJ212" s="184"/>
      <c r="AK212" s="5"/>
      <c r="AL212" s="184">
        <f t="shared" ref="AL212:AM212" si="621">ROUND(E212*(5/12)+K212*(5/12)+S212+X212-AE212,2)</f>
        <v>0.72</v>
      </c>
      <c r="AM212" s="184">
        <f t="shared" si="621"/>
        <v>-0.03</v>
      </c>
      <c r="AN212" s="184">
        <f t="shared" si="339"/>
        <v>0</v>
      </c>
      <c r="AO212" s="184">
        <f t="shared" ref="AO212:AP212" si="622">ROUND(H212*(5/12)+N212*(5/12)+U212+Z212-AG212,2)</f>
        <v>0.04</v>
      </c>
      <c r="AP212" s="184">
        <f t="shared" si="622"/>
        <v>0</v>
      </c>
      <c r="AQ212" s="184">
        <f t="shared" ref="AQ212:AR212" si="623">P212+AB212-AI212</f>
        <v>3</v>
      </c>
      <c r="AR212" s="184">
        <f t="shared" si="623"/>
        <v>2</v>
      </c>
      <c r="AS212" s="5"/>
      <c r="AT212" s="176">
        <v>0.0</v>
      </c>
      <c r="AU212" s="176">
        <v>0.0</v>
      </c>
      <c r="AV212" s="176">
        <v>0.0</v>
      </c>
      <c r="AW212" s="176">
        <v>0.0</v>
      </c>
      <c r="AX212" s="176">
        <v>0.0</v>
      </c>
      <c r="AY212" s="176">
        <v>1.0</v>
      </c>
      <c r="AZ212" s="176">
        <v>0.0</v>
      </c>
      <c r="BA212" s="399" t="s">
        <v>1965</v>
      </c>
      <c r="BB212" s="5"/>
      <c r="BC212" s="62"/>
      <c r="BE212" s="184"/>
      <c r="BF212" s="302"/>
      <c r="BG212" s="184"/>
      <c r="BH212" s="184"/>
      <c r="BI212" s="184"/>
      <c r="BJ212" s="184"/>
      <c r="BK212" s="280"/>
      <c r="BL212" s="81"/>
      <c r="BM212" s="81"/>
      <c r="BN212" s="81"/>
    </row>
    <row r="213">
      <c r="A213" s="176">
        <v>208.0</v>
      </c>
      <c r="B213" s="372" t="s">
        <v>1456</v>
      </c>
      <c r="C213" s="287" t="s">
        <v>1457</v>
      </c>
      <c r="D213" s="245">
        <v>2.5</v>
      </c>
      <c r="E213" s="245">
        <v>0.3</v>
      </c>
      <c r="F213" s="401"/>
      <c r="G213" s="401"/>
      <c r="H213" s="245">
        <v>0.2</v>
      </c>
      <c r="I213" s="401"/>
      <c r="J213" s="258">
        <v>2.0</v>
      </c>
      <c r="K213" s="258">
        <v>0.83</v>
      </c>
      <c r="L213" s="278"/>
      <c r="M213" s="278"/>
      <c r="N213" s="258">
        <v>0.2</v>
      </c>
      <c r="O213" s="278"/>
      <c r="P213" s="180">
        <v>1.0</v>
      </c>
      <c r="Q213" s="180">
        <v>1.0</v>
      </c>
      <c r="R213" s="5"/>
      <c r="S213" s="176">
        <v>0.0</v>
      </c>
      <c r="T213" s="176">
        <v>0.02</v>
      </c>
      <c r="U213" s="176">
        <v>0.0</v>
      </c>
      <c r="V213" s="176">
        <v>0.04</v>
      </c>
      <c r="W213" s="5"/>
      <c r="X213" s="176">
        <v>0.05</v>
      </c>
      <c r="Y213" s="176">
        <v>0.083</v>
      </c>
      <c r="Z213" s="176">
        <v>0.17</v>
      </c>
      <c r="AA213" s="176">
        <v>0.14</v>
      </c>
      <c r="AB213" s="184"/>
      <c r="AC213" s="184"/>
      <c r="AD213" s="5"/>
      <c r="AE213" s="184"/>
      <c r="AF213" s="184"/>
      <c r="AG213" s="184"/>
      <c r="AH213" s="184"/>
      <c r="AI213" s="184"/>
      <c r="AJ213" s="184"/>
      <c r="AK213" s="5"/>
      <c r="AL213" s="184">
        <f t="shared" ref="AL213:AM213" si="624">ROUND(E213*(5/12)+K213*(5/12)+S213+X213-AE213,2)</f>
        <v>0.52</v>
      </c>
      <c r="AM213" s="184">
        <f t="shared" si="624"/>
        <v>0.1</v>
      </c>
      <c r="AN213" s="184">
        <f t="shared" si="339"/>
        <v>0</v>
      </c>
      <c r="AO213" s="184">
        <f t="shared" ref="AO213:AP213" si="625">ROUND(H213*(5/12)+N213*(5/12)+U213+Z213-AG213,2)</f>
        <v>0.34</v>
      </c>
      <c r="AP213" s="184">
        <f t="shared" si="625"/>
        <v>0.18</v>
      </c>
      <c r="AQ213" s="184">
        <f t="shared" ref="AQ213:AR213" si="626">P213+AB213-AI213</f>
        <v>1</v>
      </c>
      <c r="AR213" s="184">
        <f t="shared" si="626"/>
        <v>1</v>
      </c>
      <c r="AS213" s="5"/>
      <c r="AT213" s="176">
        <v>0.0</v>
      </c>
      <c r="AU213" s="176">
        <v>0.0</v>
      </c>
      <c r="AV213" s="176">
        <v>0.0</v>
      </c>
      <c r="AW213" s="176">
        <v>0.0</v>
      </c>
      <c r="AX213" s="176">
        <v>0.0</v>
      </c>
      <c r="AY213" s="176">
        <v>0.0</v>
      </c>
      <c r="AZ213" s="176">
        <v>0.0</v>
      </c>
      <c r="BA213" s="180" t="s">
        <v>1966</v>
      </c>
      <c r="BB213" s="5"/>
      <c r="BC213" s="62"/>
      <c r="BE213" s="184"/>
      <c r="BF213" s="184"/>
      <c r="BG213" s="184"/>
      <c r="BH213" s="184"/>
      <c r="BI213" s="184"/>
      <c r="BJ213" s="184"/>
      <c r="BK213" s="81"/>
      <c r="BL213" s="280" t="s">
        <v>1561</v>
      </c>
      <c r="BM213" s="81"/>
      <c r="BN213" s="81"/>
    </row>
    <row r="214">
      <c r="A214" s="176">
        <v>209.0</v>
      </c>
      <c r="B214" s="372" t="s">
        <v>1967</v>
      </c>
      <c r="C214" s="287" t="s">
        <v>1457</v>
      </c>
      <c r="D214" s="245">
        <v>3.552</v>
      </c>
      <c r="E214" s="401"/>
      <c r="F214" s="401"/>
      <c r="G214" s="401"/>
      <c r="H214" s="245">
        <v>0.448</v>
      </c>
      <c r="I214" s="401"/>
      <c r="J214" s="258">
        <v>3.66</v>
      </c>
      <c r="K214" s="258">
        <v>0.13</v>
      </c>
      <c r="L214" s="278"/>
      <c r="M214" s="278"/>
      <c r="N214" s="258">
        <v>0.25</v>
      </c>
      <c r="O214" s="269"/>
      <c r="P214" s="180">
        <v>1.0</v>
      </c>
      <c r="Q214" s="180">
        <v>1.0</v>
      </c>
      <c r="R214" s="5"/>
      <c r="S214" s="176">
        <v>0.04</v>
      </c>
      <c r="T214" s="176">
        <v>0.02</v>
      </c>
      <c r="U214" s="176">
        <v>0.0</v>
      </c>
      <c r="V214" s="176">
        <v>0.0</v>
      </c>
      <c r="W214" s="5"/>
      <c r="X214" s="176">
        <v>0.91</v>
      </c>
      <c r="Y214" s="176">
        <v>0.2</v>
      </c>
      <c r="Z214" s="176">
        <v>0.04</v>
      </c>
      <c r="AA214" s="374">
        <v>0.04</v>
      </c>
      <c r="AB214" s="184"/>
      <c r="AC214" s="176">
        <v>0.5</v>
      </c>
      <c r="AD214" s="5"/>
      <c r="AE214" s="184"/>
      <c r="AF214" s="184"/>
      <c r="AG214" s="184"/>
      <c r="AH214" s="184"/>
      <c r="AI214" s="184"/>
      <c r="AJ214" s="176"/>
      <c r="AK214" s="5"/>
      <c r="AL214" s="184">
        <f t="shared" ref="AL214:AM214" si="627">ROUND(E214*(5/12)+K214*(5/12)+S214+X214-AE214,2)</f>
        <v>1</v>
      </c>
      <c r="AM214" s="184">
        <f t="shared" si="627"/>
        <v>0.22</v>
      </c>
      <c r="AN214" s="184">
        <f t="shared" si="339"/>
        <v>0</v>
      </c>
      <c r="AO214" s="184">
        <f t="shared" ref="AO214:AP214" si="628">ROUND(H214*(5/12)+N214*(5/12)+U214+Z214-AG214,2)</f>
        <v>0.33</v>
      </c>
      <c r="AP214" s="184">
        <f t="shared" si="628"/>
        <v>0.04</v>
      </c>
      <c r="AQ214" s="184">
        <f t="shared" ref="AQ214:AR214" si="629">P214+AB214-AI214</f>
        <v>1</v>
      </c>
      <c r="AR214" s="184">
        <f t="shared" si="629"/>
        <v>1.5</v>
      </c>
      <c r="AS214" s="5"/>
      <c r="AT214" s="176">
        <v>0.5</v>
      </c>
      <c r="AU214" s="176">
        <v>0.0</v>
      </c>
      <c r="AV214" s="176">
        <v>0.0</v>
      </c>
      <c r="AW214" s="176">
        <v>0.0</v>
      </c>
      <c r="AX214" s="176">
        <v>0.0</v>
      </c>
      <c r="AY214" s="176">
        <v>0.0</v>
      </c>
      <c r="AZ214" s="176">
        <v>1.0</v>
      </c>
      <c r="BA214" s="195" t="s">
        <v>1968</v>
      </c>
      <c r="BB214" s="5"/>
      <c r="BC214" s="62"/>
      <c r="BE214" s="184"/>
      <c r="BF214" s="184"/>
      <c r="BG214" s="184"/>
      <c r="BH214" s="302"/>
      <c r="BI214" s="184"/>
      <c r="BJ214" s="184"/>
      <c r="BK214" s="280"/>
      <c r="BL214" s="280" t="s">
        <v>1561</v>
      </c>
      <c r="BM214" s="81"/>
      <c r="BN214" s="81"/>
    </row>
    <row r="215">
      <c r="A215" s="176">
        <v>210.0</v>
      </c>
      <c r="B215" s="372" t="s">
        <v>1459</v>
      </c>
      <c r="C215" s="287" t="s">
        <v>1457</v>
      </c>
      <c r="D215" s="245">
        <v>3.25</v>
      </c>
      <c r="E215" s="245">
        <v>0.75</v>
      </c>
      <c r="F215" s="401"/>
      <c r="G215" s="401"/>
      <c r="H215" s="401"/>
      <c r="I215" s="401"/>
      <c r="J215" s="258">
        <v>3.34</v>
      </c>
      <c r="K215" s="258">
        <v>0.0</v>
      </c>
      <c r="L215" s="278"/>
      <c r="M215" s="278"/>
      <c r="N215" s="258">
        <v>0.7</v>
      </c>
      <c r="O215" s="269"/>
      <c r="P215" s="180">
        <v>1.0</v>
      </c>
      <c r="Q215" s="180">
        <v>1.0</v>
      </c>
      <c r="R215" s="5"/>
      <c r="S215" s="176">
        <v>0.04</v>
      </c>
      <c r="T215" s="176">
        <v>0.02</v>
      </c>
      <c r="U215" s="176">
        <v>0.0</v>
      </c>
      <c r="V215" s="176">
        <v>0.0</v>
      </c>
      <c r="W215" s="5"/>
      <c r="X215" s="176">
        <v>0.15</v>
      </c>
      <c r="Y215" s="176">
        <v>0.083</v>
      </c>
      <c r="Z215" s="176">
        <v>0.04</v>
      </c>
      <c r="AA215" s="184"/>
      <c r="AB215" s="176"/>
      <c r="AC215" s="184"/>
      <c r="AD215" s="5"/>
      <c r="AE215" s="184"/>
      <c r="AF215" s="184"/>
      <c r="AG215" s="184"/>
      <c r="AH215" s="184"/>
      <c r="AI215" s="176">
        <v>0.42</v>
      </c>
      <c r="AJ215" s="176">
        <v>0.42</v>
      </c>
      <c r="AK215" s="5"/>
      <c r="AL215" s="184">
        <f t="shared" ref="AL215:AM215" si="630">ROUND(E215*(5/12)+K215*(5/12)+S215+X215-AE215,2)</f>
        <v>0.5</v>
      </c>
      <c r="AM215" s="184">
        <f t="shared" si="630"/>
        <v>0.1</v>
      </c>
      <c r="AN215" s="184">
        <f t="shared" si="339"/>
        <v>0</v>
      </c>
      <c r="AO215" s="184">
        <f t="shared" ref="AO215:AP215" si="631">ROUND(H215*(5/12)+N215*(5/12)+U215+Z215-AG215,2)</f>
        <v>0.33</v>
      </c>
      <c r="AP215" s="184">
        <f t="shared" si="631"/>
        <v>0</v>
      </c>
      <c r="AQ215" s="184">
        <f t="shared" ref="AQ215:AR215" si="632">P215+AB215-AI215</f>
        <v>0.58</v>
      </c>
      <c r="AR215" s="184">
        <f t="shared" si="632"/>
        <v>0.58</v>
      </c>
      <c r="AS215" s="5"/>
      <c r="AT215" s="176">
        <v>0.0</v>
      </c>
      <c r="AU215" s="176">
        <v>0.0</v>
      </c>
      <c r="AV215" s="176">
        <v>0.0</v>
      </c>
      <c r="AW215" s="176">
        <v>0.0</v>
      </c>
      <c r="AX215" s="176">
        <v>0.0</v>
      </c>
      <c r="AY215" s="176">
        <v>0.0</v>
      </c>
      <c r="AZ215" s="176">
        <v>1.0</v>
      </c>
      <c r="BA215" s="195" t="s">
        <v>1969</v>
      </c>
      <c r="BB215" s="5"/>
      <c r="BC215" s="62"/>
      <c r="BE215" s="184"/>
      <c r="BF215" s="184"/>
      <c r="BG215" s="184"/>
      <c r="BH215" s="184"/>
      <c r="BI215" s="184"/>
      <c r="BJ215" s="184"/>
      <c r="BK215" s="81"/>
      <c r="BL215" s="280" t="s">
        <v>1561</v>
      </c>
      <c r="BM215" s="81"/>
      <c r="BN215" s="81"/>
    </row>
    <row r="216">
      <c r="A216" s="176">
        <v>211.0</v>
      </c>
      <c r="B216" s="372" t="s">
        <v>1460</v>
      </c>
      <c r="C216" s="287" t="s">
        <v>1461</v>
      </c>
      <c r="D216" s="106">
        <v>3.0</v>
      </c>
      <c r="E216" s="246"/>
      <c r="F216" s="106">
        <v>0.1</v>
      </c>
      <c r="G216" s="106"/>
      <c r="H216" s="246"/>
      <c r="I216" s="106">
        <v>0.05</v>
      </c>
      <c r="J216" s="258">
        <v>3.0</v>
      </c>
      <c r="K216" s="269"/>
      <c r="L216" s="258">
        <v>0.1</v>
      </c>
      <c r="M216" s="269"/>
      <c r="N216" s="269"/>
      <c r="O216" s="258">
        <v>0.05</v>
      </c>
      <c r="P216" s="180">
        <v>1.0</v>
      </c>
      <c r="Q216" s="180">
        <v>1.0</v>
      </c>
      <c r="R216" s="5"/>
      <c r="S216" s="176">
        <v>0.0</v>
      </c>
      <c r="T216" s="176">
        <v>0.02</v>
      </c>
      <c r="U216" s="176">
        <v>0.0</v>
      </c>
      <c r="V216" s="176">
        <v>0.0</v>
      </c>
      <c r="W216" s="5"/>
      <c r="X216" s="184"/>
      <c r="Y216" s="176">
        <v>0.083</v>
      </c>
      <c r="Z216" s="184"/>
      <c r="AA216" s="184"/>
      <c r="AB216" s="176">
        <v>1.0</v>
      </c>
      <c r="AC216" s="184"/>
      <c r="AD216" s="5"/>
      <c r="AE216" s="184"/>
      <c r="AF216" s="184"/>
      <c r="AG216" s="184"/>
      <c r="AH216" s="184"/>
      <c r="AI216" s="81"/>
      <c r="AJ216" s="81"/>
      <c r="AK216" s="5"/>
      <c r="AL216" s="184">
        <f t="shared" ref="AL216:AM216" si="633">ROUND(E216*(5/12)+K216*(5/12)+S216+X216-AE216,2)</f>
        <v>0</v>
      </c>
      <c r="AM216" s="184">
        <f t="shared" si="633"/>
        <v>0.19</v>
      </c>
      <c r="AN216" s="184">
        <f t="shared" si="339"/>
        <v>0</v>
      </c>
      <c r="AO216" s="184">
        <f t="shared" ref="AO216:AP216" si="634">ROUND(H216*(5/12)+N216*(5/12)+U216+Z216-AG216,2)</f>
        <v>0</v>
      </c>
      <c r="AP216" s="184">
        <f t="shared" si="634"/>
        <v>0.04</v>
      </c>
      <c r="AQ216" s="184">
        <f t="shared" ref="AQ216:AR216" si="635">P216+AB216-AI216</f>
        <v>2</v>
      </c>
      <c r="AR216" s="184">
        <f t="shared" si="635"/>
        <v>1</v>
      </c>
      <c r="AS216" s="5"/>
      <c r="AT216" s="176">
        <v>0.0</v>
      </c>
      <c r="AU216" s="176">
        <v>0.0</v>
      </c>
      <c r="AV216" s="176">
        <v>0.0</v>
      </c>
      <c r="AW216" s="176">
        <v>0.0</v>
      </c>
      <c r="AX216" s="176">
        <v>0.0</v>
      </c>
      <c r="AY216" s="176">
        <v>0.0</v>
      </c>
      <c r="AZ216" s="176">
        <v>1.0</v>
      </c>
      <c r="BA216" s="195" t="s">
        <v>1970</v>
      </c>
      <c r="BB216" s="5"/>
      <c r="BC216" s="62"/>
      <c r="BE216" s="184"/>
      <c r="BF216" s="184"/>
      <c r="BG216" s="184"/>
      <c r="BH216" s="184"/>
      <c r="BI216" s="184"/>
      <c r="BJ216" s="184"/>
      <c r="BK216" s="81"/>
      <c r="BL216" s="280" t="s">
        <v>1561</v>
      </c>
      <c r="BM216" s="81"/>
      <c r="BN216" s="81"/>
    </row>
    <row r="217">
      <c r="A217" s="176">
        <v>212.0</v>
      </c>
      <c r="B217" s="372" t="s">
        <v>1464</v>
      </c>
      <c r="C217" s="287" t="s">
        <v>1461</v>
      </c>
      <c r="D217" s="106">
        <v>4.0</v>
      </c>
      <c r="E217" s="106">
        <v>0.4</v>
      </c>
      <c r="F217" s="106">
        <v>0.1</v>
      </c>
      <c r="G217" s="106">
        <v>0.4</v>
      </c>
      <c r="H217" s="246"/>
      <c r="I217" s="106">
        <v>0.05</v>
      </c>
      <c r="J217" s="258">
        <v>3.6</v>
      </c>
      <c r="K217" s="258">
        <v>0.4</v>
      </c>
      <c r="L217" s="258">
        <v>0.1</v>
      </c>
      <c r="M217" s="268"/>
      <c r="N217" s="268"/>
      <c r="O217" s="258">
        <v>0.05</v>
      </c>
      <c r="P217" s="180">
        <v>1.0</v>
      </c>
      <c r="Q217" s="180">
        <v>1.0</v>
      </c>
      <c r="R217" s="5"/>
      <c r="S217" s="176">
        <v>0.18</v>
      </c>
      <c r="T217" s="176">
        <v>0.02</v>
      </c>
      <c r="U217" s="176">
        <v>0.0</v>
      </c>
      <c r="V217" s="176">
        <v>0.05</v>
      </c>
      <c r="W217" s="5"/>
      <c r="X217" s="176">
        <v>1.24</v>
      </c>
      <c r="Y217" s="176">
        <v>0.708</v>
      </c>
      <c r="Z217" s="184"/>
      <c r="AA217" s="176">
        <v>0.25</v>
      </c>
      <c r="AB217" s="176">
        <v>1.0</v>
      </c>
      <c r="AC217" s="176">
        <v>1.0</v>
      </c>
      <c r="AD217" s="5"/>
      <c r="AE217" s="184"/>
      <c r="AF217" s="184"/>
      <c r="AG217" s="184"/>
      <c r="AH217" s="184"/>
      <c r="AI217" s="184"/>
      <c r="AJ217" s="184"/>
      <c r="AK217" s="5"/>
      <c r="AL217" s="184">
        <f t="shared" ref="AL217:AM217" si="636">ROUND(E217*(5/12)+K217*(5/12)+S217+X217-AE217,2)</f>
        <v>1.75</v>
      </c>
      <c r="AM217" s="184">
        <f t="shared" si="636"/>
        <v>0.81</v>
      </c>
      <c r="AN217" s="184">
        <f t="shared" si="339"/>
        <v>0.17</v>
      </c>
      <c r="AO217" s="184">
        <f t="shared" ref="AO217:AP217" si="637">ROUND(H217*(5/12)+N217*(5/12)+U217+Z217-AG217,2)</f>
        <v>0</v>
      </c>
      <c r="AP217" s="184">
        <f t="shared" si="637"/>
        <v>0.34</v>
      </c>
      <c r="AQ217" s="184">
        <f t="shared" ref="AQ217:AR217" si="638">P217+AB217-AI217</f>
        <v>2</v>
      </c>
      <c r="AR217" s="184">
        <f t="shared" si="638"/>
        <v>2</v>
      </c>
      <c r="AS217" s="5"/>
      <c r="AT217" s="176">
        <v>0.0</v>
      </c>
      <c r="AU217" s="176">
        <v>0.0</v>
      </c>
      <c r="AV217" s="176">
        <v>0.0</v>
      </c>
      <c r="AW217" s="176">
        <v>0.0</v>
      </c>
      <c r="AX217" s="176">
        <v>0.0</v>
      </c>
      <c r="AY217" s="176">
        <v>0.0</v>
      </c>
      <c r="AZ217" s="176">
        <v>0.0</v>
      </c>
      <c r="BA217" s="180" t="s">
        <v>1971</v>
      </c>
      <c r="BB217" s="5"/>
      <c r="BC217" s="62"/>
      <c r="BE217" s="184"/>
      <c r="BF217" s="184"/>
      <c r="BG217" s="184"/>
      <c r="BH217" s="184"/>
      <c r="BI217" s="184"/>
      <c r="BJ217" s="184"/>
      <c r="BK217" s="81"/>
      <c r="BL217" s="81"/>
      <c r="BM217" s="81"/>
      <c r="BN217" s="81"/>
    </row>
    <row r="218">
      <c r="A218" s="176">
        <v>213.0</v>
      </c>
      <c r="B218" s="372" t="s">
        <v>275</v>
      </c>
      <c r="C218" s="287" t="s">
        <v>1461</v>
      </c>
      <c r="D218" s="106">
        <v>3.33</v>
      </c>
      <c r="E218" s="106">
        <v>0.5</v>
      </c>
      <c r="F218" s="106">
        <v>0.1</v>
      </c>
      <c r="G218" s="106">
        <v>0.4</v>
      </c>
      <c r="H218" s="246"/>
      <c r="I218" s="106">
        <v>0.05</v>
      </c>
      <c r="J218" s="258">
        <v>3.0</v>
      </c>
      <c r="K218" s="258">
        <v>0.8</v>
      </c>
      <c r="L218" s="258">
        <v>0.2</v>
      </c>
      <c r="M218" s="258">
        <v>0.4</v>
      </c>
      <c r="N218" s="268"/>
      <c r="O218" s="258">
        <v>0.05</v>
      </c>
      <c r="P218" s="180">
        <v>1.0</v>
      </c>
      <c r="Q218" s="180">
        <v>1.0</v>
      </c>
      <c r="R218" s="5"/>
      <c r="S218" s="176">
        <v>0.1</v>
      </c>
      <c r="T218" s="176">
        <v>0.02</v>
      </c>
      <c r="U218" s="176">
        <v>0.0</v>
      </c>
      <c r="V218" s="176">
        <v>0.05</v>
      </c>
      <c r="W218" s="5"/>
      <c r="X218" s="184"/>
      <c r="Y218" s="184"/>
      <c r="Z218" s="184"/>
      <c r="AA218" s="184"/>
      <c r="AB218" s="184"/>
      <c r="AC218" s="184"/>
      <c r="AD218" s="5"/>
      <c r="AE218" s="176">
        <v>0.58</v>
      </c>
      <c r="AF218" s="176">
        <v>0.277</v>
      </c>
      <c r="AG218" s="184"/>
      <c r="AH218" s="176">
        <v>0.04</v>
      </c>
      <c r="AI218" s="184"/>
      <c r="AJ218" s="184"/>
      <c r="AK218" s="5"/>
      <c r="AL218" s="184">
        <f t="shared" ref="AL218:AM218" si="639">ROUND(E218*(5/12)+K218*(5/12)+S218+X218-AE218,2)</f>
        <v>0.06</v>
      </c>
      <c r="AM218" s="184">
        <f t="shared" si="639"/>
        <v>-0.13</v>
      </c>
      <c r="AN218" s="184">
        <f t="shared" si="339"/>
        <v>0.33</v>
      </c>
      <c r="AO218" s="184">
        <f t="shared" ref="AO218:AP218" si="640">ROUND(H218*(5/12)+N218*(5/12)+U218+Z218-AG218,2)</f>
        <v>0</v>
      </c>
      <c r="AP218" s="184">
        <f t="shared" si="640"/>
        <v>0.05</v>
      </c>
      <c r="AQ218" s="184">
        <f t="shared" ref="AQ218:AR218" si="641">P218+AB218-AI218</f>
        <v>1</v>
      </c>
      <c r="AR218" s="184">
        <f t="shared" si="641"/>
        <v>1</v>
      </c>
      <c r="AS218" s="5"/>
      <c r="AT218" s="176">
        <v>0.5</v>
      </c>
      <c r="AU218" s="176">
        <v>0.13</v>
      </c>
      <c r="AV218" s="176">
        <v>0.25</v>
      </c>
      <c r="AW218" s="176">
        <v>0.0</v>
      </c>
      <c r="AX218" s="176">
        <v>0.067</v>
      </c>
      <c r="AY218" s="176">
        <v>1.0</v>
      </c>
      <c r="AZ218" s="176">
        <v>1.0</v>
      </c>
      <c r="BA218" s="256" t="s">
        <v>1972</v>
      </c>
      <c r="BB218" s="5"/>
      <c r="BC218" s="62"/>
      <c r="BE218" s="184"/>
      <c r="BF218" s="184"/>
      <c r="BG218" s="184"/>
      <c r="BH218" s="184"/>
      <c r="BI218" s="184"/>
      <c r="BJ218" s="184"/>
      <c r="BK218" s="81"/>
      <c r="BL218" s="280" t="s">
        <v>1561</v>
      </c>
      <c r="BM218" s="81"/>
      <c r="BN218" s="280" t="s">
        <v>1973</v>
      </c>
    </row>
    <row r="219">
      <c r="A219" s="176">
        <v>214.0</v>
      </c>
      <c r="B219" s="372" t="s">
        <v>1974</v>
      </c>
      <c r="C219" s="287" t="s">
        <v>1461</v>
      </c>
      <c r="D219" s="106">
        <v>5.5</v>
      </c>
      <c r="E219" s="106">
        <v>0.5</v>
      </c>
      <c r="F219" s="106">
        <v>0.1</v>
      </c>
      <c r="G219" s="106"/>
      <c r="H219" s="246"/>
      <c r="I219" s="106">
        <v>0.05</v>
      </c>
      <c r="J219" s="258">
        <v>4.67</v>
      </c>
      <c r="K219" s="258">
        <v>0.8</v>
      </c>
      <c r="L219" s="258">
        <v>0.2</v>
      </c>
      <c r="M219" s="258">
        <v>0.0</v>
      </c>
      <c r="N219" s="269"/>
      <c r="O219" s="258">
        <v>0.05</v>
      </c>
      <c r="P219" s="180">
        <v>1.0</v>
      </c>
      <c r="Q219" s="180">
        <v>1.0</v>
      </c>
      <c r="R219" s="5"/>
      <c r="S219" s="176">
        <v>0.08</v>
      </c>
      <c r="T219" s="176">
        <v>0.02</v>
      </c>
      <c r="U219" s="176">
        <v>0.0</v>
      </c>
      <c r="V219" s="176">
        <v>0.0</v>
      </c>
      <c r="W219" s="5"/>
      <c r="X219" s="184"/>
      <c r="Y219" s="176">
        <v>0.083</v>
      </c>
      <c r="Z219" s="184"/>
      <c r="AA219" s="184"/>
      <c r="AB219" s="184"/>
      <c r="AC219" s="184"/>
      <c r="AD219" s="5"/>
      <c r="AE219" s="176">
        <v>0.19</v>
      </c>
      <c r="AF219" s="184"/>
      <c r="AG219" s="184"/>
      <c r="AH219" s="184"/>
      <c r="AI219" s="184"/>
      <c r="AJ219" s="184"/>
      <c r="AK219" s="5"/>
      <c r="AL219" s="184">
        <f t="shared" ref="AL219:AM219" si="642">ROUND(E219*(5/12)+K219*(5/12)+S219+X219-AE219,2)</f>
        <v>0.43</v>
      </c>
      <c r="AM219" s="184">
        <f t="shared" si="642"/>
        <v>0.23</v>
      </c>
      <c r="AN219" s="184">
        <f t="shared" si="339"/>
        <v>0</v>
      </c>
      <c r="AO219" s="184">
        <f t="shared" ref="AO219:AP219" si="643">ROUND(H219*(5/12)+N219*(5/12)+U219+Z219-AG219,2)</f>
        <v>0</v>
      </c>
      <c r="AP219" s="184">
        <f t="shared" si="643"/>
        <v>0.04</v>
      </c>
      <c r="AQ219" s="184">
        <f t="shared" ref="AQ219:AR219" si="644">P219+AB219-AI219</f>
        <v>1</v>
      </c>
      <c r="AR219" s="184">
        <f t="shared" si="644"/>
        <v>1</v>
      </c>
      <c r="AS219" s="5"/>
      <c r="AT219" s="176">
        <v>0.5</v>
      </c>
      <c r="AU219" s="176">
        <v>0.03</v>
      </c>
      <c r="AV219" s="176">
        <v>0.0</v>
      </c>
      <c r="AW219" s="176">
        <v>0.0</v>
      </c>
      <c r="AX219" s="176">
        <v>0.0</v>
      </c>
      <c r="AY219" s="176">
        <v>1.0</v>
      </c>
      <c r="AZ219" s="176">
        <v>1.0</v>
      </c>
      <c r="BA219" s="180" t="s">
        <v>1975</v>
      </c>
      <c r="BB219" s="5"/>
      <c r="BC219" s="62"/>
      <c r="BE219" s="402">
        <v>0.5</v>
      </c>
      <c r="BF219" s="184"/>
      <c r="BG219" s="184"/>
      <c r="BH219" s="184"/>
      <c r="BI219" s="184"/>
      <c r="BJ219" s="184"/>
      <c r="BK219" s="280" t="s">
        <v>1683</v>
      </c>
      <c r="BL219" s="280" t="s">
        <v>1561</v>
      </c>
      <c r="BM219" s="81"/>
      <c r="BN219" s="81"/>
    </row>
    <row r="220">
      <c r="A220" s="176">
        <v>215.0</v>
      </c>
      <c r="B220" s="372" t="s">
        <v>1976</v>
      </c>
      <c r="C220" s="287" t="s">
        <v>1461</v>
      </c>
      <c r="D220" s="106">
        <v>4.5</v>
      </c>
      <c r="E220" s="106">
        <v>1.0</v>
      </c>
      <c r="F220" s="106">
        <v>0.1</v>
      </c>
      <c r="H220" s="246"/>
      <c r="I220" s="106">
        <v>0.05</v>
      </c>
      <c r="J220" s="258">
        <v>4.67</v>
      </c>
      <c r="K220" s="258">
        <v>0.5</v>
      </c>
      <c r="L220" s="258">
        <v>0.1</v>
      </c>
      <c r="M220" s="258">
        <v>0.2</v>
      </c>
      <c r="N220" s="269"/>
      <c r="O220" s="258">
        <v>0.05</v>
      </c>
      <c r="P220" s="180">
        <v>1.0</v>
      </c>
      <c r="Q220" s="180">
        <v>1.0</v>
      </c>
      <c r="R220" s="5"/>
      <c r="S220" s="176">
        <v>0.12</v>
      </c>
      <c r="T220" s="176">
        <v>0.02</v>
      </c>
      <c r="U220" s="176">
        <v>0.0</v>
      </c>
      <c r="V220" s="176">
        <v>0.0</v>
      </c>
      <c r="W220" s="5"/>
      <c r="X220" s="184"/>
      <c r="Y220" s="176">
        <v>0.083</v>
      </c>
      <c r="Z220" s="184"/>
      <c r="AA220" s="184"/>
      <c r="AB220" s="184"/>
      <c r="AC220" s="184"/>
      <c r="AD220" s="5"/>
      <c r="AE220" s="176">
        <v>0.17</v>
      </c>
      <c r="AF220" s="184"/>
      <c r="AG220" s="184"/>
      <c r="AH220" s="184"/>
      <c r="AI220" s="184"/>
      <c r="AJ220" s="184"/>
      <c r="AK220" s="5"/>
      <c r="AL220" s="184">
        <f t="shared" ref="AL220:AM220" si="645">ROUND(E220*(5/12)+K220*(5/12)+S220+X220-AE220,2)</f>
        <v>0.58</v>
      </c>
      <c r="AM220" s="184">
        <f t="shared" si="645"/>
        <v>0.19</v>
      </c>
      <c r="AN220" s="184">
        <f t="shared" si="339"/>
        <v>0.08</v>
      </c>
      <c r="AO220" s="184">
        <f t="shared" ref="AO220:AP220" si="646">ROUND(H220*(5/12)+N220*(5/12)+U220+Z220-AG220,2)</f>
        <v>0</v>
      </c>
      <c r="AP220" s="184">
        <f t="shared" si="646"/>
        <v>0.04</v>
      </c>
      <c r="AQ220" s="184">
        <f t="shared" ref="AQ220:AR220" si="647">P220+AB220-AI220</f>
        <v>1</v>
      </c>
      <c r="AR220" s="184">
        <f t="shared" si="647"/>
        <v>1</v>
      </c>
      <c r="AS220" s="5"/>
      <c r="AT220" s="176">
        <v>0.6</v>
      </c>
      <c r="AU220" s="176">
        <v>0.0</v>
      </c>
      <c r="AV220" s="176">
        <v>0.0</v>
      </c>
      <c r="AW220" s="176">
        <v>0.0</v>
      </c>
      <c r="AX220" s="176">
        <v>0.0</v>
      </c>
      <c r="AY220" s="176">
        <v>1.0</v>
      </c>
      <c r="AZ220" s="176">
        <v>1.0</v>
      </c>
      <c r="BA220" s="180" t="s">
        <v>1977</v>
      </c>
      <c r="BB220" s="5"/>
      <c r="BC220" s="62"/>
      <c r="BE220" s="184"/>
      <c r="BF220" s="184"/>
      <c r="BG220" s="184"/>
      <c r="BH220" s="184"/>
      <c r="BI220" s="184"/>
      <c r="BJ220" s="184"/>
      <c r="BK220" s="81"/>
      <c r="BL220" s="280" t="s">
        <v>1561</v>
      </c>
      <c r="BM220" s="81"/>
      <c r="BN220" s="81"/>
    </row>
    <row r="221">
      <c r="A221" s="176">
        <v>216.0</v>
      </c>
      <c r="B221" s="372" t="s">
        <v>1978</v>
      </c>
      <c r="C221" s="287" t="s">
        <v>1461</v>
      </c>
      <c r="D221" s="106">
        <v>4.5</v>
      </c>
      <c r="E221" s="106">
        <v>0.2</v>
      </c>
      <c r="F221" s="106">
        <v>0.1</v>
      </c>
      <c r="G221" s="403"/>
      <c r="H221" s="246"/>
      <c r="I221" s="106">
        <v>0.05</v>
      </c>
      <c r="J221" s="258">
        <v>4.16</v>
      </c>
      <c r="K221" s="258">
        <v>0.5</v>
      </c>
      <c r="L221" s="258">
        <v>0.1</v>
      </c>
      <c r="M221" s="258">
        <v>0.2</v>
      </c>
      <c r="N221" s="258">
        <v>0.275</v>
      </c>
      <c r="O221" s="258">
        <v>0.05</v>
      </c>
      <c r="P221" s="180">
        <v>1.0</v>
      </c>
      <c r="Q221" s="180">
        <v>1.0</v>
      </c>
      <c r="R221" s="5"/>
      <c r="S221" s="176">
        <v>0.07</v>
      </c>
      <c r="T221" s="176">
        <v>0.02</v>
      </c>
      <c r="U221" s="176">
        <v>0.0</v>
      </c>
      <c r="V221" s="176">
        <v>0.0</v>
      </c>
      <c r="W221" s="5"/>
      <c r="X221" s="184"/>
      <c r="Y221" s="176">
        <v>0.083</v>
      </c>
      <c r="Z221" s="184"/>
      <c r="AA221" s="184"/>
      <c r="AB221" s="184"/>
      <c r="AC221" s="184"/>
      <c r="AD221" s="5"/>
      <c r="AE221" s="176">
        <v>0.23</v>
      </c>
      <c r="AF221" s="184"/>
      <c r="AG221" s="184"/>
      <c r="AH221" s="184"/>
      <c r="AI221" s="184"/>
      <c r="AJ221" s="184"/>
      <c r="AK221" s="5"/>
      <c r="AL221" s="184">
        <f t="shared" ref="AL221:AM221" si="648">ROUND(E221*(5/12)+K221*(5/12)+S221+X221-AE221,2)</f>
        <v>0.13</v>
      </c>
      <c r="AM221" s="184">
        <f t="shared" si="648"/>
        <v>0.19</v>
      </c>
      <c r="AN221" s="184">
        <f t="shared" si="339"/>
        <v>0.08</v>
      </c>
      <c r="AO221" s="184">
        <f t="shared" ref="AO221:AP221" si="649">ROUND(H221*(5/12)+N221*(5/12)+U221+Z221-AG221,2)</f>
        <v>0.11</v>
      </c>
      <c r="AP221" s="184">
        <f t="shared" si="649"/>
        <v>0.04</v>
      </c>
      <c r="AQ221" s="184">
        <f t="shared" ref="AQ221:AR221" si="650">P221+AB221-AI221</f>
        <v>1</v>
      </c>
      <c r="AR221" s="184">
        <f t="shared" si="650"/>
        <v>1</v>
      </c>
      <c r="AS221" s="5"/>
      <c r="AT221" s="176">
        <v>0.4</v>
      </c>
      <c r="AU221" s="176">
        <v>0.0</v>
      </c>
      <c r="AV221" s="176">
        <v>0.0</v>
      </c>
      <c r="AW221" s="176">
        <v>0.165</v>
      </c>
      <c r="AX221" s="176">
        <v>0.0</v>
      </c>
      <c r="AY221" s="176">
        <v>1.0</v>
      </c>
      <c r="AZ221" s="176">
        <v>1.0</v>
      </c>
      <c r="BA221" s="180" t="s">
        <v>1979</v>
      </c>
      <c r="BB221" s="5"/>
      <c r="BC221" s="62"/>
      <c r="BD221" s="27"/>
      <c r="BE221" s="184"/>
      <c r="BF221" s="184"/>
      <c r="BG221" s="184"/>
      <c r="BH221" s="184"/>
      <c r="BI221" s="184"/>
      <c r="BJ221" s="184"/>
      <c r="BK221" s="311"/>
      <c r="BL221" s="280" t="s">
        <v>1561</v>
      </c>
      <c r="BM221" s="311"/>
      <c r="BN221" s="311"/>
    </row>
    <row r="222">
      <c r="A222" s="176">
        <v>217.0</v>
      </c>
      <c r="B222" s="372" t="s">
        <v>1980</v>
      </c>
      <c r="C222" s="287" t="s">
        <v>1461</v>
      </c>
      <c r="D222" s="106">
        <v>5.68</v>
      </c>
      <c r="E222" s="106">
        <v>1.0</v>
      </c>
      <c r="F222" s="106">
        <v>0.1</v>
      </c>
      <c r="G222" s="106">
        <v>0.3</v>
      </c>
      <c r="H222" s="246"/>
      <c r="I222" s="106">
        <v>0.05</v>
      </c>
      <c r="J222" s="258">
        <v>5.41</v>
      </c>
      <c r="K222" s="258">
        <v>0.5</v>
      </c>
      <c r="L222" s="258">
        <v>0.1</v>
      </c>
      <c r="M222" s="258">
        <v>0.3</v>
      </c>
      <c r="N222" s="258">
        <v>0.275</v>
      </c>
      <c r="O222" s="258">
        <v>0.05</v>
      </c>
      <c r="P222" s="180">
        <v>1.0</v>
      </c>
      <c r="Q222" s="180">
        <v>1.0</v>
      </c>
      <c r="R222" s="5"/>
      <c r="S222" s="176">
        <v>0.05</v>
      </c>
      <c r="T222" s="176">
        <v>0.02</v>
      </c>
      <c r="U222" s="176">
        <v>0.0</v>
      </c>
      <c r="V222" s="176">
        <v>0.0</v>
      </c>
      <c r="W222" s="5"/>
      <c r="X222" s="184"/>
      <c r="Y222" s="176">
        <v>0.083</v>
      </c>
      <c r="Z222" s="184"/>
      <c r="AA222" s="184"/>
      <c r="AB222" s="184"/>
      <c r="AC222" s="184"/>
      <c r="AD222" s="5"/>
      <c r="AE222" s="176">
        <v>0.01</v>
      </c>
      <c r="AF222" s="184"/>
      <c r="AG222" s="184"/>
      <c r="AH222" s="184"/>
      <c r="AI222" s="184"/>
      <c r="AJ222" s="184"/>
      <c r="AK222" s="5"/>
      <c r="AL222" s="184">
        <f t="shared" ref="AL222:AM222" si="651">ROUND(E222*(5/12)+K222*(5/12)+S222+X222-AE222,2)</f>
        <v>0.67</v>
      </c>
      <c r="AM222" s="184">
        <f t="shared" si="651"/>
        <v>0.19</v>
      </c>
      <c r="AN222" s="184">
        <f t="shared" si="339"/>
        <v>0.25</v>
      </c>
      <c r="AO222" s="184">
        <f t="shared" ref="AO222:AP222" si="652">ROUND(H222*(5/12)+N222*(5/12)+U222+Z222-AG222,2)</f>
        <v>0.11</v>
      </c>
      <c r="AP222" s="184">
        <f t="shared" si="652"/>
        <v>0.04</v>
      </c>
      <c r="AQ222" s="184">
        <f t="shared" ref="AQ222:AR222" si="653">P222+AB222-AI222</f>
        <v>1</v>
      </c>
      <c r="AR222" s="184">
        <f t="shared" si="653"/>
        <v>1</v>
      </c>
      <c r="AS222" s="5"/>
      <c r="AT222" s="176">
        <v>1.5</v>
      </c>
      <c r="AU222" s="176">
        <v>0.193</v>
      </c>
      <c r="AV222" s="176">
        <v>0.3</v>
      </c>
      <c r="AW222" s="176">
        <v>0.165</v>
      </c>
      <c r="AX222" s="176">
        <v>0.04</v>
      </c>
      <c r="AY222" s="176">
        <v>1.0</v>
      </c>
      <c r="AZ222" s="176">
        <v>1.0</v>
      </c>
      <c r="BA222" s="95" t="s">
        <v>1981</v>
      </c>
      <c r="BB222" s="5"/>
      <c r="BC222" s="62"/>
      <c r="BE222" s="184"/>
      <c r="BF222" s="184"/>
      <c r="BG222" s="184"/>
      <c r="BH222" s="184"/>
      <c r="BI222" s="184"/>
      <c r="BJ222" s="184"/>
      <c r="BK222" s="81"/>
      <c r="BL222" s="280" t="s">
        <v>1561</v>
      </c>
      <c r="BM222" s="81"/>
      <c r="BN222" s="81"/>
    </row>
    <row r="223">
      <c r="A223" s="176">
        <v>218.0</v>
      </c>
      <c r="B223" s="372" t="s">
        <v>1982</v>
      </c>
      <c r="C223" s="287" t="s">
        <v>1461</v>
      </c>
      <c r="D223" s="106">
        <v>5.0</v>
      </c>
      <c r="E223" s="106">
        <v>0.5</v>
      </c>
      <c r="F223" s="106">
        <v>0.1</v>
      </c>
      <c r="G223" s="403"/>
      <c r="H223" s="403"/>
      <c r="I223" s="106">
        <v>0.05</v>
      </c>
      <c r="J223" s="258">
        <v>4.33</v>
      </c>
      <c r="K223" s="269"/>
      <c r="L223" s="258">
        <v>0.1</v>
      </c>
      <c r="M223" s="269"/>
      <c r="N223" s="269"/>
      <c r="O223" s="258">
        <v>0.05</v>
      </c>
      <c r="P223" s="180">
        <v>1.0</v>
      </c>
      <c r="Q223" s="180">
        <v>1.0</v>
      </c>
      <c r="R223" s="5"/>
      <c r="S223" s="176">
        <v>0.08</v>
      </c>
      <c r="T223" s="176">
        <v>0.02</v>
      </c>
      <c r="U223" s="176">
        <v>0.08</v>
      </c>
      <c r="V223" s="176">
        <v>0.0</v>
      </c>
      <c r="W223" s="5"/>
      <c r="X223" s="176">
        <v>0.19</v>
      </c>
      <c r="Y223" s="176">
        <v>0.083</v>
      </c>
      <c r="Z223" s="176">
        <v>0.38</v>
      </c>
      <c r="AA223" s="184"/>
      <c r="AB223" s="184"/>
      <c r="AC223" s="184"/>
      <c r="AD223" s="5"/>
      <c r="AE223" s="176"/>
      <c r="AF223" s="184"/>
      <c r="AG223" s="184"/>
      <c r="AH223" s="184"/>
      <c r="AI223" s="184"/>
      <c r="AJ223" s="184"/>
      <c r="AK223" s="5"/>
      <c r="AL223" s="184">
        <f t="shared" ref="AL223:AM223" si="654">ROUND(E223*(5/12)+K223*(5/12)+S223+X223-AE223,2)</f>
        <v>0.48</v>
      </c>
      <c r="AM223" s="184">
        <f t="shared" si="654"/>
        <v>0.19</v>
      </c>
      <c r="AN223" s="184">
        <f t="shared" si="339"/>
        <v>0</v>
      </c>
      <c r="AO223" s="184">
        <f t="shared" ref="AO223:AP223" si="655">ROUND(H223*(5/12)+N223*(5/12)+U223+Z223-AG223,2)</f>
        <v>0.46</v>
      </c>
      <c r="AP223" s="184">
        <f t="shared" si="655"/>
        <v>0.04</v>
      </c>
      <c r="AQ223" s="184">
        <f t="shared" ref="AQ223:AR223" si="656">P223+AB223-AI223</f>
        <v>1</v>
      </c>
      <c r="AR223" s="184">
        <f t="shared" si="656"/>
        <v>1</v>
      </c>
      <c r="AS223" s="5"/>
      <c r="AT223" s="176">
        <v>1.0</v>
      </c>
      <c r="AU223" s="176">
        <v>0.0</v>
      </c>
      <c r="AV223" s="176">
        <v>0.0</v>
      </c>
      <c r="AW223" s="176">
        <v>0.0</v>
      </c>
      <c r="AX223" s="176">
        <v>0.0</v>
      </c>
      <c r="AY223" s="176">
        <v>1.0</v>
      </c>
      <c r="AZ223" s="176">
        <v>1.0</v>
      </c>
      <c r="BA223" s="180" t="s">
        <v>1983</v>
      </c>
      <c r="BB223" s="5"/>
      <c r="BC223" s="62"/>
      <c r="BE223" s="184"/>
      <c r="BF223" s="184"/>
      <c r="BG223" s="184"/>
      <c r="BH223" s="184"/>
      <c r="BI223" s="184"/>
      <c r="BJ223" s="184"/>
      <c r="BK223" s="81"/>
      <c r="BL223" s="280" t="s">
        <v>1561</v>
      </c>
      <c r="BM223" s="81"/>
      <c r="BN223" s="81"/>
    </row>
    <row r="224">
      <c r="A224" s="176">
        <v>219.0</v>
      </c>
      <c r="B224" s="372" t="s">
        <v>280</v>
      </c>
      <c r="C224" s="287" t="s">
        <v>1461</v>
      </c>
      <c r="D224" s="106">
        <v>3.16</v>
      </c>
      <c r="E224" s="106">
        <v>0.7</v>
      </c>
      <c r="F224" s="106">
        <v>0.1</v>
      </c>
      <c r="G224" s="403"/>
      <c r="H224" s="246"/>
      <c r="I224" s="106">
        <v>0.05</v>
      </c>
      <c r="J224" s="258">
        <v>3.66</v>
      </c>
      <c r="K224" s="258">
        <v>0.4</v>
      </c>
      <c r="L224" s="269"/>
      <c r="M224" s="269"/>
      <c r="N224" s="269"/>
      <c r="O224" s="258">
        <v>0.05</v>
      </c>
      <c r="P224" s="180">
        <v>1.0</v>
      </c>
      <c r="Q224" s="180">
        <v>1.0</v>
      </c>
      <c r="R224" s="5"/>
      <c r="S224" s="176">
        <v>0.21</v>
      </c>
      <c r="T224" s="176">
        <v>0.02</v>
      </c>
      <c r="U224" s="176">
        <v>0.0</v>
      </c>
      <c r="V224" s="176">
        <v>0.0</v>
      </c>
      <c r="W224" s="5"/>
      <c r="X224" s="176">
        <v>1.0</v>
      </c>
      <c r="Y224" s="176">
        <v>0.083</v>
      </c>
      <c r="Z224" s="184"/>
      <c r="AA224" s="184"/>
      <c r="AB224" s="176">
        <v>2.0</v>
      </c>
      <c r="AC224" s="176">
        <v>2.0</v>
      </c>
      <c r="AD224" s="5"/>
      <c r="AE224" s="184"/>
      <c r="AF224" s="184"/>
      <c r="AG224" s="184"/>
      <c r="AH224" s="184"/>
      <c r="AI224" s="184"/>
      <c r="AJ224" s="184"/>
      <c r="AK224" s="5"/>
      <c r="AL224" s="184">
        <f t="shared" ref="AL224:AM224" si="657">ROUND(E224*(5/12)+K224*(5/12)+S224+X224-AE224,2)</f>
        <v>1.67</v>
      </c>
      <c r="AM224" s="184">
        <f t="shared" si="657"/>
        <v>0.14</v>
      </c>
      <c r="AN224" s="184">
        <f t="shared" si="339"/>
        <v>0</v>
      </c>
      <c r="AO224" s="184">
        <f t="shared" ref="AO224:AP224" si="658">ROUND(H224*(5/12)+N224*(5/12)+U224+Z224-AG224,2)</f>
        <v>0</v>
      </c>
      <c r="AP224" s="184">
        <f t="shared" si="658"/>
        <v>0.04</v>
      </c>
      <c r="AQ224" s="184">
        <f t="shared" ref="AQ224:AR224" si="659">P224+AB224-AI224</f>
        <v>3</v>
      </c>
      <c r="AR224" s="184">
        <f t="shared" si="659"/>
        <v>3</v>
      </c>
      <c r="AS224" s="5"/>
      <c r="AT224" s="176">
        <v>0.0</v>
      </c>
      <c r="AU224" s="176">
        <v>0.0</v>
      </c>
      <c r="AV224" s="176">
        <v>0.0</v>
      </c>
      <c r="AW224" s="176">
        <v>0.0</v>
      </c>
      <c r="AX224" s="176">
        <v>0.0</v>
      </c>
      <c r="AY224" s="176">
        <v>0.0</v>
      </c>
      <c r="AZ224" s="176">
        <v>0.0</v>
      </c>
      <c r="BA224" s="126" t="s">
        <v>1984</v>
      </c>
      <c r="BB224" s="5"/>
      <c r="BC224" s="62"/>
      <c r="BE224" s="184"/>
      <c r="BF224" s="184"/>
      <c r="BG224" s="184"/>
      <c r="BH224" s="184"/>
      <c r="BI224" s="184"/>
      <c r="BJ224" s="184"/>
      <c r="BK224" s="81"/>
      <c r="BL224" s="81"/>
      <c r="BM224" s="81"/>
      <c r="BN224" s="81"/>
    </row>
    <row r="225">
      <c r="A225" s="176">
        <v>220.0</v>
      </c>
      <c r="B225" s="400" t="s">
        <v>1985</v>
      </c>
      <c r="C225" s="287" t="s">
        <v>1461</v>
      </c>
      <c r="D225" s="106">
        <v>4.0</v>
      </c>
      <c r="E225" s="106">
        <v>0.5</v>
      </c>
      <c r="F225" s="106">
        <v>0.1</v>
      </c>
      <c r="G225" s="403"/>
      <c r="H225" s="246"/>
      <c r="I225" s="106">
        <v>0.05</v>
      </c>
      <c r="J225" s="278"/>
      <c r="K225" s="278"/>
      <c r="L225" s="278"/>
      <c r="M225" s="278"/>
      <c r="N225" s="269"/>
      <c r="O225" s="269"/>
      <c r="P225" s="180">
        <v>1.0</v>
      </c>
      <c r="Q225" s="180">
        <v>1.0</v>
      </c>
      <c r="R225" s="5"/>
      <c r="S225" s="176">
        <v>0.1</v>
      </c>
      <c r="T225" s="176">
        <v>0.02</v>
      </c>
      <c r="U225" s="176">
        <v>0.0</v>
      </c>
      <c r="V225" s="176">
        <v>0.0</v>
      </c>
      <c r="W225" s="5"/>
      <c r="X225" s="176">
        <v>0.36</v>
      </c>
      <c r="Y225" s="176">
        <v>0.083</v>
      </c>
      <c r="Z225" s="184"/>
      <c r="AA225" s="184"/>
      <c r="AB225" s="176">
        <v>1.0</v>
      </c>
      <c r="AC225" s="176">
        <v>2.0</v>
      </c>
      <c r="AD225" s="5"/>
      <c r="AE225" s="184"/>
      <c r="AF225" s="184"/>
      <c r="AG225" s="184"/>
      <c r="AH225" s="184"/>
      <c r="AI225" s="184"/>
      <c r="AJ225" s="184"/>
      <c r="AK225" s="5"/>
      <c r="AL225" s="184">
        <f t="shared" ref="AL225:AM225" si="660">ROUND(E225*(5/12)+K225*(5/12)+S225+X225-AE225,2)</f>
        <v>0.67</v>
      </c>
      <c r="AM225" s="184">
        <f t="shared" si="660"/>
        <v>0.14</v>
      </c>
      <c r="AN225" s="184">
        <f t="shared" si="339"/>
        <v>0</v>
      </c>
      <c r="AO225" s="184">
        <f t="shared" ref="AO225:AP225" si="661">ROUND(H225*(5/12)+N225*(5/12)+U225+Z225-AG225,2)</f>
        <v>0</v>
      </c>
      <c r="AP225" s="184">
        <f t="shared" si="661"/>
        <v>0.02</v>
      </c>
      <c r="AQ225" s="184">
        <f t="shared" ref="AQ225:AR225" si="662">P225+AB225-AI225</f>
        <v>2</v>
      </c>
      <c r="AR225" s="184">
        <f t="shared" si="662"/>
        <v>3</v>
      </c>
      <c r="AS225" s="5"/>
      <c r="AT225" s="176"/>
      <c r="AU225" s="176"/>
      <c r="AV225" s="176"/>
      <c r="AW225" s="176"/>
      <c r="AX225" s="176"/>
      <c r="AY225" s="176"/>
      <c r="AZ225" s="176"/>
      <c r="BA225" s="95"/>
      <c r="BB225" s="5"/>
      <c r="BC225" s="62"/>
      <c r="BE225" s="184"/>
      <c r="BF225" s="184"/>
      <c r="BG225" s="184"/>
      <c r="BH225" s="184"/>
      <c r="BI225" s="184"/>
      <c r="BJ225" s="184"/>
      <c r="BK225" s="81"/>
      <c r="BL225" s="81"/>
      <c r="BM225" s="81"/>
      <c r="BN225" s="81"/>
    </row>
    <row r="226">
      <c r="A226" s="176">
        <v>221.0</v>
      </c>
      <c r="B226" s="404" t="s">
        <v>1986</v>
      </c>
      <c r="C226" s="287" t="s">
        <v>1461</v>
      </c>
      <c r="D226" s="106">
        <v>5.0</v>
      </c>
      <c r="E226" s="106">
        <v>0.0</v>
      </c>
      <c r="F226" s="106">
        <v>0.1</v>
      </c>
      <c r="G226" s="106">
        <v>0.3</v>
      </c>
      <c r="H226" s="106">
        <v>0.7</v>
      </c>
      <c r="I226" s="106">
        <v>0.05</v>
      </c>
      <c r="J226" s="278"/>
      <c r="K226" s="278"/>
      <c r="L226" s="278"/>
      <c r="M226" s="278"/>
      <c r="N226" s="278"/>
      <c r="O226" s="269"/>
      <c r="P226" s="180">
        <v>1.0</v>
      </c>
      <c r="Q226" s="180">
        <v>1.0</v>
      </c>
      <c r="R226" s="5"/>
      <c r="S226" s="176">
        <v>0.05</v>
      </c>
      <c r="T226" s="176">
        <v>0.02</v>
      </c>
      <c r="U226" s="176">
        <v>0.08</v>
      </c>
      <c r="V226" s="176">
        <v>0.0</v>
      </c>
      <c r="W226" s="5"/>
      <c r="X226" s="176">
        <v>1.05</v>
      </c>
      <c r="Y226" s="176">
        <v>0.083</v>
      </c>
      <c r="Z226" s="176">
        <v>0.38</v>
      </c>
      <c r="AA226" s="184"/>
      <c r="AB226" s="176">
        <v>1.125</v>
      </c>
      <c r="AC226" s="176"/>
      <c r="AD226" s="5"/>
      <c r="AE226" s="176"/>
      <c r="AF226" s="184"/>
      <c r="AG226" s="184"/>
      <c r="AH226" s="184"/>
      <c r="AI226" s="184"/>
      <c r="AJ226" s="184"/>
      <c r="AK226" s="5"/>
      <c r="AL226" s="184">
        <f t="shared" ref="AL226:AM226" si="663">ROUND(E226*(5/12)+K226*(5/12)+S226+X226-AE226,2)</f>
        <v>1.1</v>
      </c>
      <c r="AM226" s="184">
        <f t="shared" si="663"/>
        <v>0.14</v>
      </c>
      <c r="AN226" s="184">
        <f t="shared" si="339"/>
        <v>0.13</v>
      </c>
      <c r="AO226" s="184">
        <f t="shared" ref="AO226:AP226" si="664">ROUND(H226*(5/12)+N226*(5/12)+U226+Z226-AG226,2)</f>
        <v>0.75</v>
      </c>
      <c r="AP226" s="184">
        <f t="shared" si="664"/>
        <v>0.02</v>
      </c>
      <c r="AQ226" s="184">
        <f t="shared" ref="AQ226:AR226" si="665">P226+AB226-AI226</f>
        <v>2.125</v>
      </c>
      <c r="AR226" s="184">
        <f t="shared" si="665"/>
        <v>1</v>
      </c>
      <c r="AS226" s="5"/>
      <c r="AT226" s="176"/>
      <c r="AU226" s="176"/>
      <c r="AV226" s="176"/>
      <c r="AW226" s="176"/>
      <c r="AX226" s="176"/>
      <c r="AY226" s="176"/>
      <c r="AZ226" s="176"/>
      <c r="BA226" s="180"/>
      <c r="BB226" s="5"/>
      <c r="BC226" s="62"/>
      <c r="BE226" s="184"/>
      <c r="BF226" s="184"/>
      <c r="BG226" s="184"/>
      <c r="BH226" s="184"/>
      <c r="BI226" s="184"/>
      <c r="BJ226" s="184"/>
      <c r="BK226" s="81"/>
      <c r="BL226" s="81"/>
      <c r="BM226" s="81"/>
      <c r="BN226" s="280" t="s">
        <v>1987</v>
      </c>
    </row>
    <row r="227">
      <c r="A227" s="176">
        <v>222.0</v>
      </c>
      <c r="B227" s="405" t="s">
        <v>1988</v>
      </c>
      <c r="C227" s="287" t="s">
        <v>1461</v>
      </c>
      <c r="D227" s="106">
        <v>3.66</v>
      </c>
      <c r="E227" s="106">
        <v>0.3</v>
      </c>
      <c r="F227" s="106">
        <v>0.1</v>
      </c>
      <c r="G227" s="403"/>
      <c r="H227" s="246"/>
      <c r="I227" s="106">
        <v>0.05</v>
      </c>
      <c r="J227" s="258">
        <v>3.5</v>
      </c>
      <c r="K227" s="258">
        <v>0.5</v>
      </c>
      <c r="L227" s="269"/>
      <c r="M227" s="269"/>
      <c r="N227" s="269"/>
      <c r="O227" s="258">
        <v>0.05</v>
      </c>
      <c r="P227" s="180">
        <v>1.0</v>
      </c>
      <c r="Q227" s="180">
        <v>1.0</v>
      </c>
      <c r="R227" s="5"/>
      <c r="S227" s="176">
        <v>0.07</v>
      </c>
      <c r="T227" s="176">
        <v>0.02</v>
      </c>
      <c r="U227" s="176">
        <v>0.0</v>
      </c>
      <c r="V227" s="176">
        <v>0.0</v>
      </c>
      <c r="W227" s="5"/>
      <c r="X227" s="176">
        <v>0.34</v>
      </c>
      <c r="Y227" s="176">
        <v>0.143</v>
      </c>
      <c r="Z227" s="184"/>
      <c r="AA227" s="184"/>
      <c r="AB227" s="176">
        <v>2.78</v>
      </c>
      <c r="AC227" s="176">
        <v>2.78</v>
      </c>
      <c r="AD227" s="5"/>
      <c r="AE227" s="184"/>
      <c r="AF227" s="184"/>
      <c r="AG227" s="184"/>
      <c r="AH227" s="184"/>
      <c r="AI227" s="184"/>
      <c r="AJ227" s="184"/>
      <c r="AK227" s="5"/>
      <c r="AL227" s="184">
        <f t="shared" ref="AL227:AM227" si="666">ROUND(E227*(5/12)+K227*(5/12)+S227+X227-AE227,2)</f>
        <v>0.74</v>
      </c>
      <c r="AM227" s="184">
        <f t="shared" si="666"/>
        <v>0.2</v>
      </c>
      <c r="AN227" s="184">
        <f t="shared" si="339"/>
        <v>0</v>
      </c>
      <c r="AO227" s="184">
        <f t="shared" ref="AO227:AP227" si="667">ROUND(H227*(5/12)+N227*(5/12)+U227+Z227-AG227,2)</f>
        <v>0</v>
      </c>
      <c r="AP227" s="184">
        <f t="shared" si="667"/>
        <v>0.04</v>
      </c>
      <c r="AQ227" s="184">
        <f t="shared" ref="AQ227:AR227" si="668">P227+AB227-AI227</f>
        <v>3.78</v>
      </c>
      <c r="AR227" s="184">
        <f t="shared" si="668"/>
        <v>3.78</v>
      </c>
      <c r="AS227" s="5"/>
      <c r="AT227" s="176">
        <v>0.0</v>
      </c>
      <c r="AU227" s="176">
        <v>0.0</v>
      </c>
      <c r="AV227" s="176">
        <v>0.0</v>
      </c>
      <c r="AW227" s="176">
        <v>0.0</v>
      </c>
      <c r="AX227" s="176">
        <v>0.0</v>
      </c>
      <c r="AY227" s="176">
        <v>0.0</v>
      </c>
      <c r="AZ227" s="176">
        <v>0.0</v>
      </c>
      <c r="BA227" s="126" t="s">
        <v>1989</v>
      </c>
      <c r="BB227" s="5"/>
      <c r="BC227" s="62"/>
      <c r="BE227" s="184"/>
      <c r="BF227" s="184"/>
      <c r="BG227" s="184"/>
      <c r="BH227" s="184"/>
      <c r="BI227" s="184"/>
      <c r="BJ227" s="184"/>
      <c r="BK227" s="81"/>
      <c r="BL227" s="81"/>
      <c r="BM227" s="81"/>
      <c r="BN227" s="81"/>
    </row>
    <row r="228">
      <c r="A228" s="176">
        <v>223.0</v>
      </c>
      <c r="B228" s="372" t="s">
        <v>1990</v>
      </c>
      <c r="C228" s="287" t="s">
        <v>1461</v>
      </c>
      <c r="D228" s="106">
        <v>4.33</v>
      </c>
      <c r="E228" s="137"/>
      <c r="F228" s="106">
        <v>0.1</v>
      </c>
      <c r="G228" s="403"/>
      <c r="H228" s="246"/>
      <c r="I228" s="106">
        <v>0.05</v>
      </c>
      <c r="J228" s="258">
        <v>4.33</v>
      </c>
      <c r="K228" s="269"/>
      <c r="L228" s="258">
        <v>0.1</v>
      </c>
      <c r="M228" s="269"/>
      <c r="N228" s="269"/>
      <c r="O228" s="258">
        <v>0.05</v>
      </c>
      <c r="P228" s="180">
        <v>1.0</v>
      </c>
      <c r="Q228" s="180">
        <v>1.0</v>
      </c>
      <c r="R228" s="5"/>
      <c r="S228" s="176">
        <v>0.06</v>
      </c>
      <c r="T228" s="176">
        <v>0.02</v>
      </c>
      <c r="U228" s="176">
        <v>0.0</v>
      </c>
      <c r="V228" s="176">
        <v>0.0</v>
      </c>
      <c r="W228" s="5"/>
      <c r="X228" s="176">
        <v>0.37</v>
      </c>
      <c r="Y228" s="176">
        <v>0.083</v>
      </c>
      <c r="Z228" s="184"/>
      <c r="AA228" s="184"/>
      <c r="AB228" s="176">
        <v>1.0</v>
      </c>
      <c r="AC228" s="176">
        <v>1.0</v>
      </c>
      <c r="AD228" s="5"/>
      <c r="AE228" s="184"/>
      <c r="AF228" s="184"/>
      <c r="AG228" s="184"/>
      <c r="AH228" s="184"/>
      <c r="AI228" s="184"/>
      <c r="AJ228" s="184"/>
      <c r="AK228" s="5"/>
      <c r="AL228" s="184">
        <f t="shared" ref="AL228:AM228" si="669">ROUND(E228*(5/12)+K228*(5/12)+S228+X228-AE228,2)</f>
        <v>0.43</v>
      </c>
      <c r="AM228" s="184">
        <f t="shared" si="669"/>
        <v>0.19</v>
      </c>
      <c r="AN228" s="184">
        <f t="shared" si="339"/>
        <v>0</v>
      </c>
      <c r="AO228" s="184">
        <f t="shared" ref="AO228:AP228" si="670">ROUND(H228*(5/12)+N228*(5/12)+U228+Z228-AG228,2)</f>
        <v>0</v>
      </c>
      <c r="AP228" s="184">
        <f t="shared" si="670"/>
        <v>0.04</v>
      </c>
      <c r="AQ228" s="184">
        <f t="shared" ref="AQ228:AR228" si="671">P228+AB228-AI228</f>
        <v>2</v>
      </c>
      <c r="AR228" s="184">
        <f t="shared" si="671"/>
        <v>2</v>
      </c>
      <c r="AS228" s="5"/>
      <c r="AT228" s="176">
        <v>0.0</v>
      </c>
      <c r="AU228" s="176">
        <v>0.0</v>
      </c>
      <c r="AV228" s="176">
        <v>0.0</v>
      </c>
      <c r="AW228" s="176">
        <v>0.0</v>
      </c>
      <c r="AX228" s="176">
        <v>0.0</v>
      </c>
      <c r="AY228" s="176">
        <v>0.0</v>
      </c>
      <c r="AZ228" s="176">
        <v>0.0</v>
      </c>
      <c r="BA228" s="126" t="s">
        <v>1991</v>
      </c>
      <c r="BB228" s="5"/>
      <c r="BC228" s="62"/>
      <c r="BE228" s="184"/>
      <c r="BF228" s="184"/>
      <c r="BG228" s="184"/>
      <c r="BH228" s="184"/>
      <c r="BI228" s="184"/>
      <c r="BJ228" s="184"/>
      <c r="BK228" s="81"/>
      <c r="BL228" s="81"/>
      <c r="BM228" s="81"/>
      <c r="BN228" s="81"/>
    </row>
    <row r="229">
      <c r="A229" s="176">
        <v>224.0</v>
      </c>
      <c r="B229" s="400" t="s">
        <v>1992</v>
      </c>
      <c r="C229" s="287" t="s">
        <v>1461</v>
      </c>
      <c r="D229" s="106">
        <v>5.16</v>
      </c>
      <c r="E229" s="106">
        <v>0.0</v>
      </c>
      <c r="F229" s="106">
        <v>0.1</v>
      </c>
      <c r="G229" s="403"/>
      <c r="H229" s="246"/>
      <c r="I229" s="106">
        <v>0.05</v>
      </c>
      <c r="J229" s="278"/>
      <c r="K229" s="278"/>
      <c r="L229" s="278"/>
      <c r="M229" s="278"/>
      <c r="N229" s="269"/>
      <c r="O229" s="269"/>
      <c r="P229" s="180">
        <v>1.0</v>
      </c>
      <c r="Q229" s="180">
        <v>1.0</v>
      </c>
      <c r="R229" s="5"/>
      <c r="S229" s="176">
        <v>0.12</v>
      </c>
      <c r="T229" s="176">
        <v>0.02</v>
      </c>
      <c r="U229" s="176">
        <v>0.0</v>
      </c>
      <c r="V229" s="176">
        <v>0.0</v>
      </c>
      <c r="W229" s="5"/>
      <c r="X229" s="176">
        <v>0.33</v>
      </c>
      <c r="Y229" s="176">
        <v>0.083</v>
      </c>
      <c r="Z229" s="184"/>
      <c r="AA229" s="184"/>
      <c r="AB229" s="176">
        <v>1.0</v>
      </c>
      <c r="AC229" s="176">
        <v>1.0</v>
      </c>
      <c r="AD229" s="5"/>
      <c r="AE229" s="176"/>
      <c r="AF229" s="184"/>
      <c r="AG229" s="184"/>
      <c r="AH229" s="184"/>
      <c r="AI229" s="184"/>
      <c r="AJ229" s="184"/>
      <c r="AK229" s="5"/>
      <c r="AL229" s="184">
        <f t="shared" ref="AL229:AM229" si="672">ROUND(E229*(5/12)+K229*(5/12)+S229+X229-AE229,2)</f>
        <v>0.45</v>
      </c>
      <c r="AM229" s="184">
        <f t="shared" si="672"/>
        <v>0.14</v>
      </c>
      <c r="AN229" s="184">
        <f t="shared" si="339"/>
        <v>0</v>
      </c>
      <c r="AO229" s="184">
        <f t="shared" ref="AO229:AP229" si="673">ROUND(H229*(5/12)+N229*(5/12)+U229+Z229-AG229,2)</f>
        <v>0</v>
      </c>
      <c r="AP229" s="184">
        <f t="shared" si="673"/>
        <v>0.02</v>
      </c>
      <c r="AQ229" s="184">
        <f t="shared" ref="AQ229:AR229" si="674">P229+AB229-AI229</f>
        <v>2</v>
      </c>
      <c r="AR229" s="184">
        <f t="shared" si="674"/>
        <v>2</v>
      </c>
      <c r="AS229" s="5"/>
      <c r="AT229" s="176"/>
      <c r="AU229" s="176"/>
      <c r="AV229" s="176"/>
      <c r="AW229" s="176"/>
      <c r="AX229" s="176"/>
      <c r="AY229" s="176"/>
      <c r="AZ229" s="176"/>
      <c r="BA229" s="95"/>
      <c r="BB229" s="5"/>
      <c r="BC229" s="142"/>
      <c r="BE229" s="184"/>
      <c r="BF229" s="184"/>
      <c r="BG229" s="184"/>
      <c r="BH229" s="184"/>
      <c r="BI229" s="184"/>
      <c r="BJ229" s="184"/>
      <c r="BK229" s="81"/>
      <c r="BL229" s="81"/>
      <c r="BM229" s="81"/>
      <c r="BN229" s="81"/>
    </row>
    <row r="230">
      <c r="A230" s="406"/>
      <c r="B230" s="407"/>
      <c r="C230" s="408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6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6"/>
      <c r="BB230" s="5"/>
      <c r="BC230" s="7"/>
      <c r="BE230" s="5"/>
      <c r="BF230" s="5"/>
      <c r="BG230" s="5"/>
      <c r="BH230" s="5"/>
      <c r="BI230" s="5"/>
      <c r="BJ230" s="5"/>
    </row>
    <row r="231">
      <c r="A231" s="5"/>
      <c r="B231" s="150"/>
      <c r="C231" s="408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6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6"/>
      <c r="BB231" s="5"/>
      <c r="BC231" s="7"/>
      <c r="BE231" s="5"/>
      <c r="BF231" s="5"/>
      <c r="BG231" s="5"/>
      <c r="BH231" s="5"/>
      <c r="BI231" s="5"/>
      <c r="BJ231" s="5"/>
    </row>
    <row r="232">
      <c r="A232" s="5"/>
      <c r="B232" s="150"/>
      <c r="C232" s="408"/>
      <c r="D232" s="379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6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6"/>
      <c r="BB232" s="5"/>
      <c r="BC232" s="7"/>
      <c r="BE232" s="5"/>
      <c r="BF232" s="5"/>
      <c r="BG232" s="5"/>
      <c r="BH232" s="5"/>
      <c r="BI232" s="5"/>
      <c r="BJ232" s="5"/>
    </row>
    <row r="233">
      <c r="A233" s="5"/>
      <c r="B233" s="150"/>
      <c r="C233" s="151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6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6"/>
      <c r="BB233" s="5"/>
      <c r="BC233" s="7"/>
      <c r="BE233" s="5"/>
      <c r="BF233" s="5"/>
      <c r="BG233" s="5"/>
      <c r="BH233" s="5"/>
      <c r="BI233" s="5"/>
      <c r="BJ233" s="5"/>
    </row>
    <row r="234">
      <c r="A234" s="5"/>
      <c r="B234" s="150"/>
      <c r="C234" s="151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6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6"/>
      <c r="BB234" s="5"/>
      <c r="BC234" s="7"/>
      <c r="BE234" s="5"/>
      <c r="BF234" s="5"/>
      <c r="BG234" s="5"/>
      <c r="BH234" s="5"/>
      <c r="BI234" s="5"/>
      <c r="BJ234" s="5"/>
    </row>
    <row r="235">
      <c r="A235" s="5"/>
      <c r="B235" s="150"/>
      <c r="C235" s="151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6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6"/>
      <c r="BB235" s="5"/>
      <c r="BC235" s="7"/>
      <c r="BE235" s="5"/>
      <c r="BF235" s="5"/>
      <c r="BG235" s="5"/>
      <c r="BH235" s="5"/>
      <c r="BI235" s="5"/>
      <c r="BJ235" s="5"/>
    </row>
    <row r="236">
      <c r="A236" s="5"/>
      <c r="B236" s="150"/>
      <c r="C236" s="151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6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6"/>
      <c r="BB236" s="5"/>
      <c r="BC236" s="7"/>
      <c r="BE236" s="5"/>
      <c r="BF236" s="5"/>
      <c r="BG236" s="5"/>
      <c r="BH236" s="5"/>
      <c r="BI236" s="5"/>
      <c r="BJ236" s="5"/>
    </row>
    <row r="237">
      <c r="A237" s="5"/>
      <c r="B237" s="150"/>
      <c r="C237" s="151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6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6"/>
      <c r="BB237" s="5"/>
      <c r="BC237" s="7"/>
      <c r="BE237" s="5"/>
      <c r="BF237" s="5"/>
      <c r="BG237" s="5"/>
      <c r="BH237" s="5"/>
      <c r="BI237" s="5"/>
      <c r="BJ237" s="5"/>
    </row>
    <row r="238">
      <c r="A238" s="5"/>
      <c r="B238" s="150"/>
      <c r="C238" s="151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6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6"/>
      <c r="BB238" s="5"/>
      <c r="BC238" s="7"/>
      <c r="BE238" s="5"/>
      <c r="BF238" s="5"/>
      <c r="BG238" s="5"/>
      <c r="BH238" s="5"/>
      <c r="BI238" s="5"/>
      <c r="BJ238" s="5"/>
    </row>
    <row r="239">
      <c r="A239" s="5"/>
      <c r="B239" s="150"/>
      <c r="C239" s="151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6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6"/>
      <c r="BB239" s="5"/>
      <c r="BC239" s="7"/>
      <c r="BE239" s="5"/>
      <c r="BF239" s="5"/>
      <c r="BG239" s="5"/>
      <c r="BH239" s="5"/>
      <c r="BI239" s="5"/>
      <c r="BJ239" s="5"/>
    </row>
    <row r="240">
      <c r="A240" s="5"/>
      <c r="B240" s="150"/>
      <c r="C240" s="151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6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6"/>
      <c r="BB240" s="5"/>
      <c r="BC240" s="7"/>
      <c r="BE240" s="5"/>
      <c r="BF240" s="5"/>
      <c r="BG240" s="5"/>
      <c r="BH240" s="5"/>
      <c r="BI240" s="5"/>
      <c r="BJ240" s="5"/>
    </row>
    <row r="241">
      <c r="A241" s="5"/>
      <c r="B241" s="150"/>
      <c r="C241" s="151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6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6"/>
      <c r="BB241" s="5"/>
      <c r="BC241" s="7"/>
      <c r="BE241" s="5"/>
      <c r="BF241" s="5"/>
      <c r="BG241" s="5"/>
      <c r="BH241" s="5"/>
      <c r="BI241" s="5"/>
      <c r="BJ241" s="5"/>
    </row>
    <row r="242">
      <c r="A242" s="5"/>
      <c r="B242" s="150"/>
      <c r="C242" s="151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6"/>
      <c r="BB242" s="5"/>
      <c r="BC242" s="7"/>
      <c r="BE242" s="5"/>
      <c r="BF242" s="5"/>
      <c r="BG242" s="5"/>
      <c r="BH242" s="5"/>
      <c r="BI242" s="5"/>
      <c r="BJ242" s="5"/>
    </row>
    <row r="243">
      <c r="A243" s="5"/>
      <c r="B243" s="150"/>
      <c r="C243" s="151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6"/>
      <c r="BB243" s="5"/>
      <c r="BC243" s="7"/>
      <c r="BE243" s="5"/>
      <c r="BF243" s="5"/>
      <c r="BG243" s="5"/>
      <c r="BH243" s="5"/>
      <c r="BI243" s="5"/>
      <c r="BJ243" s="5"/>
    </row>
    <row r="244">
      <c r="A244" s="5"/>
      <c r="B244" s="150"/>
      <c r="C244" s="151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6"/>
      <c r="BB244" s="5"/>
      <c r="BC244" s="7"/>
      <c r="BE244" s="5"/>
      <c r="BF244" s="5"/>
      <c r="BG244" s="5"/>
      <c r="BH244" s="5"/>
      <c r="BI244" s="5"/>
      <c r="BJ244" s="5"/>
    </row>
    <row r="245">
      <c r="A245" s="5"/>
      <c r="B245" s="150"/>
      <c r="C245" s="151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6"/>
      <c r="BB245" s="5"/>
      <c r="BC245" s="7"/>
      <c r="BE245" s="5"/>
      <c r="BF245" s="5"/>
      <c r="BG245" s="5"/>
      <c r="BH245" s="5"/>
      <c r="BI245" s="5"/>
      <c r="BJ245" s="5"/>
    </row>
    <row r="246">
      <c r="A246" s="5"/>
      <c r="B246" s="150"/>
      <c r="C246" s="151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6"/>
      <c r="BB246" s="5"/>
      <c r="BC246" s="7"/>
      <c r="BE246" s="5"/>
      <c r="BF246" s="5"/>
      <c r="BG246" s="5"/>
      <c r="BH246" s="5"/>
      <c r="BI246" s="5"/>
      <c r="BJ246" s="5"/>
    </row>
    <row r="247">
      <c r="A247" s="5"/>
      <c r="B247" s="150"/>
      <c r="C247" s="151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6"/>
      <c r="BB247" s="5"/>
      <c r="BC247" s="7"/>
      <c r="BE247" s="5"/>
      <c r="BF247" s="5"/>
      <c r="BG247" s="5"/>
      <c r="BH247" s="5"/>
      <c r="BI247" s="5"/>
      <c r="BJ247" s="5"/>
    </row>
    <row r="248">
      <c r="A248" s="5"/>
      <c r="B248" s="150"/>
      <c r="C248" s="151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6"/>
      <c r="BB248" s="5"/>
      <c r="BC248" s="7"/>
      <c r="BE248" s="5"/>
      <c r="BF248" s="5"/>
      <c r="BG248" s="5"/>
      <c r="BH248" s="5"/>
      <c r="BI248" s="5"/>
      <c r="BJ248" s="5"/>
    </row>
    <row r="249">
      <c r="A249" s="5"/>
      <c r="B249" s="150"/>
      <c r="C249" s="151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6"/>
      <c r="BB249" s="5"/>
      <c r="BC249" s="7"/>
      <c r="BE249" s="5"/>
      <c r="BF249" s="5"/>
      <c r="BG249" s="5"/>
      <c r="BH249" s="5"/>
      <c r="BI249" s="5"/>
      <c r="BJ249" s="5"/>
    </row>
    <row r="250">
      <c r="A250" s="5"/>
      <c r="B250" s="150"/>
      <c r="C250" s="151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6"/>
      <c r="BB250" s="5"/>
      <c r="BC250" s="7"/>
      <c r="BE250" s="5"/>
      <c r="BF250" s="5"/>
      <c r="BG250" s="5"/>
      <c r="BH250" s="5"/>
      <c r="BI250" s="5"/>
      <c r="BJ250" s="5"/>
    </row>
    <row r="251">
      <c r="A251" s="5"/>
      <c r="B251" s="150"/>
      <c r="C251" s="151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6"/>
      <c r="BB251" s="5"/>
      <c r="BC251" s="7"/>
      <c r="BE251" s="5"/>
      <c r="BF251" s="5"/>
      <c r="BG251" s="5"/>
      <c r="BH251" s="5"/>
      <c r="BI251" s="5"/>
      <c r="BJ251" s="5"/>
    </row>
    <row r="252">
      <c r="A252" s="5"/>
      <c r="B252" s="150"/>
      <c r="C252" s="151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6"/>
      <c r="BB252" s="5"/>
      <c r="BC252" s="7"/>
      <c r="BE252" s="5"/>
      <c r="BF252" s="5"/>
      <c r="BG252" s="5"/>
      <c r="BH252" s="5"/>
      <c r="BI252" s="5"/>
      <c r="BJ252" s="5"/>
    </row>
    <row r="253">
      <c r="A253" s="5"/>
      <c r="B253" s="150"/>
      <c r="C253" s="151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6"/>
      <c r="BB253" s="5"/>
      <c r="BC253" s="7"/>
      <c r="BE253" s="5"/>
      <c r="BF253" s="5"/>
      <c r="BG253" s="5"/>
      <c r="BH253" s="5"/>
      <c r="BI253" s="5"/>
      <c r="BJ253" s="5"/>
    </row>
    <row r="254">
      <c r="A254" s="5"/>
      <c r="B254" s="150"/>
      <c r="C254" s="151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6"/>
      <c r="BB254" s="5"/>
      <c r="BC254" s="7"/>
      <c r="BE254" s="5"/>
      <c r="BF254" s="5"/>
      <c r="BG254" s="5"/>
      <c r="BH254" s="5"/>
      <c r="BI254" s="5"/>
      <c r="BJ254" s="5"/>
    </row>
    <row r="255">
      <c r="A255" s="5"/>
      <c r="B255" s="150"/>
      <c r="C255" s="151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6"/>
      <c r="BB255" s="5"/>
      <c r="BC255" s="7"/>
      <c r="BE255" s="5"/>
      <c r="BF255" s="5"/>
      <c r="BG255" s="5"/>
      <c r="BH255" s="5"/>
      <c r="BI255" s="5"/>
      <c r="BJ255" s="5"/>
    </row>
    <row r="256">
      <c r="A256" s="5"/>
      <c r="B256" s="150"/>
      <c r="C256" s="151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6"/>
      <c r="BB256" s="5"/>
      <c r="BC256" s="7"/>
      <c r="BE256" s="5"/>
      <c r="BF256" s="5"/>
      <c r="BG256" s="5"/>
      <c r="BH256" s="5"/>
      <c r="BI256" s="5"/>
      <c r="BJ256" s="5"/>
    </row>
    <row r="257">
      <c r="A257" s="5"/>
      <c r="B257" s="150"/>
      <c r="C257" s="151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6"/>
      <c r="BB257" s="5"/>
      <c r="BC257" s="7"/>
      <c r="BE257" s="5"/>
      <c r="BF257" s="5"/>
      <c r="BG257" s="5"/>
      <c r="BH257" s="5"/>
      <c r="BI257" s="5"/>
      <c r="BJ257" s="5"/>
    </row>
    <row r="258">
      <c r="A258" s="5"/>
      <c r="B258" s="150"/>
      <c r="C258" s="151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6"/>
      <c r="BB258" s="5"/>
      <c r="BC258" s="7"/>
      <c r="BE258" s="5"/>
      <c r="BF258" s="5"/>
      <c r="BG258" s="5"/>
      <c r="BH258" s="5"/>
      <c r="BI258" s="5"/>
      <c r="BJ258" s="5"/>
    </row>
    <row r="259">
      <c r="A259" s="5"/>
      <c r="B259" s="150"/>
      <c r="C259" s="151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6"/>
      <c r="BB259" s="5"/>
      <c r="BC259" s="7"/>
      <c r="BE259" s="5"/>
      <c r="BF259" s="5"/>
      <c r="BG259" s="5"/>
      <c r="BH259" s="5"/>
      <c r="BI259" s="5"/>
      <c r="BJ259" s="5"/>
    </row>
    <row r="260">
      <c r="A260" s="5"/>
      <c r="B260" s="150"/>
      <c r="C260" s="151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6"/>
      <c r="BB260" s="5"/>
      <c r="BC260" s="7"/>
      <c r="BE260" s="5"/>
      <c r="BF260" s="5"/>
      <c r="BG260" s="5"/>
      <c r="BH260" s="5"/>
      <c r="BI260" s="5"/>
      <c r="BJ260" s="5"/>
    </row>
    <row r="261">
      <c r="A261" s="5"/>
      <c r="B261" s="150"/>
      <c r="C261" s="151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6"/>
      <c r="BB261" s="5"/>
      <c r="BC261" s="7"/>
      <c r="BE261" s="5"/>
      <c r="BF261" s="5"/>
      <c r="BG261" s="5"/>
      <c r="BH261" s="5"/>
      <c r="BI261" s="5"/>
      <c r="BJ261" s="5"/>
    </row>
    <row r="262">
      <c r="A262" s="5"/>
      <c r="B262" s="150"/>
      <c r="C262" s="151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6"/>
      <c r="BB262" s="5"/>
      <c r="BC262" s="7"/>
      <c r="BE262" s="5"/>
      <c r="BF262" s="5"/>
      <c r="BG262" s="5"/>
      <c r="BH262" s="5"/>
      <c r="BI262" s="5"/>
      <c r="BJ262" s="5"/>
    </row>
    <row r="263">
      <c r="A263" s="5"/>
      <c r="B263" s="150"/>
      <c r="C263" s="151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6"/>
      <c r="BB263" s="5"/>
      <c r="BC263" s="7"/>
      <c r="BE263" s="5"/>
      <c r="BF263" s="5"/>
      <c r="BG263" s="5"/>
      <c r="BH263" s="5"/>
      <c r="BI263" s="5"/>
      <c r="BJ263" s="5"/>
    </row>
    <row r="264">
      <c r="A264" s="5"/>
      <c r="B264" s="150"/>
      <c r="C264" s="151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6"/>
      <c r="BB264" s="5"/>
      <c r="BC264" s="7"/>
      <c r="BE264" s="5"/>
      <c r="BF264" s="5"/>
      <c r="BG264" s="5"/>
      <c r="BH264" s="5"/>
      <c r="BI264" s="5"/>
      <c r="BJ264" s="5"/>
    </row>
    <row r="265">
      <c r="A265" s="5"/>
      <c r="B265" s="150"/>
      <c r="C265" s="151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6"/>
      <c r="BB265" s="5"/>
      <c r="BC265" s="7"/>
      <c r="BE265" s="5"/>
      <c r="BF265" s="5"/>
      <c r="BG265" s="5"/>
      <c r="BH265" s="5"/>
      <c r="BI265" s="5"/>
      <c r="BJ265" s="5"/>
    </row>
    <row r="266">
      <c r="A266" s="5"/>
      <c r="B266" s="150"/>
      <c r="C266" s="151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6"/>
      <c r="BB266" s="5"/>
      <c r="BC266" s="7"/>
      <c r="BE266" s="5"/>
      <c r="BF266" s="5"/>
      <c r="BG266" s="5"/>
      <c r="BH266" s="5"/>
      <c r="BI266" s="5"/>
      <c r="BJ266" s="5"/>
    </row>
    <row r="267">
      <c r="A267" s="5"/>
      <c r="B267" s="150"/>
      <c r="C267" s="151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6"/>
      <c r="BB267" s="5"/>
      <c r="BC267" s="7"/>
      <c r="BE267" s="5"/>
      <c r="BF267" s="5"/>
      <c r="BG267" s="5"/>
      <c r="BH267" s="5"/>
      <c r="BI267" s="5"/>
      <c r="BJ267" s="5"/>
    </row>
    <row r="268">
      <c r="A268" s="5"/>
      <c r="B268" s="150"/>
      <c r="C268" s="151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6"/>
      <c r="BB268" s="5"/>
      <c r="BC268" s="7"/>
      <c r="BE268" s="5"/>
      <c r="BF268" s="5"/>
      <c r="BG268" s="5"/>
      <c r="BH268" s="5"/>
      <c r="BI268" s="5"/>
      <c r="BJ268" s="5"/>
    </row>
    <row r="269">
      <c r="A269" s="5"/>
      <c r="B269" s="150"/>
      <c r="C269" s="151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6"/>
      <c r="BB269" s="5"/>
      <c r="BC269" s="7"/>
      <c r="BE269" s="5"/>
      <c r="BF269" s="5"/>
      <c r="BG269" s="5"/>
      <c r="BH269" s="5"/>
      <c r="BI269" s="5"/>
      <c r="BJ269" s="5"/>
    </row>
    <row r="270">
      <c r="A270" s="5"/>
      <c r="B270" s="150"/>
      <c r="C270" s="151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6"/>
      <c r="BB270" s="5"/>
      <c r="BC270" s="7"/>
      <c r="BE270" s="5"/>
      <c r="BF270" s="5"/>
      <c r="BG270" s="5"/>
      <c r="BH270" s="5"/>
      <c r="BI270" s="5"/>
      <c r="BJ270" s="5"/>
    </row>
    <row r="271">
      <c r="A271" s="5"/>
      <c r="B271" s="150"/>
      <c r="C271" s="151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6"/>
      <c r="BB271" s="5"/>
      <c r="BC271" s="7"/>
      <c r="BE271" s="5"/>
      <c r="BF271" s="5"/>
      <c r="BG271" s="5"/>
      <c r="BH271" s="5"/>
      <c r="BI271" s="5"/>
      <c r="BJ271" s="5"/>
    </row>
    <row r="272">
      <c r="A272" s="5"/>
      <c r="B272" s="150"/>
      <c r="C272" s="151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6"/>
      <c r="BB272" s="5"/>
      <c r="BC272" s="7"/>
      <c r="BE272" s="5"/>
      <c r="BF272" s="5"/>
      <c r="BG272" s="5"/>
      <c r="BH272" s="5"/>
      <c r="BI272" s="5"/>
      <c r="BJ272" s="5"/>
    </row>
    <row r="273">
      <c r="A273" s="5"/>
      <c r="B273" s="150"/>
      <c r="C273" s="151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6"/>
      <c r="BB273" s="5"/>
      <c r="BC273" s="7"/>
      <c r="BE273" s="5"/>
      <c r="BF273" s="5"/>
      <c r="BG273" s="5"/>
      <c r="BH273" s="5"/>
      <c r="BI273" s="5"/>
      <c r="BJ273" s="5"/>
    </row>
    <row r="274">
      <c r="A274" s="5"/>
      <c r="B274" s="150"/>
      <c r="C274" s="151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6"/>
      <c r="BB274" s="5"/>
      <c r="BC274" s="7"/>
      <c r="BE274" s="5"/>
      <c r="BF274" s="5"/>
      <c r="BG274" s="5"/>
      <c r="BH274" s="5"/>
      <c r="BI274" s="5"/>
      <c r="BJ274" s="5"/>
    </row>
    <row r="275">
      <c r="A275" s="5"/>
      <c r="B275" s="150"/>
      <c r="C275" s="151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6"/>
      <c r="BB275" s="5"/>
      <c r="BC275" s="7"/>
      <c r="BE275" s="5"/>
      <c r="BF275" s="5"/>
      <c r="BG275" s="5"/>
      <c r="BH275" s="5"/>
      <c r="BI275" s="5"/>
      <c r="BJ275" s="5"/>
    </row>
    <row r="276">
      <c r="A276" s="5"/>
      <c r="B276" s="150"/>
      <c r="C276" s="151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6"/>
      <c r="BB276" s="5"/>
      <c r="BC276" s="7"/>
      <c r="BE276" s="5"/>
      <c r="BF276" s="5"/>
      <c r="BG276" s="5"/>
      <c r="BH276" s="5"/>
      <c r="BI276" s="5"/>
      <c r="BJ276" s="5"/>
    </row>
    <row r="277">
      <c r="A277" s="5"/>
      <c r="B277" s="150"/>
      <c r="C277" s="151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6"/>
      <c r="BB277" s="5"/>
      <c r="BC277" s="7"/>
      <c r="BE277" s="5"/>
      <c r="BF277" s="5"/>
      <c r="BG277" s="5"/>
      <c r="BH277" s="5"/>
      <c r="BI277" s="5"/>
      <c r="BJ277" s="5"/>
    </row>
    <row r="278">
      <c r="A278" s="5"/>
      <c r="B278" s="150"/>
      <c r="C278" s="151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6"/>
      <c r="BB278" s="5"/>
      <c r="BC278" s="7"/>
      <c r="BE278" s="5"/>
      <c r="BF278" s="5"/>
      <c r="BG278" s="5"/>
      <c r="BH278" s="5"/>
      <c r="BI278" s="5"/>
      <c r="BJ278" s="5"/>
    </row>
    <row r="279">
      <c r="A279" s="5"/>
      <c r="B279" s="150"/>
      <c r="C279" s="151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6"/>
      <c r="BB279" s="5"/>
      <c r="BC279" s="7"/>
      <c r="BE279" s="5"/>
      <c r="BF279" s="5"/>
      <c r="BG279" s="5"/>
      <c r="BH279" s="5"/>
      <c r="BI279" s="5"/>
      <c r="BJ279" s="5"/>
    </row>
    <row r="280">
      <c r="A280" s="5"/>
      <c r="B280" s="150"/>
      <c r="C280" s="151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6"/>
      <c r="BB280" s="5"/>
      <c r="BC280" s="7"/>
      <c r="BE280" s="5"/>
      <c r="BF280" s="5"/>
      <c r="BG280" s="5"/>
      <c r="BH280" s="5"/>
      <c r="BI280" s="5"/>
      <c r="BJ280" s="5"/>
    </row>
    <row r="281">
      <c r="A281" s="5"/>
      <c r="B281" s="150"/>
      <c r="C281" s="151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6"/>
      <c r="BB281" s="5"/>
      <c r="BC281" s="7"/>
      <c r="BE281" s="5"/>
      <c r="BF281" s="5"/>
      <c r="BG281" s="5"/>
      <c r="BH281" s="5"/>
      <c r="BI281" s="5"/>
      <c r="BJ281" s="5"/>
    </row>
    <row r="282">
      <c r="A282" s="5"/>
      <c r="B282" s="150"/>
      <c r="C282" s="151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6"/>
      <c r="BB282" s="5"/>
      <c r="BC282" s="7"/>
      <c r="BE282" s="5"/>
      <c r="BF282" s="5"/>
      <c r="BG282" s="5"/>
      <c r="BH282" s="5"/>
      <c r="BI282" s="5"/>
      <c r="BJ282" s="5"/>
    </row>
    <row r="283">
      <c r="A283" s="5"/>
      <c r="B283" s="150"/>
      <c r="C283" s="151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6"/>
      <c r="BB283" s="5"/>
      <c r="BC283" s="7"/>
      <c r="BE283" s="5"/>
      <c r="BF283" s="5"/>
      <c r="BG283" s="5"/>
      <c r="BH283" s="5"/>
      <c r="BI283" s="5"/>
      <c r="BJ283" s="5"/>
    </row>
    <row r="284">
      <c r="A284" s="5"/>
      <c r="B284" s="150"/>
      <c r="C284" s="151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6"/>
      <c r="BB284" s="5"/>
      <c r="BC284" s="7"/>
      <c r="BE284" s="5"/>
      <c r="BF284" s="5"/>
      <c r="BG284" s="5"/>
      <c r="BH284" s="5"/>
      <c r="BI284" s="5"/>
      <c r="BJ284" s="5"/>
    </row>
    <row r="285">
      <c r="A285" s="5"/>
      <c r="B285" s="150"/>
      <c r="C285" s="151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6"/>
      <c r="BB285" s="5"/>
      <c r="BC285" s="7"/>
      <c r="BE285" s="5"/>
      <c r="BF285" s="5"/>
      <c r="BG285" s="5"/>
      <c r="BH285" s="5"/>
      <c r="BI285" s="5"/>
      <c r="BJ285" s="5"/>
    </row>
    <row r="286">
      <c r="A286" s="5"/>
      <c r="B286" s="150"/>
      <c r="C286" s="151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6"/>
      <c r="BB286" s="5"/>
      <c r="BC286" s="7"/>
      <c r="BE286" s="5"/>
      <c r="BF286" s="5"/>
      <c r="BG286" s="5"/>
      <c r="BH286" s="5"/>
      <c r="BI286" s="5"/>
      <c r="BJ286" s="5"/>
    </row>
    <row r="287">
      <c r="A287" s="5"/>
      <c r="B287" s="150"/>
      <c r="C287" s="151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6"/>
      <c r="BB287" s="5"/>
      <c r="BC287" s="7"/>
      <c r="BE287" s="5"/>
      <c r="BF287" s="5"/>
      <c r="BG287" s="5"/>
      <c r="BH287" s="5"/>
      <c r="BI287" s="5"/>
      <c r="BJ287" s="5"/>
    </row>
    <row r="288">
      <c r="A288" s="5"/>
      <c r="B288" s="150"/>
      <c r="C288" s="151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6"/>
      <c r="BB288" s="5"/>
      <c r="BC288" s="7"/>
      <c r="BE288" s="5"/>
      <c r="BF288" s="5"/>
      <c r="BG288" s="5"/>
      <c r="BH288" s="5"/>
      <c r="BI288" s="5"/>
      <c r="BJ288" s="5"/>
    </row>
    <row r="289">
      <c r="A289" s="5"/>
      <c r="B289" s="150"/>
      <c r="C289" s="151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6"/>
      <c r="BB289" s="5"/>
      <c r="BC289" s="7"/>
      <c r="BE289" s="5"/>
      <c r="BF289" s="5"/>
      <c r="BG289" s="5"/>
      <c r="BH289" s="5"/>
      <c r="BI289" s="5"/>
      <c r="BJ289" s="5"/>
    </row>
    <row r="290">
      <c r="A290" s="5"/>
      <c r="B290" s="150"/>
      <c r="C290" s="151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6"/>
      <c r="BB290" s="5"/>
      <c r="BC290" s="7"/>
      <c r="BE290" s="5"/>
      <c r="BF290" s="5"/>
      <c r="BG290" s="5"/>
      <c r="BH290" s="5"/>
      <c r="BI290" s="5"/>
      <c r="BJ290" s="5"/>
    </row>
    <row r="291">
      <c r="A291" s="5"/>
      <c r="B291" s="150"/>
      <c r="C291" s="151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6"/>
      <c r="BB291" s="5"/>
      <c r="BC291" s="7"/>
      <c r="BE291" s="5"/>
      <c r="BF291" s="5"/>
      <c r="BG291" s="5"/>
      <c r="BH291" s="5"/>
      <c r="BI291" s="5"/>
      <c r="BJ291" s="5"/>
    </row>
    <row r="292">
      <c r="A292" s="5"/>
      <c r="B292" s="150"/>
      <c r="C292" s="151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6"/>
      <c r="BB292" s="5"/>
      <c r="BC292" s="7"/>
      <c r="BE292" s="5"/>
      <c r="BF292" s="5"/>
      <c r="BG292" s="5"/>
      <c r="BH292" s="5"/>
      <c r="BI292" s="5"/>
      <c r="BJ292" s="5"/>
    </row>
    <row r="293">
      <c r="A293" s="5"/>
      <c r="B293" s="150"/>
      <c r="C293" s="151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6"/>
      <c r="BB293" s="5"/>
      <c r="BC293" s="7"/>
      <c r="BE293" s="5"/>
      <c r="BF293" s="5"/>
      <c r="BG293" s="5"/>
      <c r="BH293" s="5"/>
      <c r="BI293" s="5"/>
      <c r="BJ293" s="5"/>
    </row>
    <row r="294">
      <c r="A294" s="5"/>
      <c r="B294" s="150"/>
      <c r="C294" s="151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6"/>
      <c r="BB294" s="5"/>
      <c r="BC294" s="7"/>
      <c r="BE294" s="5"/>
      <c r="BF294" s="5"/>
      <c r="BG294" s="5"/>
      <c r="BH294" s="5"/>
      <c r="BI294" s="5"/>
      <c r="BJ294" s="5"/>
    </row>
    <row r="295">
      <c r="A295" s="5"/>
      <c r="B295" s="150"/>
      <c r="C295" s="151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6"/>
      <c r="BB295" s="5"/>
      <c r="BC295" s="7"/>
      <c r="BE295" s="5"/>
      <c r="BF295" s="5"/>
      <c r="BG295" s="5"/>
      <c r="BH295" s="5"/>
      <c r="BI295" s="5"/>
      <c r="BJ295" s="5"/>
    </row>
    <row r="296">
      <c r="A296" s="5"/>
      <c r="B296" s="150"/>
      <c r="C296" s="151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6"/>
      <c r="BB296" s="5"/>
      <c r="BC296" s="7"/>
      <c r="BE296" s="5"/>
      <c r="BF296" s="5"/>
      <c r="BG296" s="5"/>
      <c r="BH296" s="5"/>
      <c r="BI296" s="5"/>
      <c r="BJ296" s="5"/>
    </row>
    <row r="297">
      <c r="A297" s="5"/>
      <c r="B297" s="150"/>
      <c r="C297" s="151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6"/>
      <c r="BB297" s="5"/>
      <c r="BC297" s="7"/>
      <c r="BE297" s="5"/>
      <c r="BF297" s="5"/>
      <c r="BG297" s="5"/>
      <c r="BH297" s="5"/>
      <c r="BI297" s="5"/>
      <c r="BJ297" s="5"/>
    </row>
    <row r="298">
      <c r="A298" s="5"/>
      <c r="B298" s="150"/>
      <c r="C298" s="151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6"/>
      <c r="BB298" s="5"/>
      <c r="BC298" s="7"/>
      <c r="BE298" s="5"/>
      <c r="BF298" s="5"/>
      <c r="BG298" s="5"/>
      <c r="BH298" s="5"/>
      <c r="BI298" s="5"/>
      <c r="BJ298" s="5"/>
    </row>
    <row r="299">
      <c r="A299" s="5"/>
      <c r="B299" s="150"/>
      <c r="C299" s="151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6"/>
      <c r="BB299" s="5"/>
      <c r="BC299" s="7"/>
      <c r="BE299" s="5"/>
      <c r="BF299" s="5"/>
      <c r="BG299" s="5"/>
      <c r="BH299" s="5"/>
      <c r="BI299" s="5"/>
      <c r="BJ299" s="5"/>
    </row>
    <row r="300">
      <c r="A300" s="5"/>
      <c r="B300" s="150"/>
      <c r="C300" s="151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6"/>
      <c r="BB300" s="5"/>
      <c r="BC300" s="7"/>
      <c r="BE300" s="5"/>
      <c r="BF300" s="5"/>
      <c r="BG300" s="5"/>
      <c r="BH300" s="5"/>
      <c r="BI300" s="5"/>
      <c r="BJ300" s="5"/>
    </row>
    <row r="301">
      <c r="A301" s="5"/>
      <c r="B301" s="150"/>
      <c r="C301" s="151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6"/>
      <c r="BB301" s="5"/>
      <c r="BC301" s="7"/>
      <c r="BE301" s="5"/>
      <c r="BF301" s="5"/>
      <c r="BG301" s="5"/>
      <c r="BH301" s="5"/>
      <c r="BI301" s="5"/>
      <c r="BJ301" s="5"/>
    </row>
    <row r="302">
      <c r="A302" s="5"/>
      <c r="B302" s="150"/>
      <c r="C302" s="151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6"/>
      <c r="BB302" s="5"/>
      <c r="BC302" s="7"/>
      <c r="BE302" s="5"/>
      <c r="BF302" s="5"/>
      <c r="BG302" s="5"/>
      <c r="BH302" s="5"/>
      <c r="BI302" s="5"/>
      <c r="BJ302" s="5"/>
    </row>
    <row r="303">
      <c r="A303" s="5"/>
      <c r="B303" s="150"/>
      <c r="C303" s="151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6"/>
      <c r="BB303" s="5"/>
      <c r="BC303" s="7"/>
      <c r="BE303" s="5"/>
      <c r="BF303" s="5"/>
      <c r="BG303" s="5"/>
      <c r="BH303" s="5"/>
      <c r="BI303" s="5"/>
      <c r="BJ303" s="5"/>
    </row>
    <row r="304">
      <c r="A304" s="5"/>
      <c r="B304" s="150"/>
      <c r="C304" s="151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6"/>
      <c r="BB304" s="5"/>
      <c r="BC304" s="7"/>
      <c r="BE304" s="5"/>
      <c r="BF304" s="5"/>
      <c r="BG304" s="5"/>
      <c r="BH304" s="5"/>
      <c r="BI304" s="5"/>
      <c r="BJ304" s="5"/>
    </row>
    <row r="305">
      <c r="A305" s="5"/>
      <c r="B305" s="150"/>
      <c r="C305" s="151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6"/>
      <c r="BB305" s="5"/>
      <c r="BC305" s="7"/>
      <c r="BE305" s="5"/>
      <c r="BF305" s="5"/>
      <c r="BG305" s="5"/>
      <c r="BH305" s="5"/>
      <c r="BI305" s="5"/>
      <c r="BJ305" s="5"/>
    </row>
    <row r="306">
      <c r="A306" s="5"/>
      <c r="B306" s="150"/>
      <c r="C306" s="151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6"/>
      <c r="BB306" s="5"/>
      <c r="BC306" s="7"/>
      <c r="BE306" s="5"/>
      <c r="BF306" s="5"/>
      <c r="BG306" s="5"/>
      <c r="BH306" s="5"/>
      <c r="BI306" s="5"/>
      <c r="BJ306" s="5"/>
    </row>
    <row r="307">
      <c r="A307" s="5"/>
      <c r="B307" s="150"/>
      <c r="C307" s="151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6"/>
      <c r="BB307" s="5"/>
      <c r="BC307" s="7"/>
      <c r="BE307" s="5"/>
      <c r="BF307" s="5"/>
      <c r="BG307" s="5"/>
      <c r="BH307" s="5"/>
      <c r="BI307" s="5"/>
      <c r="BJ307" s="5"/>
    </row>
    <row r="308">
      <c r="A308" s="5"/>
      <c r="B308" s="150"/>
      <c r="C308" s="151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6"/>
      <c r="BB308" s="5"/>
      <c r="BC308" s="7"/>
      <c r="BE308" s="5"/>
      <c r="BF308" s="5"/>
      <c r="BG308" s="5"/>
      <c r="BH308" s="5"/>
      <c r="BI308" s="5"/>
      <c r="BJ308" s="5"/>
    </row>
    <row r="309">
      <c r="A309" s="5"/>
      <c r="B309" s="150"/>
      <c r="C309" s="151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6"/>
      <c r="BB309" s="5"/>
      <c r="BC309" s="7"/>
      <c r="BE309" s="5"/>
      <c r="BF309" s="5"/>
      <c r="BG309" s="5"/>
      <c r="BH309" s="5"/>
      <c r="BI309" s="5"/>
      <c r="BJ309" s="5"/>
    </row>
    <row r="310">
      <c r="A310" s="5"/>
      <c r="B310" s="150"/>
      <c r="C310" s="151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6"/>
      <c r="BB310" s="5"/>
      <c r="BC310" s="7"/>
      <c r="BE310" s="5"/>
      <c r="BF310" s="5"/>
      <c r="BG310" s="5"/>
      <c r="BH310" s="5"/>
      <c r="BI310" s="5"/>
      <c r="BJ310" s="5"/>
    </row>
    <row r="311">
      <c r="A311" s="5"/>
      <c r="B311" s="150"/>
      <c r="C311" s="151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6"/>
      <c r="BB311" s="5"/>
      <c r="BC311" s="7"/>
      <c r="BE311" s="5"/>
      <c r="BF311" s="5"/>
      <c r="BG311" s="5"/>
      <c r="BH311" s="5"/>
      <c r="BI311" s="5"/>
      <c r="BJ311" s="5"/>
    </row>
    <row r="312">
      <c r="A312" s="5"/>
      <c r="B312" s="150"/>
      <c r="C312" s="151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6"/>
      <c r="BB312" s="5"/>
      <c r="BC312" s="7"/>
      <c r="BE312" s="5"/>
      <c r="BF312" s="5"/>
      <c r="BG312" s="5"/>
      <c r="BH312" s="5"/>
      <c r="BI312" s="5"/>
      <c r="BJ312" s="5"/>
    </row>
    <row r="313">
      <c r="A313" s="5"/>
      <c r="B313" s="150"/>
      <c r="C313" s="151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6"/>
      <c r="BB313" s="5"/>
      <c r="BC313" s="7"/>
      <c r="BE313" s="5"/>
      <c r="BF313" s="5"/>
      <c r="BG313" s="5"/>
      <c r="BH313" s="5"/>
      <c r="BI313" s="5"/>
      <c r="BJ313" s="5"/>
    </row>
    <row r="314">
      <c r="A314" s="5"/>
      <c r="B314" s="150"/>
      <c r="C314" s="151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6"/>
      <c r="BB314" s="5"/>
      <c r="BC314" s="7"/>
      <c r="BE314" s="5"/>
      <c r="BF314" s="5"/>
      <c r="BG314" s="5"/>
      <c r="BH314" s="5"/>
      <c r="BI314" s="5"/>
      <c r="BJ314" s="5"/>
    </row>
    <row r="315">
      <c r="A315" s="5"/>
      <c r="B315" s="150"/>
      <c r="C315" s="151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6"/>
      <c r="BB315" s="5"/>
      <c r="BC315" s="7"/>
      <c r="BE315" s="5"/>
      <c r="BF315" s="5"/>
      <c r="BG315" s="5"/>
      <c r="BH315" s="5"/>
      <c r="BI315" s="5"/>
      <c r="BJ315" s="5"/>
    </row>
    <row r="316">
      <c r="A316" s="5"/>
      <c r="B316" s="150"/>
      <c r="C316" s="151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6"/>
      <c r="BB316" s="5"/>
      <c r="BC316" s="7"/>
      <c r="BE316" s="5"/>
      <c r="BF316" s="5"/>
      <c r="BG316" s="5"/>
      <c r="BH316" s="5"/>
      <c r="BI316" s="5"/>
      <c r="BJ316" s="5"/>
    </row>
    <row r="317">
      <c r="A317" s="5"/>
      <c r="B317" s="150"/>
      <c r="C317" s="151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6"/>
      <c r="BB317" s="5"/>
      <c r="BC317" s="7"/>
      <c r="BE317" s="5"/>
      <c r="BF317" s="5"/>
      <c r="BG317" s="5"/>
      <c r="BH317" s="5"/>
      <c r="BI317" s="5"/>
      <c r="BJ317" s="5"/>
    </row>
    <row r="318">
      <c r="A318" s="5"/>
      <c r="B318" s="150"/>
      <c r="C318" s="151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6"/>
      <c r="BB318" s="5"/>
      <c r="BC318" s="7"/>
      <c r="BE318" s="5"/>
      <c r="BF318" s="5"/>
      <c r="BG318" s="5"/>
      <c r="BH318" s="5"/>
      <c r="BI318" s="5"/>
      <c r="BJ318" s="5"/>
    </row>
    <row r="319">
      <c r="A319" s="5"/>
      <c r="B319" s="150"/>
      <c r="C319" s="151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6"/>
      <c r="BB319" s="5"/>
      <c r="BC319" s="7"/>
      <c r="BE319" s="5"/>
      <c r="BF319" s="5"/>
      <c r="BG319" s="5"/>
      <c r="BH319" s="5"/>
      <c r="BI319" s="5"/>
      <c r="BJ319" s="5"/>
    </row>
    <row r="320">
      <c r="A320" s="5"/>
      <c r="B320" s="150"/>
      <c r="C320" s="151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6"/>
      <c r="BB320" s="5"/>
      <c r="BC320" s="7"/>
      <c r="BE320" s="5"/>
      <c r="BF320" s="5"/>
      <c r="BG320" s="5"/>
      <c r="BH320" s="5"/>
      <c r="BI320" s="5"/>
      <c r="BJ320" s="5"/>
    </row>
    <row r="321">
      <c r="A321" s="5"/>
      <c r="B321" s="150"/>
      <c r="C321" s="151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6"/>
      <c r="BB321" s="5"/>
      <c r="BC321" s="7"/>
      <c r="BE321" s="5"/>
      <c r="BF321" s="5"/>
      <c r="BG321" s="5"/>
      <c r="BH321" s="5"/>
      <c r="BI321" s="5"/>
      <c r="BJ321" s="5"/>
    </row>
    <row r="322">
      <c r="A322" s="5"/>
      <c r="B322" s="150"/>
      <c r="C322" s="151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6"/>
      <c r="BB322" s="5"/>
      <c r="BC322" s="7"/>
      <c r="BE322" s="5"/>
      <c r="BF322" s="5"/>
      <c r="BG322" s="5"/>
      <c r="BH322" s="5"/>
      <c r="BI322" s="5"/>
      <c r="BJ322" s="5"/>
    </row>
    <row r="323">
      <c r="A323" s="5"/>
      <c r="B323" s="150"/>
      <c r="C323" s="151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6"/>
      <c r="BB323" s="5"/>
      <c r="BC323" s="7"/>
      <c r="BE323" s="5"/>
      <c r="BF323" s="5"/>
      <c r="BG323" s="5"/>
      <c r="BH323" s="5"/>
      <c r="BI323" s="5"/>
      <c r="BJ323" s="5"/>
    </row>
    <row r="324">
      <c r="A324" s="5"/>
      <c r="B324" s="150"/>
      <c r="C324" s="151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6"/>
      <c r="BB324" s="5"/>
      <c r="BC324" s="7"/>
      <c r="BE324" s="5"/>
      <c r="BF324" s="5"/>
      <c r="BG324" s="5"/>
      <c r="BH324" s="5"/>
      <c r="BI324" s="5"/>
      <c r="BJ324" s="5"/>
    </row>
    <row r="325">
      <c r="A325" s="5"/>
      <c r="B325" s="150"/>
      <c r="C325" s="151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6"/>
      <c r="BB325" s="5"/>
      <c r="BC325" s="7"/>
      <c r="BE325" s="5"/>
      <c r="BF325" s="5"/>
      <c r="BG325" s="5"/>
      <c r="BH325" s="5"/>
      <c r="BI325" s="5"/>
      <c r="BJ325" s="5"/>
    </row>
    <row r="326">
      <c r="A326" s="5"/>
      <c r="B326" s="150"/>
      <c r="C326" s="151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6"/>
      <c r="BB326" s="5"/>
      <c r="BC326" s="7"/>
      <c r="BE326" s="5"/>
      <c r="BF326" s="5"/>
      <c r="BG326" s="5"/>
      <c r="BH326" s="5"/>
      <c r="BI326" s="5"/>
      <c r="BJ326" s="5"/>
    </row>
    <row r="327">
      <c r="A327" s="5"/>
      <c r="B327" s="150"/>
      <c r="C327" s="151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6"/>
      <c r="BB327" s="5"/>
      <c r="BC327" s="7"/>
      <c r="BE327" s="5"/>
      <c r="BF327" s="5"/>
      <c r="BG327" s="5"/>
      <c r="BH327" s="5"/>
      <c r="BI327" s="5"/>
      <c r="BJ327" s="5"/>
    </row>
    <row r="328">
      <c r="A328" s="5"/>
      <c r="B328" s="150"/>
      <c r="C328" s="151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6"/>
      <c r="BB328" s="5"/>
      <c r="BC328" s="7"/>
      <c r="BE328" s="5"/>
      <c r="BF328" s="5"/>
      <c r="BG328" s="5"/>
      <c r="BH328" s="5"/>
      <c r="BI328" s="5"/>
      <c r="BJ328" s="5"/>
    </row>
    <row r="329">
      <c r="A329" s="5"/>
      <c r="B329" s="150"/>
      <c r="C329" s="151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6"/>
      <c r="BB329" s="5"/>
      <c r="BC329" s="7"/>
      <c r="BE329" s="5"/>
      <c r="BF329" s="5"/>
      <c r="BG329" s="5"/>
      <c r="BH329" s="5"/>
      <c r="BI329" s="5"/>
      <c r="BJ329" s="5"/>
    </row>
    <row r="330">
      <c r="A330" s="5"/>
      <c r="B330" s="150"/>
      <c r="C330" s="151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6"/>
      <c r="BB330" s="5"/>
      <c r="BC330" s="7"/>
      <c r="BE330" s="5"/>
      <c r="BF330" s="5"/>
      <c r="BG330" s="5"/>
      <c r="BH330" s="5"/>
      <c r="BI330" s="5"/>
      <c r="BJ330" s="5"/>
    </row>
    <row r="331">
      <c r="A331" s="5"/>
      <c r="B331" s="150"/>
      <c r="C331" s="151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6"/>
      <c r="BB331" s="5"/>
      <c r="BC331" s="7"/>
      <c r="BE331" s="5"/>
      <c r="BF331" s="5"/>
      <c r="BG331" s="5"/>
      <c r="BH331" s="5"/>
      <c r="BI331" s="5"/>
      <c r="BJ331" s="5"/>
    </row>
    <row r="332">
      <c r="A332" s="5"/>
      <c r="B332" s="150"/>
      <c r="C332" s="151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6"/>
      <c r="BB332" s="5"/>
      <c r="BC332" s="7"/>
      <c r="BE332" s="5"/>
      <c r="BF332" s="5"/>
      <c r="BG332" s="5"/>
      <c r="BH332" s="5"/>
      <c r="BI332" s="5"/>
      <c r="BJ332" s="5"/>
    </row>
    <row r="333">
      <c r="A333" s="5"/>
      <c r="B333" s="150"/>
      <c r="C333" s="151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6"/>
      <c r="BB333" s="5"/>
      <c r="BC333" s="7"/>
      <c r="BE333" s="5"/>
      <c r="BF333" s="5"/>
      <c r="BG333" s="5"/>
      <c r="BH333" s="5"/>
      <c r="BI333" s="5"/>
      <c r="BJ333" s="5"/>
    </row>
    <row r="334">
      <c r="A334" s="5"/>
      <c r="B334" s="150"/>
      <c r="C334" s="151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6"/>
      <c r="BB334" s="5"/>
      <c r="BC334" s="7"/>
      <c r="BE334" s="5"/>
      <c r="BF334" s="5"/>
      <c r="BG334" s="5"/>
      <c r="BH334" s="5"/>
      <c r="BI334" s="5"/>
      <c r="BJ334" s="5"/>
    </row>
    <row r="335">
      <c r="A335" s="5"/>
      <c r="B335" s="150"/>
      <c r="C335" s="151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6"/>
      <c r="BB335" s="5"/>
      <c r="BC335" s="7"/>
      <c r="BE335" s="5"/>
      <c r="BF335" s="5"/>
      <c r="BG335" s="5"/>
      <c r="BH335" s="5"/>
      <c r="BI335" s="5"/>
      <c r="BJ335" s="5"/>
    </row>
    <row r="336">
      <c r="A336" s="5"/>
      <c r="B336" s="150"/>
      <c r="C336" s="151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6"/>
      <c r="BB336" s="5"/>
      <c r="BC336" s="7"/>
      <c r="BE336" s="5"/>
      <c r="BF336" s="5"/>
      <c r="BG336" s="5"/>
      <c r="BH336" s="5"/>
      <c r="BI336" s="5"/>
      <c r="BJ336" s="5"/>
    </row>
    <row r="337">
      <c r="A337" s="5"/>
      <c r="B337" s="150"/>
      <c r="C337" s="151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6"/>
      <c r="BB337" s="5"/>
      <c r="BC337" s="7"/>
      <c r="BE337" s="5"/>
      <c r="BF337" s="5"/>
      <c r="BG337" s="5"/>
      <c r="BH337" s="5"/>
      <c r="BI337" s="5"/>
      <c r="BJ337" s="5"/>
    </row>
    <row r="338">
      <c r="A338" s="5"/>
      <c r="B338" s="150"/>
      <c r="C338" s="151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6"/>
      <c r="BB338" s="5"/>
      <c r="BC338" s="7"/>
      <c r="BE338" s="5"/>
      <c r="BF338" s="5"/>
      <c r="BG338" s="5"/>
      <c r="BH338" s="5"/>
      <c r="BI338" s="5"/>
      <c r="BJ338" s="5"/>
    </row>
    <row r="339">
      <c r="A339" s="5"/>
      <c r="B339" s="150"/>
      <c r="C339" s="151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6"/>
      <c r="BB339" s="5"/>
      <c r="BC339" s="7"/>
      <c r="BE339" s="5"/>
      <c r="BF339" s="5"/>
      <c r="BG339" s="5"/>
      <c r="BH339" s="5"/>
      <c r="BI339" s="5"/>
      <c r="BJ339" s="5"/>
    </row>
    <row r="340">
      <c r="A340" s="5"/>
      <c r="B340" s="150"/>
      <c r="C340" s="151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6"/>
      <c r="BB340" s="5"/>
      <c r="BC340" s="7"/>
      <c r="BE340" s="5"/>
      <c r="BF340" s="5"/>
      <c r="BG340" s="5"/>
      <c r="BH340" s="5"/>
      <c r="BI340" s="5"/>
      <c r="BJ340" s="5"/>
    </row>
    <row r="341">
      <c r="A341" s="5"/>
      <c r="B341" s="150"/>
      <c r="C341" s="151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6"/>
      <c r="BB341" s="5"/>
      <c r="BC341" s="7"/>
      <c r="BE341" s="5"/>
      <c r="BF341" s="5"/>
      <c r="BG341" s="5"/>
      <c r="BH341" s="5"/>
      <c r="BI341" s="5"/>
      <c r="BJ341" s="5"/>
    </row>
    <row r="342">
      <c r="A342" s="5"/>
      <c r="B342" s="150"/>
      <c r="C342" s="151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6"/>
      <c r="BB342" s="5"/>
      <c r="BC342" s="7"/>
      <c r="BE342" s="5"/>
      <c r="BF342" s="5"/>
      <c r="BG342" s="5"/>
      <c r="BH342" s="5"/>
      <c r="BI342" s="5"/>
      <c r="BJ342" s="5"/>
    </row>
    <row r="343">
      <c r="A343" s="5"/>
      <c r="B343" s="150"/>
      <c r="C343" s="151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6"/>
      <c r="BB343" s="5"/>
      <c r="BC343" s="7"/>
      <c r="BE343" s="5"/>
      <c r="BF343" s="5"/>
      <c r="BG343" s="5"/>
      <c r="BH343" s="5"/>
      <c r="BI343" s="5"/>
      <c r="BJ343" s="5"/>
    </row>
    <row r="344">
      <c r="A344" s="5"/>
      <c r="B344" s="150"/>
      <c r="C344" s="151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6"/>
      <c r="BB344" s="5"/>
      <c r="BC344" s="7"/>
      <c r="BE344" s="5"/>
      <c r="BF344" s="5"/>
      <c r="BG344" s="5"/>
      <c r="BH344" s="5"/>
      <c r="BI344" s="5"/>
      <c r="BJ344" s="5"/>
    </row>
    <row r="345">
      <c r="A345" s="5"/>
      <c r="B345" s="150"/>
      <c r="C345" s="151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6"/>
      <c r="BB345" s="5"/>
      <c r="BC345" s="7"/>
      <c r="BE345" s="5"/>
      <c r="BF345" s="5"/>
      <c r="BG345" s="5"/>
      <c r="BH345" s="5"/>
      <c r="BI345" s="5"/>
      <c r="BJ345" s="5"/>
    </row>
    <row r="346">
      <c r="A346" s="5"/>
      <c r="B346" s="150"/>
      <c r="C346" s="151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6"/>
      <c r="BB346" s="5"/>
      <c r="BC346" s="7"/>
      <c r="BE346" s="5"/>
      <c r="BF346" s="5"/>
      <c r="BG346" s="5"/>
      <c r="BH346" s="5"/>
      <c r="BI346" s="5"/>
      <c r="BJ346" s="5"/>
    </row>
    <row r="347">
      <c r="A347" s="5"/>
      <c r="B347" s="150"/>
      <c r="C347" s="151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6"/>
      <c r="BB347" s="5"/>
      <c r="BC347" s="7"/>
      <c r="BE347" s="5"/>
      <c r="BF347" s="5"/>
      <c r="BG347" s="5"/>
      <c r="BH347" s="5"/>
      <c r="BI347" s="5"/>
      <c r="BJ347" s="5"/>
    </row>
    <row r="348">
      <c r="A348" s="5"/>
      <c r="B348" s="150"/>
      <c r="C348" s="151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6"/>
      <c r="BB348" s="5"/>
      <c r="BC348" s="7"/>
      <c r="BE348" s="5"/>
      <c r="BF348" s="5"/>
      <c r="BG348" s="5"/>
      <c r="BH348" s="5"/>
      <c r="BI348" s="5"/>
      <c r="BJ348" s="5"/>
    </row>
    <row r="349">
      <c r="A349" s="5"/>
      <c r="B349" s="150"/>
      <c r="C349" s="151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6"/>
      <c r="BB349" s="5"/>
      <c r="BC349" s="7"/>
      <c r="BE349" s="5"/>
      <c r="BF349" s="5"/>
      <c r="BG349" s="5"/>
      <c r="BH349" s="5"/>
      <c r="BI349" s="5"/>
      <c r="BJ349" s="5"/>
    </row>
    <row r="350">
      <c r="A350" s="5"/>
      <c r="B350" s="150"/>
      <c r="C350" s="151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6"/>
      <c r="BB350" s="5"/>
      <c r="BC350" s="7"/>
      <c r="BE350" s="5"/>
      <c r="BF350" s="5"/>
      <c r="BG350" s="5"/>
      <c r="BH350" s="5"/>
      <c r="BI350" s="5"/>
      <c r="BJ350" s="5"/>
    </row>
    <row r="351">
      <c r="A351" s="5"/>
      <c r="B351" s="150"/>
      <c r="C351" s="151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6"/>
      <c r="BB351" s="5"/>
      <c r="BC351" s="7"/>
      <c r="BE351" s="5"/>
      <c r="BF351" s="5"/>
      <c r="BG351" s="5"/>
      <c r="BH351" s="5"/>
      <c r="BI351" s="5"/>
      <c r="BJ351" s="5"/>
    </row>
    <row r="352">
      <c r="A352" s="5"/>
      <c r="B352" s="150"/>
      <c r="C352" s="151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6"/>
      <c r="BB352" s="5"/>
      <c r="BC352" s="7"/>
      <c r="BE352" s="5"/>
      <c r="BF352" s="5"/>
      <c r="BG352" s="5"/>
      <c r="BH352" s="5"/>
      <c r="BI352" s="5"/>
      <c r="BJ352" s="5"/>
    </row>
    <row r="353">
      <c r="A353" s="5"/>
      <c r="B353" s="150"/>
      <c r="C353" s="151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6"/>
      <c r="BB353" s="5"/>
      <c r="BC353" s="7"/>
      <c r="BE353" s="5"/>
      <c r="BF353" s="5"/>
      <c r="BG353" s="5"/>
      <c r="BH353" s="5"/>
      <c r="BI353" s="5"/>
      <c r="BJ353" s="5"/>
    </row>
    <row r="354">
      <c r="A354" s="5"/>
      <c r="B354" s="150"/>
      <c r="C354" s="151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6"/>
      <c r="BB354" s="5"/>
      <c r="BC354" s="7"/>
      <c r="BE354" s="5"/>
      <c r="BF354" s="5"/>
      <c r="BG354" s="5"/>
      <c r="BH354" s="5"/>
      <c r="BI354" s="5"/>
      <c r="BJ354" s="5"/>
    </row>
    <row r="355">
      <c r="A355" s="5"/>
      <c r="B355" s="150"/>
      <c r="C355" s="151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6"/>
      <c r="BB355" s="5"/>
      <c r="BC355" s="7"/>
      <c r="BE355" s="5"/>
      <c r="BF355" s="5"/>
      <c r="BG355" s="5"/>
      <c r="BH355" s="5"/>
      <c r="BI355" s="5"/>
      <c r="BJ355" s="5"/>
    </row>
    <row r="356">
      <c r="A356" s="5"/>
      <c r="B356" s="150"/>
      <c r="C356" s="151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6"/>
      <c r="BB356" s="5"/>
      <c r="BC356" s="7"/>
      <c r="BE356" s="5"/>
      <c r="BF356" s="5"/>
      <c r="BG356" s="5"/>
      <c r="BH356" s="5"/>
      <c r="BI356" s="5"/>
      <c r="BJ356" s="5"/>
    </row>
    <row r="357">
      <c r="A357" s="5"/>
      <c r="B357" s="150"/>
      <c r="C357" s="151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6"/>
      <c r="BB357" s="5"/>
      <c r="BC357" s="7"/>
      <c r="BE357" s="5"/>
      <c r="BF357" s="5"/>
      <c r="BG357" s="5"/>
      <c r="BH357" s="5"/>
      <c r="BI357" s="5"/>
      <c r="BJ357" s="5"/>
    </row>
    <row r="358">
      <c r="A358" s="5"/>
      <c r="B358" s="150"/>
      <c r="C358" s="151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6"/>
      <c r="BB358" s="5"/>
      <c r="BC358" s="7"/>
      <c r="BE358" s="5"/>
      <c r="BF358" s="5"/>
      <c r="BG358" s="5"/>
      <c r="BH358" s="5"/>
      <c r="BI358" s="5"/>
      <c r="BJ358" s="5"/>
    </row>
    <row r="359">
      <c r="A359" s="5"/>
      <c r="B359" s="150"/>
      <c r="C359" s="151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6"/>
      <c r="BB359" s="5"/>
      <c r="BC359" s="7"/>
      <c r="BE359" s="5"/>
      <c r="BF359" s="5"/>
      <c r="BG359" s="5"/>
      <c r="BH359" s="5"/>
      <c r="BI359" s="5"/>
      <c r="BJ359" s="5"/>
    </row>
    <row r="360">
      <c r="A360" s="5"/>
      <c r="B360" s="150"/>
      <c r="C360" s="151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6"/>
      <c r="BB360" s="5"/>
      <c r="BC360" s="7"/>
      <c r="BE360" s="5"/>
      <c r="BF360" s="5"/>
      <c r="BG360" s="5"/>
      <c r="BH360" s="5"/>
      <c r="BI360" s="5"/>
      <c r="BJ360" s="5"/>
    </row>
    <row r="361">
      <c r="A361" s="5"/>
      <c r="B361" s="150"/>
      <c r="C361" s="151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6"/>
      <c r="BB361" s="5"/>
      <c r="BC361" s="7"/>
      <c r="BE361" s="5"/>
      <c r="BF361" s="5"/>
      <c r="BG361" s="5"/>
      <c r="BH361" s="5"/>
      <c r="BI361" s="5"/>
      <c r="BJ361" s="5"/>
    </row>
    <row r="362">
      <c r="A362" s="5"/>
      <c r="B362" s="150"/>
      <c r="C362" s="151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6"/>
      <c r="BB362" s="5"/>
      <c r="BC362" s="7"/>
      <c r="BE362" s="5"/>
      <c r="BF362" s="5"/>
      <c r="BG362" s="5"/>
      <c r="BH362" s="5"/>
      <c r="BI362" s="5"/>
      <c r="BJ362" s="5"/>
    </row>
    <row r="363">
      <c r="A363" s="5"/>
      <c r="B363" s="150"/>
      <c r="C363" s="151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6"/>
      <c r="BB363" s="5"/>
      <c r="BC363" s="7"/>
      <c r="BE363" s="5"/>
      <c r="BF363" s="5"/>
      <c r="BG363" s="5"/>
      <c r="BH363" s="5"/>
      <c r="BI363" s="5"/>
      <c r="BJ363" s="5"/>
    </row>
    <row r="364">
      <c r="A364" s="5"/>
      <c r="B364" s="150"/>
      <c r="C364" s="151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6"/>
      <c r="BB364" s="5"/>
      <c r="BC364" s="7"/>
      <c r="BE364" s="5"/>
      <c r="BF364" s="5"/>
      <c r="BG364" s="5"/>
      <c r="BH364" s="5"/>
      <c r="BI364" s="5"/>
      <c r="BJ364" s="5"/>
    </row>
    <row r="365">
      <c r="A365" s="5"/>
      <c r="B365" s="150"/>
      <c r="C365" s="151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6"/>
      <c r="BB365" s="5"/>
      <c r="BC365" s="7"/>
      <c r="BE365" s="5"/>
      <c r="BF365" s="5"/>
      <c r="BG365" s="5"/>
      <c r="BH365" s="5"/>
      <c r="BI365" s="5"/>
      <c r="BJ365" s="5"/>
    </row>
    <row r="366">
      <c r="A366" s="5"/>
      <c r="B366" s="150"/>
      <c r="C366" s="151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6"/>
      <c r="BB366" s="5"/>
      <c r="BC366" s="7"/>
      <c r="BE366" s="5"/>
      <c r="BF366" s="5"/>
      <c r="BG366" s="5"/>
      <c r="BH366" s="5"/>
      <c r="BI366" s="5"/>
      <c r="BJ366" s="5"/>
    </row>
    <row r="367">
      <c r="A367" s="5"/>
      <c r="B367" s="150"/>
      <c r="C367" s="151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6"/>
      <c r="BB367" s="5"/>
      <c r="BC367" s="7"/>
      <c r="BE367" s="5"/>
      <c r="BF367" s="5"/>
      <c r="BG367" s="5"/>
      <c r="BH367" s="5"/>
      <c r="BI367" s="5"/>
      <c r="BJ367" s="5"/>
    </row>
    <row r="368">
      <c r="A368" s="5"/>
      <c r="B368" s="150"/>
      <c r="C368" s="151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6"/>
      <c r="BB368" s="5"/>
      <c r="BC368" s="7"/>
      <c r="BE368" s="5"/>
      <c r="BF368" s="5"/>
      <c r="BG368" s="5"/>
      <c r="BH368" s="5"/>
      <c r="BI368" s="5"/>
      <c r="BJ368" s="5"/>
    </row>
    <row r="369">
      <c r="A369" s="5"/>
      <c r="B369" s="150"/>
      <c r="C369" s="151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6"/>
      <c r="BB369" s="5"/>
      <c r="BC369" s="7"/>
      <c r="BE369" s="5"/>
      <c r="BF369" s="5"/>
      <c r="BG369" s="5"/>
      <c r="BH369" s="5"/>
      <c r="BI369" s="5"/>
      <c r="BJ369" s="5"/>
    </row>
    <row r="370">
      <c r="A370" s="5"/>
      <c r="B370" s="150"/>
      <c r="C370" s="151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6"/>
      <c r="BB370" s="5"/>
      <c r="BC370" s="7"/>
      <c r="BE370" s="5"/>
      <c r="BF370" s="5"/>
      <c r="BG370" s="5"/>
      <c r="BH370" s="5"/>
      <c r="BI370" s="5"/>
      <c r="BJ370" s="5"/>
    </row>
    <row r="371">
      <c r="A371" s="5"/>
      <c r="B371" s="150"/>
      <c r="C371" s="151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6"/>
      <c r="BB371" s="5"/>
      <c r="BC371" s="7"/>
      <c r="BE371" s="5"/>
      <c r="BF371" s="5"/>
      <c r="BG371" s="5"/>
      <c r="BH371" s="5"/>
      <c r="BI371" s="5"/>
      <c r="BJ371" s="5"/>
    </row>
    <row r="372">
      <c r="A372" s="5"/>
      <c r="B372" s="150"/>
      <c r="C372" s="151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6"/>
      <c r="BB372" s="5"/>
      <c r="BC372" s="7"/>
      <c r="BE372" s="5"/>
      <c r="BF372" s="5"/>
      <c r="BG372" s="5"/>
      <c r="BH372" s="5"/>
      <c r="BI372" s="5"/>
      <c r="BJ372" s="5"/>
    </row>
    <row r="373">
      <c r="A373" s="5"/>
      <c r="B373" s="150"/>
      <c r="C373" s="151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6"/>
      <c r="BB373" s="5"/>
      <c r="BC373" s="7"/>
      <c r="BE373" s="5"/>
      <c r="BF373" s="5"/>
      <c r="BG373" s="5"/>
      <c r="BH373" s="5"/>
      <c r="BI373" s="5"/>
      <c r="BJ373" s="5"/>
    </row>
    <row r="374">
      <c r="A374" s="5"/>
      <c r="B374" s="150"/>
      <c r="C374" s="151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6"/>
      <c r="BB374" s="5"/>
      <c r="BC374" s="7"/>
      <c r="BE374" s="5"/>
      <c r="BF374" s="5"/>
      <c r="BG374" s="5"/>
      <c r="BH374" s="5"/>
      <c r="BI374" s="5"/>
      <c r="BJ374" s="5"/>
    </row>
    <row r="375">
      <c r="A375" s="5"/>
      <c r="B375" s="150"/>
      <c r="C375" s="151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6"/>
      <c r="BB375" s="5"/>
      <c r="BC375" s="7"/>
      <c r="BE375" s="5"/>
      <c r="BF375" s="5"/>
      <c r="BG375" s="5"/>
      <c r="BH375" s="5"/>
      <c r="BI375" s="5"/>
      <c r="BJ375" s="5"/>
    </row>
    <row r="376">
      <c r="A376" s="5"/>
      <c r="B376" s="150"/>
      <c r="C376" s="151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6"/>
      <c r="BB376" s="5"/>
      <c r="BC376" s="7"/>
      <c r="BE376" s="5"/>
      <c r="BF376" s="5"/>
      <c r="BG376" s="5"/>
      <c r="BH376" s="5"/>
      <c r="BI376" s="5"/>
      <c r="BJ376" s="5"/>
    </row>
    <row r="377">
      <c r="A377" s="5"/>
      <c r="B377" s="150"/>
      <c r="C377" s="151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6"/>
      <c r="BB377" s="5"/>
      <c r="BC377" s="7"/>
      <c r="BE377" s="5"/>
      <c r="BF377" s="5"/>
      <c r="BG377" s="5"/>
      <c r="BH377" s="5"/>
      <c r="BI377" s="5"/>
      <c r="BJ377" s="5"/>
    </row>
    <row r="378">
      <c r="A378" s="5"/>
      <c r="B378" s="150"/>
      <c r="C378" s="151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6"/>
      <c r="BB378" s="5"/>
      <c r="BC378" s="7"/>
      <c r="BE378" s="5"/>
      <c r="BF378" s="5"/>
      <c r="BG378" s="5"/>
      <c r="BH378" s="5"/>
      <c r="BI378" s="5"/>
      <c r="BJ378" s="5"/>
    </row>
    <row r="379">
      <c r="A379" s="5"/>
      <c r="B379" s="150"/>
      <c r="C379" s="151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6"/>
      <c r="BB379" s="5"/>
      <c r="BC379" s="7"/>
      <c r="BE379" s="5"/>
      <c r="BF379" s="5"/>
      <c r="BG379" s="5"/>
      <c r="BH379" s="5"/>
      <c r="BI379" s="5"/>
      <c r="BJ379" s="5"/>
    </row>
    <row r="380">
      <c r="A380" s="5"/>
      <c r="B380" s="150"/>
      <c r="C380" s="151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6"/>
      <c r="BB380" s="5"/>
      <c r="BC380" s="7"/>
      <c r="BE380" s="5"/>
      <c r="BF380" s="5"/>
      <c r="BG380" s="5"/>
      <c r="BH380" s="5"/>
      <c r="BI380" s="5"/>
      <c r="BJ380" s="5"/>
    </row>
    <row r="381">
      <c r="A381" s="5"/>
      <c r="B381" s="150"/>
      <c r="C381" s="151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6"/>
      <c r="BB381" s="5"/>
      <c r="BC381" s="7"/>
      <c r="BE381" s="5"/>
      <c r="BF381" s="5"/>
      <c r="BG381" s="5"/>
      <c r="BH381" s="5"/>
      <c r="BI381" s="5"/>
      <c r="BJ381" s="5"/>
    </row>
    <row r="382">
      <c r="A382" s="5"/>
      <c r="B382" s="150"/>
      <c r="C382" s="151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6"/>
      <c r="BB382" s="5"/>
      <c r="BC382" s="7"/>
      <c r="BE382" s="5"/>
      <c r="BF382" s="5"/>
      <c r="BG382" s="5"/>
      <c r="BH382" s="5"/>
      <c r="BI382" s="5"/>
      <c r="BJ382" s="5"/>
    </row>
    <row r="383">
      <c r="A383" s="5"/>
      <c r="B383" s="150"/>
      <c r="C383" s="151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6"/>
      <c r="BB383" s="5"/>
      <c r="BC383" s="7"/>
      <c r="BE383" s="5"/>
      <c r="BF383" s="5"/>
      <c r="BG383" s="5"/>
      <c r="BH383" s="5"/>
      <c r="BI383" s="5"/>
      <c r="BJ383" s="5"/>
    </row>
    <row r="384">
      <c r="A384" s="5"/>
      <c r="B384" s="150"/>
      <c r="C384" s="151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6"/>
      <c r="BB384" s="5"/>
      <c r="BC384" s="7"/>
      <c r="BE384" s="5"/>
      <c r="BF384" s="5"/>
      <c r="BG384" s="5"/>
      <c r="BH384" s="5"/>
      <c r="BI384" s="5"/>
      <c r="BJ384" s="5"/>
    </row>
    <row r="385">
      <c r="A385" s="5"/>
      <c r="B385" s="150"/>
      <c r="C385" s="151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6"/>
      <c r="BB385" s="5"/>
      <c r="BC385" s="7"/>
      <c r="BE385" s="5"/>
      <c r="BF385" s="5"/>
      <c r="BG385" s="5"/>
      <c r="BH385" s="5"/>
      <c r="BI385" s="5"/>
      <c r="BJ385" s="5"/>
    </row>
    <row r="386">
      <c r="A386" s="5"/>
      <c r="B386" s="150"/>
      <c r="C386" s="151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6"/>
      <c r="BB386" s="5"/>
      <c r="BC386" s="7"/>
      <c r="BE386" s="5"/>
      <c r="BF386" s="5"/>
      <c r="BG386" s="5"/>
      <c r="BH386" s="5"/>
      <c r="BI386" s="5"/>
      <c r="BJ386" s="5"/>
    </row>
    <row r="387">
      <c r="A387" s="5"/>
      <c r="B387" s="150"/>
      <c r="C387" s="151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6"/>
      <c r="BB387" s="5"/>
      <c r="BC387" s="7"/>
      <c r="BE387" s="5"/>
      <c r="BF387" s="5"/>
      <c r="BG387" s="5"/>
      <c r="BH387" s="5"/>
      <c r="BI387" s="5"/>
      <c r="BJ387" s="5"/>
    </row>
    <row r="388">
      <c r="A388" s="5"/>
      <c r="B388" s="150"/>
      <c r="C388" s="151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6"/>
      <c r="BB388" s="5"/>
      <c r="BC388" s="7"/>
      <c r="BE388" s="5"/>
      <c r="BF388" s="5"/>
      <c r="BG388" s="5"/>
      <c r="BH388" s="5"/>
      <c r="BI388" s="5"/>
      <c r="BJ388" s="5"/>
    </row>
    <row r="389">
      <c r="A389" s="5"/>
      <c r="B389" s="150"/>
      <c r="C389" s="151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6"/>
      <c r="BB389" s="5"/>
      <c r="BC389" s="7"/>
      <c r="BE389" s="5"/>
      <c r="BF389" s="5"/>
      <c r="BG389" s="5"/>
      <c r="BH389" s="5"/>
      <c r="BI389" s="5"/>
      <c r="BJ389" s="5"/>
    </row>
    <row r="390">
      <c r="A390" s="5"/>
      <c r="B390" s="150"/>
      <c r="C390" s="151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6"/>
      <c r="BB390" s="5"/>
      <c r="BC390" s="7"/>
      <c r="BE390" s="5"/>
      <c r="BF390" s="5"/>
      <c r="BG390" s="5"/>
      <c r="BH390" s="5"/>
      <c r="BI390" s="5"/>
      <c r="BJ390" s="5"/>
    </row>
    <row r="391">
      <c r="A391" s="5"/>
      <c r="B391" s="150"/>
      <c r="C391" s="151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6"/>
      <c r="BB391" s="5"/>
      <c r="BC391" s="7"/>
      <c r="BE391" s="5"/>
      <c r="BF391" s="5"/>
      <c r="BG391" s="5"/>
      <c r="BH391" s="5"/>
      <c r="BI391" s="5"/>
      <c r="BJ391" s="5"/>
    </row>
    <row r="392">
      <c r="A392" s="5"/>
      <c r="B392" s="150"/>
      <c r="C392" s="151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6"/>
      <c r="BB392" s="5"/>
      <c r="BC392" s="7"/>
      <c r="BE392" s="5"/>
      <c r="BF392" s="5"/>
      <c r="BG392" s="5"/>
      <c r="BH392" s="5"/>
      <c r="BI392" s="5"/>
      <c r="BJ392" s="5"/>
    </row>
    <row r="393">
      <c r="A393" s="5"/>
      <c r="B393" s="150"/>
      <c r="C393" s="151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6"/>
      <c r="BB393" s="5"/>
      <c r="BC393" s="7"/>
      <c r="BE393" s="5"/>
      <c r="BF393" s="5"/>
      <c r="BG393" s="5"/>
      <c r="BH393" s="5"/>
      <c r="BI393" s="5"/>
      <c r="BJ393" s="5"/>
    </row>
    <row r="394">
      <c r="A394" s="5"/>
      <c r="B394" s="150"/>
      <c r="C394" s="151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6"/>
      <c r="BB394" s="5"/>
      <c r="BC394" s="7"/>
      <c r="BE394" s="5"/>
      <c r="BF394" s="5"/>
      <c r="BG394" s="5"/>
      <c r="BH394" s="5"/>
      <c r="BI394" s="5"/>
      <c r="BJ394" s="5"/>
    </row>
    <row r="395">
      <c r="A395" s="5"/>
      <c r="B395" s="150"/>
      <c r="C395" s="151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6"/>
      <c r="BB395" s="5"/>
      <c r="BC395" s="7"/>
      <c r="BE395" s="5"/>
      <c r="BF395" s="5"/>
      <c r="BG395" s="5"/>
      <c r="BH395" s="5"/>
      <c r="BI395" s="5"/>
      <c r="BJ395" s="5"/>
    </row>
    <row r="396">
      <c r="A396" s="5"/>
      <c r="B396" s="150"/>
      <c r="C396" s="151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6"/>
      <c r="BB396" s="5"/>
      <c r="BC396" s="7"/>
      <c r="BE396" s="5"/>
      <c r="BF396" s="5"/>
      <c r="BG396" s="5"/>
      <c r="BH396" s="5"/>
      <c r="BI396" s="5"/>
      <c r="BJ396" s="5"/>
    </row>
    <row r="397">
      <c r="A397" s="5"/>
      <c r="B397" s="150"/>
      <c r="C397" s="151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6"/>
      <c r="BB397" s="5"/>
      <c r="BC397" s="7"/>
      <c r="BE397" s="5"/>
      <c r="BF397" s="5"/>
      <c r="BG397" s="5"/>
      <c r="BH397" s="5"/>
      <c r="BI397" s="5"/>
      <c r="BJ397" s="5"/>
    </row>
    <row r="398">
      <c r="A398" s="5"/>
      <c r="B398" s="150"/>
      <c r="C398" s="151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6"/>
      <c r="BB398" s="5"/>
      <c r="BC398" s="7"/>
      <c r="BE398" s="5"/>
      <c r="BF398" s="5"/>
      <c r="BG398" s="5"/>
      <c r="BH398" s="5"/>
      <c r="BI398" s="5"/>
      <c r="BJ398" s="5"/>
    </row>
    <row r="399">
      <c r="A399" s="5"/>
      <c r="B399" s="150"/>
      <c r="C399" s="151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6"/>
      <c r="BB399" s="5"/>
      <c r="BC399" s="7"/>
      <c r="BE399" s="5"/>
      <c r="BF399" s="5"/>
      <c r="BG399" s="5"/>
      <c r="BH399" s="5"/>
      <c r="BI399" s="5"/>
      <c r="BJ399" s="5"/>
    </row>
    <row r="400">
      <c r="A400" s="5"/>
      <c r="B400" s="150"/>
      <c r="C400" s="151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6"/>
      <c r="BB400" s="5"/>
      <c r="BC400" s="7"/>
      <c r="BE400" s="5"/>
      <c r="BF400" s="5"/>
      <c r="BG400" s="5"/>
      <c r="BH400" s="5"/>
      <c r="BI400" s="5"/>
      <c r="BJ400" s="5"/>
    </row>
    <row r="401">
      <c r="A401" s="5"/>
      <c r="B401" s="150"/>
      <c r="C401" s="151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6"/>
      <c r="BB401" s="5"/>
      <c r="BC401" s="7"/>
      <c r="BE401" s="5"/>
      <c r="BF401" s="5"/>
      <c r="BG401" s="5"/>
      <c r="BH401" s="5"/>
      <c r="BI401" s="5"/>
      <c r="BJ401" s="5"/>
    </row>
    <row r="402">
      <c r="A402" s="5"/>
      <c r="B402" s="150"/>
      <c r="C402" s="151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6"/>
      <c r="BB402" s="5"/>
      <c r="BC402" s="7"/>
      <c r="BE402" s="5"/>
      <c r="BF402" s="5"/>
      <c r="BG402" s="5"/>
      <c r="BH402" s="5"/>
      <c r="BI402" s="5"/>
      <c r="BJ402" s="5"/>
    </row>
    <row r="403">
      <c r="A403" s="5"/>
      <c r="B403" s="150"/>
      <c r="C403" s="151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6"/>
      <c r="BB403" s="5"/>
      <c r="BC403" s="7"/>
      <c r="BE403" s="5"/>
      <c r="BF403" s="5"/>
      <c r="BG403" s="5"/>
      <c r="BH403" s="5"/>
      <c r="BI403" s="5"/>
      <c r="BJ403" s="5"/>
    </row>
    <row r="404">
      <c r="A404" s="5"/>
      <c r="B404" s="150"/>
      <c r="C404" s="151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6"/>
      <c r="BB404" s="5"/>
      <c r="BC404" s="7"/>
      <c r="BE404" s="5"/>
      <c r="BF404" s="5"/>
      <c r="BG404" s="5"/>
      <c r="BH404" s="5"/>
      <c r="BI404" s="5"/>
      <c r="BJ404" s="5"/>
    </row>
    <row r="405">
      <c r="A405" s="5"/>
      <c r="B405" s="150"/>
      <c r="C405" s="151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6"/>
      <c r="BB405" s="5"/>
      <c r="BC405" s="7"/>
      <c r="BE405" s="5"/>
      <c r="BF405" s="5"/>
      <c r="BG405" s="5"/>
      <c r="BH405" s="5"/>
      <c r="BI405" s="5"/>
      <c r="BJ405" s="5"/>
    </row>
    <row r="406">
      <c r="A406" s="5"/>
      <c r="B406" s="150"/>
      <c r="C406" s="151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6"/>
      <c r="BB406" s="5"/>
      <c r="BC406" s="7"/>
      <c r="BE406" s="5"/>
      <c r="BF406" s="5"/>
      <c r="BG406" s="5"/>
      <c r="BH406" s="5"/>
      <c r="BI406" s="5"/>
      <c r="BJ406" s="5"/>
    </row>
    <row r="407">
      <c r="A407" s="5"/>
      <c r="B407" s="150"/>
      <c r="C407" s="151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6"/>
      <c r="BB407" s="5"/>
      <c r="BC407" s="7"/>
      <c r="BE407" s="5"/>
      <c r="BF407" s="5"/>
      <c r="BG407" s="5"/>
      <c r="BH407" s="5"/>
      <c r="BI407" s="5"/>
      <c r="BJ407" s="5"/>
    </row>
    <row r="408">
      <c r="A408" s="5"/>
      <c r="B408" s="150"/>
      <c r="C408" s="151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6"/>
      <c r="BB408" s="5"/>
      <c r="BC408" s="7"/>
      <c r="BE408" s="5"/>
      <c r="BF408" s="5"/>
      <c r="BG408" s="5"/>
      <c r="BH408" s="5"/>
      <c r="BI408" s="5"/>
      <c r="BJ408" s="5"/>
    </row>
    <row r="409">
      <c r="A409" s="5"/>
      <c r="B409" s="150"/>
      <c r="C409" s="151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6"/>
      <c r="BB409" s="5"/>
      <c r="BC409" s="7"/>
      <c r="BE409" s="5"/>
      <c r="BF409" s="5"/>
      <c r="BG409" s="5"/>
      <c r="BH409" s="5"/>
      <c r="BI409" s="5"/>
      <c r="BJ409" s="5"/>
    </row>
    <row r="410">
      <c r="A410" s="5"/>
      <c r="B410" s="150"/>
      <c r="C410" s="151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6"/>
      <c r="BB410" s="5"/>
      <c r="BC410" s="7"/>
      <c r="BE410" s="5"/>
      <c r="BF410" s="5"/>
      <c r="BG410" s="5"/>
      <c r="BH410" s="5"/>
      <c r="BI410" s="5"/>
      <c r="BJ410" s="5"/>
    </row>
    <row r="411">
      <c r="A411" s="5"/>
      <c r="B411" s="150"/>
      <c r="C411" s="151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6"/>
      <c r="BB411" s="5"/>
      <c r="BC411" s="7"/>
      <c r="BE411" s="5"/>
      <c r="BF411" s="5"/>
      <c r="BG411" s="5"/>
      <c r="BH411" s="5"/>
      <c r="BI411" s="5"/>
      <c r="BJ411" s="5"/>
    </row>
    <row r="412">
      <c r="A412" s="5"/>
      <c r="B412" s="150"/>
      <c r="C412" s="151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6"/>
      <c r="BB412" s="5"/>
      <c r="BC412" s="7"/>
      <c r="BE412" s="5"/>
      <c r="BF412" s="5"/>
      <c r="BG412" s="5"/>
      <c r="BH412" s="5"/>
      <c r="BI412" s="5"/>
      <c r="BJ412" s="5"/>
    </row>
    <row r="413">
      <c r="A413" s="5"/>
      <c r="B413" s="150"/>
      <c r="C413" s="151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6"/>
      <c r="BB413" s="5"/>
      <c r="BC413" s="7"/>
      <c r="BE413" s="5"/>
      <c r="BF413" s="5"/>
      <c r="BG413" s="5"/>
      <c r="BH413" s="5"/>
      <c r="BI413" s="5"/>
      <c r="BJ413" s="5"/>
    </row>
    <row r="414">
      <c r="A414" s="5"/>
      <c r="B414" s="150"/>
      <c r="C414" s="151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6"/>
      <c r="BB414" s="5"/>
      <c r="BC414" s="7"/>
      <c r="BE414" s="5"/>
      <c r="BF414" s="5"/>
      <c r="BG414" s="5"/>
      <c r="BH414" s="5"/>
      <c r="BI414" s="5"/>
      <c r="BJ414" s="5"/>
    </row>
    <row r="415">
      <c r="A415" s="5"/>
      <c r="B415" s="150"/>
      <c r="C415" s="151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6"/>
      <c r="BB415" s="5"/>
      <c r="BC415" s="7"/>
      <c r="BE415" s="5"/>
      <c r="BF415" s="5"/>
      <c r="BG415" s="5"/>
      <c r="BH415" s="5"/>
      <c r="BI415" s="5"/>
      <c r="BJ415" s="5"/>
    </row>
    <row r="416">
      <c r="A416" s="5"/>
      <c r="B416" s="150"/>
      <c r="C416" s="151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6"/>
      <c r="BB416" s="5"/>
      <c r="BC416" s="7"/>
      <c r="BE416" s="5"/>
      <c r="BF416" s="5"/>
      <c r="BG416" s="5"/>
      <c r="BH416" s="5"/>
      <c r="BI416" s="5"/>
      <c r="BJ416" s="5"/>
    </row>
    <row r="417">
      <c r="A417" s="5"/>
      <c r="B417" s="150"/>
      <c r="C417" s="151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6"/>
      <c r="BB417" s="5"/>
      <c r="BC417" s="7"/>
      <c r="BE417" s="5"/>
      <c r="BF417" s="5"/>
      <c r="BG417" s="5"/>
      <c r="BH417" s="5"/>
      <c r="BI417" s="5"/>
      <c r="BJ417" s="5"/>
    </row>
    <row r="418">
      <c r="A418" s="5"/>
      <c r="B418" s="150"/>
      <c r="C418" s="151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6"/>
      <c r="BB418" s="5"/>
      <c r="BC418" s="7"/>
      <c r="BE418" s="5"/>
      <c r="BF418" s="5"/>
      <c r="BG418" s="5"/>
      <c r="BH418" s="5"/>
      <c r="BI418" s="5"/>
      <c r="BJ418" s="5"/>
    </row>
    <row r="419">
      <c r="A419" s="5"/>
      <c r="B419" s="150"/>
      <c r="C419" s="151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6"/>
      <c r="BB419" s="5"/>
      <c r="BC419" s="7"/>
      <c r="BE419" s="5"/>
      <c r="BF419" s="5"/>
      <c r="BG419" s="5"/>
      <c r="BH419" s="5"/>
      <c r="BI419" s="5"/>
      <c r="BJ419" s="5"/>
    </row>
    <row r="420">
      <c r="A420" s="5"/>
      <c r="B420" s="150"/>
      <c r="C420" s="151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6"/>
      <c r="BB420" s="5"/>
      <c r="BC420" s="7"/>
      <c r="BE420" s="5"/>
      <c r="BF420" s="5"/>
      <c r="BG420" s="5"/>
      <c r="BH420" s="5"/>
      <c r="BI420" s="5"/>
      <c r="BJ420" s="5"/>
    </row>
    <row r="421">
      <c r="A421" s="5"/>
      <c r="B421" s="150"/>
      <c r="C421" s="151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6"/>
      <c r="BB421" s="5"/>
      <c r="BC421" s="7"/>
      <c r="BE421" s="5"/>
      <c r="BF421" s="5"/>
      <c r="BG421" s="5"/>
      <c r="BH421" s="5"/>
      <c r="BI421" s="5"/>
      <c r="BJ421" s="5"/>
    </row>
    <row r="422">
      <c r="A422" s="5"/>
      <c r="B422" s="150"/>
      <c r="C422" s="151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6"/>
      <c r="BB422" s="5"/>
      <c r="BC422" s="7"/>
      <c r="BE422" s="5"/>
      <c r="BF422" s="5"/>
      <c r="BG422" s="5"/>
      <c r="BH422" s="5"/>
      <c r="BI422" s="5"/>
      <c r="BJ422" s="5"/>
    </row>
    <row r="423">
      <c r="A423" s="5"/>
      <c r="B423" s="150"/>
      <c r="C423" s="151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6"/>
      <c r="BB423" s="5"/>
      <c r="BC423" s="7"/>
      <c r="BE423" s="5"/>
      <c r="BF423" s="5"/>
      <c r="BG423" s="5"/>
      <c r="BH423" s="5"/>
      <c r="BI423" s="5"/>
      <c r="BJ423" s="5"/>
    </row>
    <row r="424">
      <c r="A424" s="5"/>
      <c r="B424" s="150"/>
      <c r="C424" s="151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6"/>
      <c r="BB424" s="5"/>
      <c r="BC424" s="7"/>
      <c r="BE424" s="5"/>
      <c r="BF424" s="5"/>
      <c r="BG424" s="5"/>
      <c r="BH424" s="5"/>
      <c r="BI424" s="5"/>
      <c r="BJ424" s="5"/>
    </row>
    <row r="425">
      <c r="A425" s="5"/>
      <c r="B425" s="150"/>
      <c r="C425" s="151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6"/>
      <c r="BB425" s="5"/>
      <c r="BC425" s="7"/>
      <c r="BE425" s="5"/>
      <c r="BF425" s="5"/>
      <c r="BG425" s="5"/>
      <c r="BH425" s="5"/>
      <c r="BI425" s="5"/>
      <c r="BJ425" s="5"/>
    </row>
    <row r="426">
      <c r="A426" s="5"/>
      <c r="B426" s="150"/>
      <c r="C426" s="151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6"/>
      <c r="BB426" s="5"/>
      <c r="BC426" s="7"/>
      <c r="BE426" s="5"/>
      <c r="BF426" s="5"/>
      <c r="BG426" s="5"/>
      <c r="BH426" s="5"/>
      <c r="BI426" s="5"/>
      <c r="BJ426" s="5"/>
    </row>
    <row r="427">
      <c r="A427" s="5"/>
      <c r="B427" s="150"/>
      <c r="C427" s="151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6"/>
      <c r="BB427" s="5"/>
      <c r="BC427" s="7"/>
      <c r="BE427" s="5"/>
      <c r="BF427" s="5"/>
      <c r="BG427" s="5"/>
      <c r="BH427" s="5"/>
      <c r="BI427" s="5"/>
      <c r="BJ427" s="5"/>
    </row>
    <row r="428">
      <c r="A428" s="5"/>
      <c r="B428" s="150"/>
      <c r="C428" s="151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6"/>
      <c r="BB428" s="5"/>
      <c r="BC428" s="7"/>
      <c r="BE428" s="5"/>
      <c r="BF428" s="5"/>
      <c r="BG428" s="5"/>
      <c r="BH428" s="5"/>
      <c r="BI428" s="5"/>
      <c r="BJ428" s="5"/>
    </row>
    <row r="429">
      <c r="A429" s="5"/>
      <c r="B429" s="150"/>
      <c r="C429" s="151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6"/>
      <c r="BB429" s="5"/>
      <c r="BC429" s="7"/>
      <c r="BE429" s="5"/>
      <c r="BF429" s="5"/>
      <c r="BG429" s="5"/>
      <c r="BH429" s="5"/>
      <c r="BI429" s="5"/>
      <c r="BJ429" s="5"/>
    </row>
    <row r="430">
      <c r="A430" s="5"/>
      <c r="B430" s="150"/>
      <c r="C430" s="151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6"/>
      <c r="BB430" s="5"/>
      <c r="BC430" s="7"/>
      <c r="BE430" s="5"/>
      <c r="BF430" s="5"/>
      <c r="BG430" s="5"/>
      <c r="BH430" s="5"/>
      <c r="BI430" s="5"/>
      <c r="BJ430" s="5"/>
    </row>
    <row r="431">
      <c r="A431" s="5"/>
      <c r="B431" s="150"/>
      <c r="C431" s="151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6"/>
      <c r="BB431" s="5"/>
      <c r="BC431" s="7"/>
      <c r="BE431" s="5"/>
      <c r="BF431" s="5"/>
      <c r="BG431" s="5"/>
      <c r="BH431" s="5"/>
      <c r="BI431" s="5"/>
      <c r="BJ431" s="5"/>
    </row>
    <row r="432">
      <c r="A432" s="5"/>
      <c r="B432" s="150"/>
      <c r="C432" s="151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6"/>
      <c r="BB432" s="5"/>
      <c r="BC432" s="7"/>
      <c r="BE432" s="5"/>
      <c r="BF432" s="5"/>
      <c r="BG432" s="5"/>
      <c r="BH432" s="5"/>
      <c r="BI432" s="5"/>
      <c r="BJ432" s="5"/>
    </row>
    <row r="433">
      <c r="A433" s="5"/>
      <c r="B433" s="150"/>
      <c r="C433" s="151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6"/>
      <c r="BB433" s="5"/>
      <c r="BC433" s="7"/>
      <c r="BE433" s="5"/>
      <c r="BF433" s="5"/>
      <c r="BG433" s="5"/>
      <c r="BH433" s="5"/>
      <c r="BI433" s="5"/>
      <c r="BJ433" s="5"/>
    </row>
    <row r="434">
      <c r="A434" s="5"/>
      <c r="B434" s="150"/>
      <c r="C434" s="151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6"/>
      <c r="BB434" s="5"/>
      <c r="BC434" s="7"/>
      <c r="BE434" s="5"/>
      <c r="BF434" s="5"/>
      <c r="BG434" s="5"/>
      <c r="BH434" s="5"/>
      <c r="BI434" s="5"/>
      <c r="BJ434" s="5"/>
    </row>
    <row r="435">
      <c r="A435" s="5"/>
      <c r="B435" s="150"/>
      <c r="C435" s="151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6"/>
      <c r="BB435" s="5"/>
      <c r="BC435" s="7"/>
      <c r="BE435" s="5"/>
      <c r="BF435" s="5"/>
      <c r="BG435" s="5"/>
      <c r="BH435" s="5"/>
      <c r="BI435" s="5"/>
      <c r="BJ435" s="5"/>
    </row>
    <row r="436">
      <c r="A436" s="5"/>
      <c r="B436" s="150"/>
      <c r="C436" s="151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6"/>
      <c r="BB436" s="5"/>
      <c r="BC436" s="7"/>
      <c r="BE436" s="5"/>
      <c r="BF436" s="5"/>
      <c r="BG436" s="5"/>
      <c r="BH436" s="5"/>
      <c r="BI436" s="5"/>
      <c r="BJ436" s="5"/>
    </row>
    <row r="437">
      <c r="A437" s="5"/>
      <c r="B437" s="150"/>
      <c r="C437" s="151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6"/>
      <c r="BB437" s="5"/>
      <c r="BC437" s="7"/>
      <c r="BE437" s="5"/>
      <c r="BF437" s="5"/>
      <c r="BG437" s="5"/>
      <c r="BH437" s="5"/>
      <c r="BI437" s="5"/>
      <c r="BJ437" s="5"/>
    </row>
    <row r="438">
      <c r="A438" s="5"/>
      <c r="B438" s="150"/>
      <c r="C438" s="151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6"/>
      <c r="BB438" s="5"/>
      <c r="BC438" s="7"/>
      <c r="BE438" s="5"/>
      <c r="BF438" s="5"/>
      <c r="BG438" s="5"/>
      <c r="BH438" s="5"/>
      <c r="BI438" s="5"/>
      <c r="BJ438" s="5"/>
    </row>
    <row r="439">
      <c r="A439" s="5"/>
      <c r="B439" s="150"/>
      <c r="C439" s="151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6"/>
      <c r="BB439" s="5"/>
      <c r="BC439" s="7"/>
      <c r="BE439" s="5"/>
      <c r="BF439" s="5"/>
      <c r="BG439" s="5"/>
      <c r="BH439" s="5"/>
      <c r="BI439" s="5"/>
      <c r="BJ439" s="5"/>
    </row>
    <row r="440">
      <c r="A440" s="5"/>
      <c r="B440" s="150"/>
      <c r="C440" s="151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6"/>
      <c r="BB440" s="5"/>
      <c r="BC440" s="7"/>
      <c r="BE440" s="5"/>
      <c r="BF440" s="5"/>
      <c r="BG440" s="5"/>
      <c r="BH440" s="5"/>
      <c r="BI440" s="5"/>
      <c r="BJ440" s="5"/>
    </row>
    <row r="441">
      <c r="A441" s="5"/>
      <c r="B441" s="150"/>
      <c r="C441" s="151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6"/>
      <c r="BB441" s="5"/>
      <c r="BC441" s="7"/>
      <c r="BE441" s="5"/>
      <c r="BF441" s="5"/>
      <c r="BG441" s="5"/>
      <c r="BH441" s="5"/>
      <c r="BI441" s="5"/>
      <c r="BJ441" s="5"/>
    </row>
    <row r="442">
      <c r="A442" s="5"/>
      <c r="B442" s="150"/>
      <c r="C442" s="151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6"/>
      <c r="BB442" s="5"/>
      <c r="BC442" s="7"/>
      <c r="BE442" s="5"/>
      <c r="BF442" s="5"/>
      <c r="BG442" s="5"/>
      <c r="BH442" s="5"/>
      <c r="BI442" s="5"/>
      <c r="BJ442" s="5"/>
    </row>
    <row r="443">
      <c r="A443" s="5"/>
      <c r="B443" s="150"/>
      <c r="C443" s="151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6"/>
      <c r="BB443" s="5"/>
      <c r="BC443" s="7"/>
      <c r="BE443" s="5"/>
      <c r="BF443" s="5"/>
      <c r="BG443" s="5"/>
      <c r="BH443" s="5"/>
      <c r="BI443" s="5"/>
      <c r="BJ443" s="5"/>
    </row>
    <row r="444">
      <c r="A444" s="5"/>
      <c r="B444" s="150"/>
      <c r="C444" s="151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6"/>
      <c r="BB444" s="5"/>
      <c r="BC444" s="7"/>
      <c r="BE444" s="5"/>
      <c r="BF444" s="5"/>
      <c r="BG444" s="5"/>
      <c r="BH444" s="5"/>
      <c r="BI444" s="5"/>
      <c r="BJ444" s="5"/>
    </row>
    <row r="445">
      <c r="A445" s="5"/>
      <c r="B445" s="150"/>
      <c r="C445" s="151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6"/>
      <c r="BB445" s="5"/>
      <c r="BC445" s="7"/>
      <c r="BE445" s="5"/>
      <c r="BF445" s="5"/>
      <c r="BG445" s="5"/>
      <c r="BH445" s="5"/>
      <c r="BI445" s="5"/>
      <c r="BJ445" s="5"/>
    </row>
    <row r="446">
      <c r="A446" s="5"/>
      <c r="B446" s="150"/>
      <c r="C446" s="151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6"/>
      <c r="BB446" s="5"/>
      <c r="BC446" s="7"/>
      <c r="BE446" s="5"/>
      <c r="BF446" s="5"/>
      <c r="BG446" s="5"/>
      <c r="BH446" s="5"/>
      <c r="BI446" s="5"/>
      <c r="BJ446" s="5"/>
    </row>
    <row r="447">
      <c r="A447" s="5"/>
      <c r="B447" s="150"/>
      <c r="C447" s="151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6"/>
      <c r="BB447" s="5"/>
      <c r="BC447" s="7"/>
      <c r="BE447" s="5"/>
      <c r="BF447" s="5"/>
      <c r="BG447" s="5"/>
      <c r="BH447" s="5"/>
      <c r="BI447" s="5"/>
      <c r="BJ447" s="5"/>
    </row>
    <row r="448">
      <c r="A448" s="5"/>
      <c r="B448" s="150"/>
      <c r="C448" s="151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6"/>
      <c r="BB448" s="5"/>
      <c r="BC448" s="7"/>
      <c r="BE448" s="5"/>
      <c r="BF448" s="5"/>
      <c r="BG448" s="5"/>
      <c r="BH448" s="5"/>
      <c r="BI448" s="5"/>
      <c r="BJ448" s="5"/>
    </row>
    <row r="449">
      <c r="A449" s="5"/>
      <c r="B449" s="150"/>
      <c r="C449" s="151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6"/>
      <c r="BB449" s="5"/>
      <c r="BC449" s="7"/>
      <c r="BE449" s="5"/>
      <c r="BF449" s="5"/>
      <c r="BG449" s="5"/>
      <c r="BH449" s="5"/>
      <c r="BI449" s="5"/>
      <c r="BJ449" s="5"/>
    </row>
    <row r="450">
      <c r="A450" s="5"/>
      <c r="B450" s="150"/>
      <c r="C450" s="151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6"/>
      <c r="BB450" s="5"/>
      <c r="BC450" s="7"/>
      <c r="BE450" s="5"/>
      <c r="BF450" s="5"/>
      <c r="BG450" s="5"/>
      <c r="BH450" s="5"/>
      <c r="BI450" s="5"/>
      <c r="BJ450" s="5"/>
    </row>
    <row r="451">
      <c r="A451" s="5"/>
      <c r="B451" s="150"/>
      <c r="C451" s="151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6"/>
      <c r="BB451" s="5"/>
      <c r="BC451" s="7"/>
      <c r="BE451" s="5"/>
      <c r="BF451" s="5"/>
      <c r="BG451" s="5"/>
      <c r="BH451" s="5"/>
      <c r="BI451" s="5"/>
      <c r="BJ451" s="5"/>
    </row>
    <row r="452">
      <c r="A452" s="5"/>
      <c r="B452" s="150"/>
      <c r="C452" s="151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6"/>
      <c r="BB452" s="5"/>
      <c r="BC452" s="7"/>
      <c r="BE452" s="5"/>
      <c r="BF452" s="5"/>
      <c r="BG452" s="5"/>
      <c r="BH452" s="5"/>
      <c r="BI452" s="5"/>
      <c r="BJ452" s="5"/>
    </row>
    <row r="453">
      <c r="A453" s="5"/>
      <c r="B453" s="150"/>
      <c r="C453" s="151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6"/>
      <c r="BB453" s="5"/>
      <c r="BC453" s="7"/>
      <c r="BE453" s="5"/>
      <c r="BF453" s="5"/>
      <c r="BG453" s="5"/>
      <c r="BH453" s="5"/>
      <c r="BI453" s="5"/>
      <c r="BJ453" s="5"/>
    </row>
    <row r="454">
      <c r="A454" s="5"/>
      <c r="B454" s="150"/>
      <c r="C454" s="151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6"/>
      <c r="BB454" s="5"/>
      <c r="BC454" s="7"/>
      <c r="BE454" s="5"/>
      <c r="BF454" s="5"/>
      <c r="BG454" s="5"/>
      <c r="BH454" s="5"/>
      <c r="BI454" s="5"/>
      <c r="BJ454" s="5"/>
    </row>
    <row r="455">
      <c r="A455" s="5"/>
      <c r="B455" s="150"/>
      <c r="C455" s="151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6"/>
      <c r="BB455" s="5"/>
      <c r="BC455" s="7"/>
      <c r="BE455" s="5"/>
      <c r="BF455" s="5"/>
      <c r="BG455" s="5"/>
      <c r="BH455" s="5"/>
      <c r="BI455" s="5"/>
      <c r="BJ455" s="5"/>
    </row>
    <row r="456">
      <c r="A456" s="5"/>
      <c r="B456" s="150"/>
      <c r="C456" s="151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6"/>
      <c r="BB456" s="5"/>
      <c r="BC456" s="7"/>
      <c r="BE456" s="5"/>
      <c r="BF456" s="5"/>
      <c r="BG456" s="5"/>
      <c r="BH456" s="5"/>
      <c r="BI456" s="5"/>
      <c r="BJ456" s="5"/>
    </row>
    <row r="457">
      <c r="A457" s="5"/>
      <c r="B457" s="150"/>
      <c r="C457" s="151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6"/>
      <c r="BB457" s="5"/>
      <c r="BC457" s="7"/>
      <c r="BE457" s="5"/>
      <c r="BF457" s="5"/>
      <c r="BG457" s="5"/>
      <c r="BH457" s="5"/>
      <c r="BI457" s="5"/>
      <c r="BJ457" s="5"/>
    </row>
    <row r="458">
      <c r="A458" s="5"/>
      <c r="B458" s="150"/>
      <c r="C458" s="151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6"/>
      <c r="BB458" s="5"/>
      <c r="BC458" s="7"/>
      <c r="BE458" s="5"/>
      <c r="BF458" s="5"/>
      <c r="BG458" s="5"/>
      <c r="BH458" s="5"/>
      <c r="BI458" s="5"/>
      <c r="BJ458" s="5"/>
    </row>
    <row r="459">
      <c r="A459" s="5"/>
      <c r="B459" s="150"/>
      <c r="C459" s="151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6"/>
      <c r="BB459" s="5"/>
      <c r="BC459" s="7"/>
      <c r="BE459" s="5"/>
      <c r="BF459" s="5"/>
      <c r="BG459" s="5"/>
      <c r="BH459" s="5"/>
      <c r="BI459" s="5"/>
      <c r="BJ459" s="5"/>
    </row>
    <row r="460">
      <c r="A460" s="5"/>
      <c r="B460" s="150"/>
      <c r="C460" s="151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6"/>
      <c r="BB460" s="5"/>
      <c r="BC460" s="7"/>
      <c r="BE460" s="5"/>
      <c r="BF460" s="5"/>
      <c r="BG460" s="5"/>
      <c r="BH460" s="5"/>
      <c r="BI460" s="5"/>
      <c r="BJ460" s="5"/>
    </row>
    <row r="461">
      <c r="A461" s="5"/>
      <c r="B461" s="150"/>
      <c r="C461" s="151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6"/>
      <c r="BB461" s="5"/>
      <c r="BC461" s="7"/>
      <c r="BE461" s="5"/>
      <c r="BF461" s="5"/>
      <c r="BG461" s="5"/>
      <c r="BH461" s="5"/>
      <c r="BI461" s="5"/>
      <c r="BJ461" s="5"/>
    </row>
    <row r="462">
      <c r="A462" s="5"/>
      <c r="B462" s="150"/>
      <c r="C462" s="151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6"/>
      <c r="BB462" s="5"/>
      <c r="BC462" s="7"/>
      <c r="BE462" s="5"/>
      <c r="BF462" s="5"/>
      <c r="BG462" s="5"/>
      <c r="BH462" s="5"/>
      <c r="BI462" s="5"/>
      <c r="BJ462" s="5"/>
    </row>
    <row r="463">
      <c r="A463" s="5"/>
      <c r="B463" s="150"/>
      <c r="C463" s="151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6"/>
      <c r="BB463" s="5"/>
      <c r="BC463" s="7"/>
      <c r="BE463" s="5"/>
      <c r="BF463" s="5"/>
      <c r="BG463" s="5"/>
      <c r="BH463" s="5"/>
      <c r="BI463" s="5"/>
      <c r="BJ463" s="5"/>
    </row>
    <row r="464">
      <c r="A464" s="5"/>
      <c r="B464" s="150"/>
      <c r="C464" s="151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6"/>
      <c r="BB464" s="5"/>
      <c r="BC464" s="7"/>
      <c r="BE464" s="5"/>
      <c r="BF464" s="5"/>
      <c r="BG464" s="5"/>
      <c r="BH464" s="5"/>
      <c r="BI464" s="5"/>
      <c r="BJ464" s="5"/>
    </row>
    <row r="465">
      <c r="A465" s="5"/>
      <c r="B465" s="150"/>
      <c r="C465" s="151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6"/>
      <c r="BB465" s="5"/>
      <c r="BC465" s="7"/>
      <c r="BE465" s="5"/>
      <c r="BF465" s="5"/>
      <c r="BG465" s="5"/>
      <c r="BH465" s="5"/>
      <c r="BI465" s="5"/>
      <c r="BJ465" s="5"/>
    </row>
    <row r="466">
      <c r="A466" s="5"/>
      <c r="B466" s="150"/>
      <c r="C466" s="151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6"/>
      <c r="BB466" s="5"/>
      <c r="BC466" s="7"/>
      <c r="BE466" s="5"/>
      <c r="BF466" s="5"/>
      <c r="BG466" s="5"/>
      <c r="BH466" s="5"/>
      <c r="BI466" s="5"/>
      <c r="BJ466" s="5"/>
    </row>
    <row r="467">
      <c r="A467" s="5"/>
      <c r="B467" s="150"/>
      <c r="C467" s="151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6"/>
      <c r="BB467" s="5"/>
      <c r="BC467" s="7"/>
      <c r="BE467" s="5"/>
      <c r="BF467" s="5"/>
      <c r="BG467" s="5"/>
      <c r="BH467" s="5"/>
      <c r="BI467" s="5"/>
      <c r="BJ467" s="5"/>
    </row>
    <row r="468">
      <c r="A468" s="5"/>
      <c r="B468" s="150"/>
      <c r="C468" s="151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6"/>
      <c r="BB468" s="5"/>
      <c r="BC468" s="7"/>
      <c r="BE468" s="5"/>
      <c r="BF468" s="5"/>
      <c r="BG468" s="5"/>
      <c r="BH468" s="5"/>
      <c r="BI468" s="5"/>
      <c r="BJ468" s="5"/>
    </row>
    <row r="469">
      <c r="A469" s="5"/>
      <c r="B469" s="150"/>
      <c r="C469" s="151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6"/>
      <c r="BB469" s="5"/>
      <c r="BC469" s="7"/>
      <c r="BE469" s="5"/>
      <c r="BF469" s="5"/>
      <c r="BG469" s="5"/>
      <c r="BH469" s="5"/>
      <c r="BI469" s="5"/>
      <c r="BJ469" s="5"/>
    </row>
    <row r="470">
      <c r="A470" s="5"/>
      <c r="B470" s="150"/>
      <c r="C470" s="151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6"/>
      <c r="BB470" s="5"/>
      <c r="BC470" s="7"/>
      <c r="BE470" s="5"/>
      <c r="BF470" s="5"/>
      <c r="BG470" s="5"/>
      <c r="BH470" s="5"/>
      <c r="BI470" s="5"/>
      <c r="BJ470" s="5"/>
    </row>
    <row r="471">
      <c r="A471" s="5"/>
      <c r="B471" s="150"/>
      <c r="C471" s="151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6"/>
      <c r="BB471" s="5"/>
      <c r="BC471" s="7"/>
      <c r="BE471" s="5"/>
      <c r="BF471" s="5"/>
      <c r="BG471" s="5"/>
      <c r="BH471" s="5"/>
      <c r="BI471" s="5"/>
      <c r="BJ471" s="5"/>
    </row>
    <row r="472">
      <c r="A472" s="5"/>
      <c r="B472" s="150"/>
      <c r="C472" s="151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6"/>
      <c r="BB472" s="5"/>
      <c r="BC472" s="7"/>
      <c r="BE472" s="5"/>
      <c r="BF472" s="5"/>
      <c r="BG472" s="5"/>
      <c r="BH472" s="5"/>
      <c r="BI472" s="5"/>
      <c r="BJ472" s="5"/>
    </row>
    <row r="473">
      <c r="A473" s="5"/>
      <c r="B473" s="150"/>
      <c r="C473" s="151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6"/>
      <c r="BB473" s="5"/>
      <c r="BC473" s="7"/>
      <c r="BE473" s="5"/>
      <c r="BF473" s="5"/>
      <c r="BG473" s="5"/>
      <c r="BH473" s="5"/>
      <c r="BI473" s="5"/>
      <c r="BJ473" s="5"/>
    </row>
    <row r="474">
      <c r="A474" s="5"/>
      <c r="B474" s="150"/>
      <c r="C474" s="151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6"/>
      <c r="BB474" s="5"/>
      <c r="BC474" s="7"/>
      <c r="BE474" s="5"/>
      <c r="BF474" s="5"/>
      <c r="BG474" s="5"/>
      <c r="BH474" s="5"/>
      <c r="BI474" s="5"/>
      <c r="BJ474" s="5"/>
    </row>
    <row r="475">
      <c r="A475" s="5"/>
      <c r="B475" s="150"/>
      <c r="C475" s="151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6"/>
      <c r="BB475" s="5"/>
      <c r="BC475" s="7"/>
      <c r="BE475" s="5"/>
      <c r="BF475" s="5"/>
      <c r="BG475" s="5"/>
      <c r="BH475" s="5"/>
      <c r="BI475" s="5"/>
      <c r="BJ475" s="5"/>
    </row>
    <row r="476">
      <c r="A476" s="5"/>
      <c r="B476" s="150"/>
      <c r="C476" s="151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6"/>
      <c r="BB476" s="5"/>
      <c r="BC476" s="7"/>
      <c r="BE476" s="5"/>
      <c r="BF476" s="5"/>
      <c r="BG476" s="5"/>
      <c r="BH476" s="5"/>
      <c r="BI476" s="5"/>
      <c r="BJ476" s="5"/>
    </row>
    <row r="477">
      <c r="A477" s="5"/>
      <c r="B477" s="150"/>
      <c r="C477" s="151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6"/>
      <c r="BB477" s="5"/>
      <c r="BC477" s="7"/>
      <c r="BE477" s="5"/>
      <c r="BF477" s="5"/>
      <c r="BG477" s="5"/>
      <c r="BH477" s="5"/>
      <c r="BI477" s="5"/>
      <c r="BJ477" s="5"/>
    </row>
    <row r="478">
      <c r="A478" s="5"/>
      <c r="B478" s="150"/>
      <c r="C478" s="151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6"/>
      <c r="BB478" s="5"/>
      <c r="BC478" s="7"/>
      <c r="BE478" s="5"/>
      <c r="BF478" s="5"/>
      <c r="BG478" s="5"/>
      <c r="BH478" s="5"/>
      <c r="BI478" s="5"/>
      <c r="BJ478" s="5"/>
    </row>
    <row r="479">
      <c r="A479" s="5"/>
      <c r="B479" s="150"/>
      <c r="C479" s="151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6"/>
      <c r="BB479" s="5"/>
      <c r="BC479" s="7"/>
      <c r="BE479" s="5"/>
      <c r="BF479" s="5"/>
      <c r="BG479" s="5"/>
      <c r="BH479" s="5"/>
      <c r="BI479" s="5"/>
      <c r="BJ479" s="5"/>
    </row>
    <row r="480">
      <c r="A480" s="5"/>
      <c r="B480" s="150"/>
      <c r="C480" s="151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6"/>
      <c r="BB480" s="5"/>
      <c r="BC480" s="7"/>
      <c r="BE480" s="5"/>
      <c r="BF480" s="5"/>
      <c r="BG480" s="5"/>
      <c r="BH480" s="5"/>
      <c r="BI480" s="5"/>
      <c r="BJ480" s="5"/>
    </row>
    <row r="481">
      <c r="A481" s="5"/>
      <c r="B481" s="150"/>
      <c r="C481" s="151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6"/>
      <c r="BB481" s="5"/>
      <c r="BC481" s="7"/>
      <c r="BE481" s="5"/>
      <c r="BF481" s="5"/>
      <c r="BG481" s="5"/>
      <c r="BH481" s="5"/>
      <c r="BI481" s="5"/>
      <c r="BJ481" s="5"/>
    </row>
    <row r="482">
      <c r="A482" s="5"/>
      <c r="B482" s="150"/>
      <c r="C482" s="151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6"/>
      <c r="BB482" s="5"/>
      <c r="BC482" s="7"/>
      <c r="BE482" s="5"/>
      <c r="BF482" s="5"/>
      <c r="BG482" s="5"/>
      <c r="BH482" s="5"/>
      <c r="BI482" s="5"/>
      <c r="BJ482" s="5"/>
    </row>
    <row r="483">
      <c r="A483" s="5"/>
      <c r="B483" s="150"/>
      <c r="C483" s="151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6"/>
      <c r="BB483" s="5"/>
      <c r="BC483" s="7"/>
      <c r="BE483" s="5"/>
      <c r="BF483" s="5"/>
      <c r="BG483" s="5"/>
      <c r="BH483" s="5"/>
      <c r="BI483" s="5"/>
      <c r="BJ483" s="5"/>
    </row>
    <row r="484">
      <c r="A484" s="5"/>
      <c r="B484" s="150"/>
      <c r="C484" s="151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6"/>
      <c r="BB484" s="5"/>
      <c r="BC484" s="7"/>
      <c r="BE484" s="5"/>
      <c r="BF484" s="5"/>
      <c r="BG484" s="5"/>
      <c r="BH484" s="5"/>
      <c r="BI484" s="5"/>
      <c r="BJ484" s="5"/>
    </row>
    <row r="485">
      <c r="A485" s="5"/>
      <c r="B485" s="150"/>
      <c r="C485" s="151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6"/>
      <c r="BB485" s="5"/>
      <c r="BC485" s="7"/>
      <c r="BE485" s="5"/>
      <c r="BF485" s="5"/>
      <c r="BG485" s="5"/>
      <c r="BH485" s="5"/>
      <c r="BI485" s="5"/>
      <c r="BJ485" s="5"/>
    </row>
    <row r="486">
      <c r="A486" s="5"/>
      <c r="B486" s="150"/>
      <c r="C486" s="151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6"/>
      <c r="BB486" s="5"/>
      <c r="BC486" s="7"/>
      <c r="BE486" s="5"/>
      <c r="BF486" s="5"/>
      <c r="BG486" s="5"/>
      <c r="BH486" s="5"/>
      <c r="BI486" s="5"/>
      <c r="BJ486" s="5"/>
    </row>
    <row r="487">
      <c r="A487" s="5"/>
      <c r="B487" s="150"/>
      <c r="C487" s="151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6"/>
      <c r="BB487" s="5"/>
      <c r="BC487" s="7"/>
      <c r="BE487" s="5"/>
      <c r="BF487" s="5"/>
      <c r="BG487" s="5"/>
      <c r="BH487" s="5"/>
      <c r="BI487" s="5"/>
      <c r="BJ487" s="5"/>
    </row>
    <row r="488">
      <c r="A488" s="5"/>
      <c r="B488" s="150"/>
      <c r="C488" s="151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6"/>
      <c r="BB488" s="5"/>
      <c r="BC488" s="7"/>
      <c r="BE488" s="5"/>
      <c r="BF488" s="5"/>
      <c r="BG488" s="5"/>
      <c r="BH488" s="5"/>
      <c r="BI488" s="5"/>
      <c r="BJ488" s="5"/>
    </row>
    <row r="489">
      <c r="A489" s="5"/>
      <c r="B489" s="150"/>
      <c r="C489" s="151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6"/>
      <c r="BB489" s="5"/>
      <c r="BC489" s="7"/>
      <c r="BE489" s="5"/>
      <c r="BF489" s="5"/>
      <c r="BG489" s="5"/>
      <c r="BH489" s="5"/>
      <c r="BI489" s="5"/>
      <c r="BJ489" s="5"/>
    </row>
    <row r="490">
      <c r="A490" s="5"/>
      <c r="B490" s="150"/>
      <c r="C490" s="151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6"/>
      <c r="BB490" s="5"/>
      <c r="BC490" s="7"/>
      <c r="BE490" s="5"/>
      <c r="BF490" s="5"/>
      <c r="BG490" s="5"/>
      <c r="BH490" s="5"/>
      <c r="BI490" s="5"/>
      <c r="BJ490" s="5"/>
    </row>
    <row r="491">
      <c r="A491" s="5"/>
      <c r="B491" s="150"/>
      <c r="C491" s="151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6"/>
      <c r="BB491" s="5"/>
      <c r="BC491" s="7"/>
      <c r="BE491" s="5"/>
      <c r="BF491" s="5"/>
      <c r="BG491" s="5"/>
      <c r="BH491" s="5"/>
      <c r="BI491" s="5"/>
      <c r="BJ491" s="5"/>
    </row>
    <row r="492">
      <c r="A492" s="5"/>
      <c r="B492" s="150"/>
      <c r="C492" s="151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6"/>
      <c r="BB492" s="5"/>
      <c r="BC492" s="7"/>
      <c r="BE492" s="5"/>
      <c r="BF492" s="5"/>
      <c r="BG492" s="5"/>
      <c r="BH492" s="5"/>
      <c r="BI492" s="5"/>
      <c r="BJ492" s="5"/>
    </row>
    <row r="493">
      <c r="A493" s="5"/>
      <c r="B493" s="150"/>
      <c r="C493" s="151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6"/>
      <c r="BB493" s="5"/>
      <c r="BC493" s="7"/>
      <c r="BE493" s="5"/>
      <c r="BF493" s="5"/>
      <c r="BG493" s="5"/>
      <c r="BH493" s="5"/>
      <c r="BI493" s="5"/>
      <c r="BJ493" s="5"/>
    </row>
    <row r="494">
      <c r="A494" s="5"/>
      <c r="B494" s="150"/>
      <c r="C494" s="151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6"/>
      <c r="BB494" s="5"/>
      <c r="BC494" s="7"/>
      <c r="BE494" s="5"/>
      <c r="BF494" s="5"/>
      <c r="BG494" s="5"/>
      <c r="BH494" s="5"/>
      <c r="BI494" s="5"/>
      <c r="BJ494" s="5"/>
    </row>
    <row r="495">
      <c r="A495" s="5"/>
      <c r="B495" s="150"/>
      <c r="C495" s="151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6"/>
      <c r="BB495" s="5"/>
      <c r="BC495" s="7"/>
      <c r="BE495" s="5"/>
      <c r="BF495" s="5"/>
      <c r="BG495" s="5"/>
      <c r="BH495" s="5"/>
      <c r="BI495" s="5"/>
      <c r="BJ495" s="5"/>
    </row>
    <row r="496">
      <c r="A496" s="5"/>
      <c r="B496" s="150"/>
      <c r="C496" s="151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6"/>
      <c r="BB496" s="5"/>
      <c r="BC496" s="7"/>
      <c r="BE496" s="5"/>
      <c r="BF496" s="5"/>
      <c r="BG496" s="5"/>
      <c r="BH496" s="5"/>
      <c r="BI496" s="5"/>
      <c r="BJ496" s="5"/>
    </row>
    <row r="497">
      <c r="A497" s="5"/>
      <c r="B497" s="150"/>
      <c r="C497" s="151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6"/>
      <c r="BB497" s="5"/>
      <c r="BC497" s="7"/>
      <c r="BE497" s="5"/>
      <c r="BF497" s="5"/>
      <c r="BG497" s="5"/>
      <c r="BH497" s="5"/>
      <c r="BI497" s="5"/>
      <c r="BJ497" s="5"/>
    </row>
    <row r="498">
      <c r="A498" s="5"/>
      <c r="B498" s="150"/>
      <c r="C498" s="151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6"/>
      <c r="BB498" s="5"/>
      <c r="BC498" s="7"/>
      <c r="BE498" s="5"/>
      <c r="BF498" s="5"/>
      <c r="BG498" s="5"/>
      <c r="BH498" s="5"/>
      <c r="BI498" s="5"/>
      <c r="BJ498" s="5"/>
    </row>
    <row r="499">
      <c r="A499" s="5"/>
      <c r="B499" s="150"/>
      <c r="C499" s="151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6"/>
      <c r="BB499" s="5"/>
      <c r="BC499" s="7"/>
      <c r="BE499" s="5"/>
      <c r="BF499" s="5"/>
      <c r="BG499" s="5"/>
      <c r="BH499" s="5"/>
      <c r="BI499" s="5"/>
      <c r="BJ499" s="5"/>
    </row>
    <row r="500">
      <c r="A500" s="5"/>
      <c r="B500" s="150"/>
      <c r="C500" s="151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6"/>
      <c r="BB500" s="5"/>
      <c r="BC500" s="7"/>
      <c r="BE500" s="5"/>
      <c r="BF500" s="5"/>
      <c r="BG500" s="5"/>
      <c r="BH500" s="5"/>
      <c r="BI500" s="5"/>
      <c r="BJ500" s="5"/>
    </row>
    <row r="501">
      <c r="A501" s="5"/>
      <c r="B501" s="150"/>
      <c r="C501" s="151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6"/>
      <c r="BB501" s="5"/>
      <c r="BC501" s="7"/>
      <c r="BE501" s="5"/>
      <c r="BF501" s="5"/>
      <c r="BG501" s="5"/>
      <c r="BH501" s="5"/>
      <c r="BI501" s="5"/>
      <c r="BJ501" s="5"/>
    </row>
    <row r="502">
      <c r="A502" s="5"/>
      <c r="B502" s="150"/>
      <c r="C502" s="151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6"/>
      <c r="BB502" s="5"/>
      <c r="BC502" s="7"/>
      <c r="BE502" s="5"/>
      <c r="BF502" s="5"/>
      <c r="BG502" s="5"/>
      <c r="BH502" s="5"/>
      <c r="BI502" s="5"/>
      <c r="BJ502" s="5"/>
    </row>
    <row r="503">
      <c r="A503" s="5"/>
      <c r="B503" s="150"/>
      <c r="C503" s="151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6"/>
      <c r="BB503" s="5"/>
      <c r="BC503" s="7"/>
      <c r="BE503" s="5"/>
      <c r="BF503" s="5"/>
      <c r="BG503" s="5"/>
      <c r="BH503" s="5"/>
      <c r="BI503" s="5"/>
      <c r="BJ503" s="5"/>
    </row>
    <row r="504">
      <c r="A504" s="5"/>
      <c r="B504" s="150"/>
      <c r="C504" s="151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6"/>
      <c r="BB504" s="5"/>
      <c r="BC504" s="7"/>
      <c r="BE504" s="5"/>
      <c r="BF504" s="5"/>
      <c r="BG504" s="5"/>
      <c r="BH504" s="5"/>
      <c r="BI504" s="5"/>
      <c r="BJ504" s="5"/>
    </row>
    <row r="505">
      <c r="A505" s="5"/>
      <c r="B505" s="150"/>
      <c r="C505" s="151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6"/>
      <c r="BB505" s="5"/>
      <c r="BC505" s="7"/>
      <c r="BE505" s="5"/>
      <c r="BF505" s="5"/>
      <c r="BG505" s="5"/>
      <c r="BH505" s="5"/>
      <c r="BI505" s="5"/>
      <c r="BJ505" s="5"/>
    </row>
    <row r="506">
      <c r="A506" s="5"/>
      <c r="B506" s="150"/>
      <c r="C506" s="151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6"/>
      <c r="BB506" s="5"/>
      <c r="BC506" s="7"/>
      <c r="BE506" s="5"/>
      <c r="BF506" s="5"/>
      <c r="BG506" s="5"/>
      <c r="BH506" s="5"/>
      <c r="BI506" s="5"/>
      <c r="BJ506" s="5"/>
    </row>
    <row r="507">
      <c r="A507" s="5"/>
      <c r="B507" s="150"/>
      <c r="C507" s="151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6"/>
      <c r="BB507" s="5"/>
      <c r="BC507" s="7"/>
      <c r="BE507" s="5"/>
      <c r="BF507" s="5"/>
      <c r="BG507" s="5"/>
      <c r="BH507" s="5"/>
      <c r="BI507" s="5"/>
      <c r="BJ507" s="5"/>
    </row>
    <row r="508">
      <c r="A508" s="5"/>
      <c r="B508" s="150"/>
      <c r="C508" s="151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6"/>
      <c r="BB508" s="5"/>
      <c r="BC508" s="7"/>
      <c r="BE508" s="5"/>
      <c r="BF508" s="5"/>
      <c r="BG508" s="5"/>
      <c r="BH508" s="5"/>
      <c r="BI508" s="5"/>
      <c r="BJ508" s="5"/>
    </row>
    <row r="509">
      <c r="A509" s="5"/>
      <c r="B509" s="150"/>
      <c r="C509" s="151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6"/>
      <c r="BB509" s="5"/>
      <c r="BC509" s="7"/>
      <c r="BE509" s="5"/>
      <c r="BF509" s="5"/>
      <c r="BG509" s="5"/>
      <c r="BH509" s="5"/>
      <c r="BI509" s="5"/>
      <c r="BJ509" s="5"/>
    </row>
    <row r="510">
      <c r="A510" s="5"/>
      <c r="B510" s="150"/>
      <c r="C510" s="151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6"/>
      <c r="BB510" s="5"/>
      <c r="BC510" s="7"/>
      <c r="BE510" s="5"/>
      <c r="BF510" s="5"/>
      <c r="BG510" s="5"/>
      <c r="BH510" s="5"/>
      <c r="BI510" s="5"/>
      <c r="BJ510" s="5"/>
    </row>
    <row r="511">
      <c r="A511" s="5"/>
      <c r="B511" s="150"/>
      <c r="C511" s="151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6"/>
      <c r="BB511" s="5"/>
      <c r="BC511" s="7"/>
      <c r="BE511" s="5"/>
      <c r="BF511" s="5"/>
      <c r="BG511" s="5"/>
      <c r="BH511" s="5"/>
      <c r="BI511" s="5"/>
      <c r="BJ511" s="5"/>
    </row>
    <row r="512">
      <c r="A512" s="5"/>
      <c r="B512" s="150"/>
      <c r="C512" s="151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6"/>
      <c r="BB512" s="5"/>
      <c r="BC512" s="7"/>
      <c r="BE512" s="5"/>
      <c r="BF512" s="5"/>
      <c r="BG512" s="5"/>
      <c r="BH512" s="5"/>
      <c r="BI512" s="5"/>
      <c r="BJ512" s="5"/>
    </row>
    <row r="513">
      <c r="A513" s="5"/>
      <c r="B513" s="150"/>
      <c r="C513" s="151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6"/>
      <c r="BB513" s="5"/>
      <c r="BC513" s="7"/>
      <c r="BE513" s="5"/>
      <c r="BF513" s="5"/>
      <c r="BG513" s="5"/>
      <c r="BH513" s="5"/>
      <c r="BI513" s="5"/>
      <c r="BJ513" s="5"/>
    </row>
    <row r="514">
      <c r="A514" s="5"/>
      <c r="B514" s="150"/>
      <c r="C514" s="151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6"/>
      <c r="BB514" s="5"/>
      <c r="BC514" s="7"/>
      <c r="BE514" s="5"/>
      <c r="BF514" s="5"/>
      <c r="BG514" s="5"/>
      <c r="BH514" s="5"/>
      <c r="BI514" s="5"/>
      <c r="BJ514" s="5"/>
    </row>
    <row r="515">
      <c r="A515" s="5"/>
      <c r="B515" s="150"/>
      <c r="C515" s="151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6"/>
      <c r="BB515" s="5"/>
      <c r="BC515" s="7"/>
      <c r="BE515" s="5"/>
      <c r="BF515" s="5"/>
      <c r="BG515" s="5"/>
      <c r="BH515" s="5"/>
      <c r="BI515" s="5"/>
      <c r="BJ515" s="5"/>
    </row>
    <row r="516">
      <c r="A516" s="5"/>
      <c r="B516" s="150"/>
      <c r="C516" s="151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6"/>
      <c r="BB516" s="5"/>
      <c r="BC516" s="7"/>
      <c r="BE516" s="5"/>
      <c r="BF516" s="5"/>
      <c r="BG516" s="5"/>
      <c r="BH516" s="5"/>
      <c r="BI516" s="5"/>
      <c r="BJ516" s="5"/>
    </row>
    <row r="517">
      <c r="A517" s="5"/>
      <c r="B517" s="150"/>
      <c r="C517" s="151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6"/>
      <c r="BB517" s="5"/>
      <c r="BC517" s="7"/>
      <c r="BE517" s="5"/>
      <c r="BF517" s="5"/>
      <c r="BG517" s="5"/>
      <c r="BH517" s="5"/>
      <c r="BI517" s="5"/>
      <c r="BJ517" s="5"/>
    </row>
    <row r="518">
      <c r="A518" s="5"/>
      <c r="B518" s="150"/>
      <c r="C518" s="151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6"/>
      <c r="BB518" s="5"/>
      <c r="BC518" s="7"/>
      <c r="BE518" s="5"/>
      <c r="BF518" s="5"/>
      <c r="BG518" s="5"/>
      <c r="BH518" s="5"/>
      <c r="BI518" s="5"/>
      <c r="BJ518" s="5"/>
    </row>
    <row r="519">
      <c r="A519" s="5"/>
      <c r="B519" s="150"/>
      <c r="C519" s="151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6"/>
      <c r="BB519" s="5"/>
      <c r="BC519" s="7"/>
      <c r="BE519" s="5"/>
      <c r="BF519" s="5"/>
      <c r="BG519" s="5"/>
      <c r="BH519" s="5"/>
      <c r="BI519" s="5"/>
      <c r="BJ519" s="5"/>
    </row>
    <row r="520">
      <c r="A520" s="5"/>
      <c r="B520" s="150"/>
      <c r="C520" s="151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6"/>
      <c r="BB520" s="5"/>
      <c r="BC520" s="7"/>
      <c r="BE520" s="5"/>
      <c r="BF520" s="5"/>
      <c r="BG520" s="5"/>
      <c r="BH520" s="5"/>
      <c r="BI520" s="5"/>
      <c r="BJ520" s="5"/>
    </row>
    <row r="521">
      <c r="A521" s="5"/>
      <c r="B521" s="150"/>
      <c r="C521" s="151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6"/>
      <c r="BB521" s="5"/>
      <c r="BC521" s="7"/>
      <c r="BE521" s="5"/>
      <c r="BF521" s="5"/>
      <c r="BG521" s="5"/>
      <c r="BH521" s="5"/>
      <c r="BI521" s="5"/>
      <c r="BJ521" s="5"/>
    </row>
    <row r="522">
      <c r="A522" s="5"/>
      <c r="B522" s="150"/>
      <c r="C522" s="151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6"/>
      <c r="BB522" s="5"/>
      <c r="BC522" s="7"/>
      <c r="BE522" s="5"/>
      <c r="BF522" s="5"/>
      <c r="BG522" s="5"/>
      <c r="BH522" s="5"/>
      <c r="BI522" s="5"/>
      <c r="BJ522" s="5"/>
    </row>
    <row r="523">
      <c r="A523" s="5"/>
      <c r="B523" s="150"/>
      <c r="C523" s="151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6"/>
      <c r="BB523" s="5"/>
      <c r="BC523" s="7"/>
      <c r="BE523" s="5"/>
      <c r="BF523" s="5"/>
      <c r="BG523" s="5"/>
      <c r="BH523" s="5"/>
      <c r="BI523" s="5"/>
      <c r="BJ523" s="5"/>
    </row>
    <row r="524">
      <c r="A524" s="5"/>
      <c r="B524" s="150"/>
      <c r="C524" s="151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6"/>
      <c r="BB524" s="5"/>
      <c r="BC524" s="7"/>
      <c r="BE524" s="5"/>
      <c r="BF524" s="5"/>
      <c r="BG524" s="5"/>
      <c r="BH524" s="5"/>
      <c r="BI524" s="5"/>
      <c r="BJ524" s="5"/>
    </row>
    <row r="525">
      <c r="A525" s="5"/>
      <c r="B525" s="150"/>
      <c r="C525" s="151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6"/>
      <c r="BB525" s="5"/>
      <c r="BC525" s="7"/>
      <c r="BE525" s="5"/>
      <c r="BF525" s="5"/>
      <c r="BG525" s="5"/>
      <c r="BH525" s="5"/>
      <c r="BI525" s="5"/>
      <c r="BJ525" s="5"/>
    </row>
    <row r="526">
      <c r="A526" s="5"/>
      <c r="B526" s="150"/>
      <c r="C526" s="151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6"/>
      <c r="BB526" s="5"/>
      <c r="BC526" s="7"/>
      <c r="BE526" s="5"/>
      <c r="BF526" s="5"/>
      <c r="BG526" s="5"/>
      <c r="BH526" s="5"/>
      <c r="BI526" s="5"/>
      <c r="BJ526" s="5"/>
    </row>
    <row r="527">
      <c r="A527" s="5"/>
      <c r="B527" s="150"/>
      <c r="C527" s="151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6"/>
      <c r="BB527" s="5"/>
      <c r="BC527" s="7"/>
      <c r="BE527" s="5"/>
      <c r="BF527" s="5"/>
      <c r="BG527" s="5"/>
      <c r="BH527" s="5"/>
      <c r="BI527" s="5"/>
      <c r="BJ527" s="5"/>
    </row>
    <row r="528">
      <c r="A528" s="5"/>
      <c r="B528" s="150"/>
      <c r="C528" s="151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6"/>
      <c r="BB528" s="5"/>
      <c r="BC528" s="7"/>
      <c r="BE528" s="5"/>
      <c r="BF528" s="5"/>
      <c r="BG528" s="5"/>
      <c r="BH528" s="5"/>
      <c r="BI528" s="5"/>
      <c r="BJ528" s="5"/>
    </row>
    <row r="529">
      <c r="A529" s="5"/>
      <c r="B529" s="150"/>
      <c r="C529" s="151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6"/>
      <c r="BB529" s="5"/>
      <c r="BC529" s="7"/>
      <c r="BE529" s="5"/>
      <c r="BF529" s="5"/>
      <c r="BG529" s="5"/>
      <c r="BH529" s="5"/>
      <c r="BI529" s="5"/>
      <c r="BJ529" s="5"/>
    </row>
    <row r="530">
      <c r="A530" s="5"/>
      <c r="B530" s="150"/>
      <c r="C530" s="151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6"/>
      <c r="BB530" s="5"/>
      <c r="BC530" s="7"/>
      <c r="BE530" s="5"/>
      <c r="BF530" s="5"/>
      <c r="BG530" s="5"/>
      <c r="BH530" s="5"/>
      <c r="BI530" s="5"/>
      <c r="BJ530" s="5"/>
    </row>
    <row r="531">
      <c r="A531" s="5"/>
      <c r="B531" s="150"/>
      <c r="C531" s="151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6"/>
      <c r="BB531" s="5"/>
      <c r="BC531" s="7"/>
      <c r="BE531" s="5"/>
      <c r="BF531" s="5"/>
      <c r="BG531" s="5"/>
      <c r="BH531" s="5"/>
      <c r="BI531" s="5"/>
      <c r="BJ531" s="5"/>
    </row>
    <row r="532">
      <c r="A532" s="5"/>
      <c r="B532" s="150"/>
      <c r="C532" s="151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6"/>
      <c r="BB532" s="5"/>
      <c r="BC532" s="7"/>
      <c r="BE532" s="5"/>
      <c r="BF532" s="5"/>
      <c r="BG532" s="5"/>
      <c r="BH532" s="5"/>
      <c r="BI532" s="5"/>
      <c r="BJ532" s="5"/>
    </row>
    <row r="533">
      <c r="A533" s="5"/>
      <c r="B533" s="150"/>
      <c r="C533" s="151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6"/>
      <c r="BB533" s="5"/>
      <c r="BC533" s="7"/>
      <c r="BE533" s="5"/>
      <c r="BF533" s="5"/>
      <c r="BG533" s="5"/>
      <c r="BH533" s="5"/>
      <c r="BI533" s="5"/>
      <c r="BJ533" s="5"/>
    </row>
    <row r="534">
      <c r="A534" s="5"/>
      <c r="B534" s="150"/>
      <c r="C534" s="151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6"/>
      <c r="BB534" s="5"/>
      <c r="BC534" s="7"/>
      <c r="BE534" s="5"/>
      <c r="BF534" s="5"/>
      <c r="BG534" s="5"/>
      <c r="BH534" s="5"/>
      <c r="BI534" s="5"/>
      <c r="BJ534" s="5"/>
    </row>
    <row r="535">
      <c r="A535" s="5"/>
      <c r="B535" s="150"/>
      <c r="C535" s="151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6"/>
      <c r="BB535" s="5"/>
      <c r="BC535" s="7"/>
      <c r="BE535" s="5"/>
      <c r="BF535" s="5"/>
      <c r="BG535" s="5"/>
      <c r="BH535" s="5"/>
      <c r="BI535" s="5"/>
      <c r="BJ535" s="5"/>
    </row>
    <row r="536">
      <c r="A536" s="5"/>
      <c r="B536" s="150"/>
      <c r="C536" s="151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6"/>
      <c r="BB536" s="5"/>
      <c r="BC536" s="7"/>
      <c r="BE536" s="5"/>
      <c r="BF536" s="5"/>
      <c r="BG536" s="5"/>
      <c r="BH536" s="5"/>
      <c r="BI536" s="5"/>
      <c r="BJ536" s="5"/>
    </row>
    <row r="537">
      <c r="A537" s="5"/>
      <c r="B537" s="150"/>
      <c r="C537" s="151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6"/>
      <c r="BB537" s="5"/>
      <c r="BC537" s="7"/>
      <c r="BE537" s="5"/>
      <c r="BF537" s="5"/>
      <c r="BG537" s="5"/>
      <c r="BH537" s="5"/>
      <c r="BI537" s="5"/>
      <c r="BJ537" s="5"/>
    </row>
    <row r="538">
      <c r="A538" s="5"/>
      <c r="B538" s="150"/>
      <c r="C538" s="151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6"/>
      <c r="BB538" s="5"/>
      <c r="BC538" s="7"/>
      <c r="BE538" s="5"/>
      <c r="BF538" s="5"/>
      <c r="BG538" s="5"/>
      <c r="BH538" s="5"/>
      <c r="BI538" s="5"/>
      <c r="BJ538" s="5"/>
    </row>
    <row r="539">
      <c r="A539" s="5"/>
      <c r="B539" s="150"/>
      <c r="C539" s="151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6"/>
      <c r="BB539" s="5"/>
      <c r="BC539" s="7"/>
      <c r="BE539" s="5"/>
      <c r="BF539" s="5"/>
      <c r="BG539" s="5"/>
      <c r="BH539" s="5"/>
      <c r="BI539" s="5"/>
      <c r="BJ539" s="5"/>
    </row>
    <row r="540">
      <c r="A540" s="5"/>
      <c r="B540" s="150"/>
      <c r="C540" s="151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6"/>
      <c r="BB540" s="5"/>
      <c r="BC540" s="7"/>
      <c r="BE540" s="5"/>
      <c r="BF540" s="5"/>
      <c r="BG540" s="5"/>
      <c r="BH540" s="5"/>
      <c r="BI540" s="5"/>
      <c r="BJ540" s="5"/>
    </row>
    <row r="541">
      <c r="A541" s="5"/>
      <c r="B541" s="150"/>
      <c r="C541" s="151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6"/>
      <c r="BB541" s="5"/>
      <c r="BC541" s="7"/>
      <c r="BE541" s="5"/>
      <c r="BF541" s="5"/>
      <c r="BG541" s="5"/>
      <c r="BH541" s="5"/>
      <c r="BI541" s="5"/>
      <c r="BJ541" s="5"/>
    </row>
    <row r="542">
      <c r="A542" s="5"/>
      <c r="B542" s="150"/>
      <c r="C542" s="151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6"/>
      <c r="BB542" s="5"/>
      <c r="BC542" s="7"/>
      <c r="BE542" s="5"/>
      <c r="BF542" s="5"/>
      <c r="BG542" s="5"/>
      <c r="BH542" s="5"/>
      <c r="BI542" s="5"/>
      <c r="BJ542" s="5"/>
    </row>
    <row r="543">
      <c r="A543" s="5"/>
      <c r="B543" s="150"/>
      <c r="C543" s="151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6"/>
      <c r="BB543" s="5"/>
      <c r="BC543" s="7"/>
      <c r="BE543" s="5"/>
      <c r="BF543" s="5"/>
      <c r="BG543" s="5"/>
      <c r="BH543" s="5"/>
      <c r="BI543" s="5"/>
      <c r="BJ543" s="5"/>
    </row>
    <row r="544">
      <c r="A544" s="5"/>
      <c r="B544" s="150"/>
      <c r="C544" s="151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6"/>
      <c r="BB544" s="5"/>
      <c r="BC544" s="7"/>
      <c r="BE544" s="5"/>
      <c r="BF544" s="5"/>
      <c r="BG544" s="5"/>
      <c r="BH544" s="5"/>
      <c r="BI544" s="5"/>
      <c r="BJ544" s="5"/>
    </row>
    <row r="545">
      <c r="A545" s="5"/>
      <c r="B545" s="150"/>
      <c r="C545" s="151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6"/>
      <c r="BB545" s="5"/>
      <c r="BC545" s="7"/>
      <c r="BE545" s="5"/>
      <c r="BF545" s="5"/>
      <c r="BG545" s="5"/>
      <c r="BH545" s="5"/>
      <c r="BI545" s="5"/>
      <c r="BJ545" s="5"/>
    </row>
    <row r="546">
      <c r="A546" s="5"/>
      <c r="B546" s="150"/>
      <c r="C546" s="151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6"/>
      <c r="BB546" s="5"/>
      <c r="BC546" s="7"/>
      <c r="BE546" s="5"/>
      <c r="BF546" s="5"/>
      <c r="BG546" s="5"/>
      <c r="BH546" s="5"/>
      <c r="BI546" s="5"/>
      <c r="BJ546" s="5"/>
    </row>
    <row r="547">
      <c r="A547" s="5"/>
      <c r="B547" s="150"/>
      <c r="C547" s="151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6"/>
      <c r="BB547" s="5"/>
      <c r="BC547" s="7"/>
      <c r="BE547" s="5"/>
      <c r="BF547" s="5"/>
      <c r="BG547" s="5"/>
      <c r="BH547" s="5"/>
      <c r="BI547" s="5"/>
      <c r="BJ547" s="5"/>
    </row>
    <row r="548">
      <c r="A548" s="5"/>
      <c r="B548" s="150"/>
      <c r="C548" s="151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6"/>
      <c r="BB548" s="5"/>
      <c r="BC548" s="7"/>
      <c r="BE548" s="5"/>
      <c r="BF548" s="5"/>
      <c r="BG548" s="5"/>
      <c r="BH548" s="5"/>
      <c r="BI548" s="5"/>
      <c r="BJ548" s="5"/>
    </row>
    <row r="549">
      <c r="A549" s="5"/>
      <c r="B549" s="150"/>
      <c r="C549" s="151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6"/>
      <c r="BB549" s="5"/>
      <c r="BC549" s="7"/>
      <c r="BE549" s="5"/>
      <c r="BF549" s="5"/>
      <c r="BG549" s="5"/>
      <c r="BH549" s="5"/>
      <c r="BI549" s="5"/>
      <c r="BJ549" s="5"/>
    </row>
    <row r="550">
      <c r="A550" s="5"/>
      <c r="B550" s="150"/>
      <c r="C550" s="151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6"/>
      <c r="BB550" s="5"/>
      <c r="BC550" s="7"/>
      <c r="BE550" s="5"/>
      <c r="BF550" s="5"/>
      <c r="BG550" s="5"/>
      <c r="BH550" s="5"/>
      <c r="BI550" s="5"/>
      <c r="BJ550" s="5"/>
    </row>
    <row r="551">
      <c r="A551" s="5"/>
      <c r="B551" s="150"/>
      <c r="C551" s="151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6"/>
      <c r="BB551" s="5"/>
      <c r="BC551" s="7"/>
      <c r="BE551" s="5"/>
      <c r="BF551" s="5"/>
      <c r="BG551" s="5"/>
      <c r="BH551" s="5"/>
      <c r="BI551" s="5"/>
      <c r="BJ551" s="5"/>
    </row>
    <row r="552">
      <c r="A552" s="5"/>
      <c r="B552" s="150"/>
      <c r="C552" s="151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6"/>
      <c r="BB552" s="5"/>
      <c r="BC552" s="7"/>
      <c r="BE552" s="5"/>
      <c r="BF552" s="5"/>
      <c r="BG552" s="5"/>
      <c r="BH552" s="5"/>
      <c r="BI552" s="5"/>
      <c r="BJ552" s="5"/>
    </row>
    <row r="553">
      <c r="A553" s="5"/>
      <c r="B553" s="150"/>
      <c r="C553" s="151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6"/>
      <c r="BB553" s="5"/>
      <c r="BC553" s="7"/>
      <c r="BE553" s="5"/>
      <c r="BF553" s="5"/>
      <c r="BG553" s="5"/>
      <c r="BH553" s="5"/>
      <c r="BI553" s="5"/>
      <c r="BJ553" s="5"/>
    </row>
    <row r="554">
      <c r="A554" s="5"/>
      <c r="B554" s="150"/>
      <c r="C554" s="151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6"/>
      <c r="BB554" s="5"/>
      <c r="BC554" s="7"/>
      <c r="BE554" s="5"/>
      <c r="BF554" s="5"/>
      <c r="BG554" s="5"/>
      <c r="BH554" s="5"/>
      <c r="BI554" s="5"/>
      <c r="BJ554" s="5"/>
    </row>
    <row r="555">
      <c r="A555" s="5"/>
      <c r="B555" s="150"/>
      <c r="C555" s="151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6"/>
      <c r="BB555" s="5"/>
      <c r="BC555" s="7"/>
      <c r="BE555" s="5"/>
      <c r="BF555" s="5"/>
      <c r="BG555" s="5"/>
      <c r="BH555" s="5"/>
      <c r="BI555" s="5"/>
      <c r="BJ555" s="5"/>
    </row>
    <row r="556">
      <c r="A556" s="5"/>
      <c r="B556" s="150"/>
      <c r="C556" s="151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6"/>
      <c r="BB556" s="5"/>
      <c r="BC556" s="7"/>
      <c r="BE556" s="5"/>
      <c r="BF556" s="5"/>
      <c r="BG556" s="5"/>
      <c r="BH556" s="5"/>
      <c r="BI556" s="5"/>
      <c r="BJ556" s="5"/>
    </row>
    <row r="557">
      <c r="A557" s="5"/>
      <c r="B557" s="150"/>
      <c r="C557" s="151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6"/>
      <c r="BB557" s="5"/>
      <c r="BC557" s="7"/>
      <c r="BE557" s="5"/>
      <c r="BF557" s="5"/>
      <c r="BG557" s="5"/>
      <c r="BH557" s="5"/>
      <c r="BI557" s="5"/>
      <c r="BJ557" s="5"/>
    </row>
    <row r="558">
      <c r="A558" s="5"/>
      <c r="B558" s="150"/>
      <c r="C558" s="151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6"/>
      <c r="BB558" s="5"/>
      <c r="BC558" s="7"/>
      <c r="BE558" s="5"/>
      <c r="BF558" s="5"/>
      <c r="BG558" s="5"/>
      <c r="BH558" s="5"/>
      <c r="BI558" s="5"/>
      <c r="BJ558" s="5"/>
    </row>
    <row r="559">
      <c r="A559" s="5"/>
      <c r="B559" s="150"/>
      <c r="C559" s="151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6"/>
      <c r="BB559" s="5"/>
      <c r="BC559" s="7"/>
      <c r="BE559" s="5"/>
      <c r="BF559" s="5"/>
      <c r="BG559" s="5"/>
      <c r="BH559" s="5"/>
      <c r="BI559" s="5"/>
      <c r="BJ559" s="5"/>
    </row>
    <row r="560">
      <c r="A560" s="5"/>
      <c r="B560" s="150"/>
      <c r="C560" s="151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6"/>
      <c r="BB560" s="5"/>
      <c r="BC560" s="7"/>
      <c r="BE560" s="5"/>
      <c r="BF560" s="5"/>
      <c r="BG560" s="5"/>
      <c r="BH560" s="5"/>
      <c r="BI560" s="5"/>
      <c r="BJ560" s="5"/>
    </row>
    <row r="561">
      <c r="A561" s="5"/>
      <c r="B561" s="150"/>
      <c r="C561" s="151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6"/>
      <c r="BB561" s="5"/>
      <c r="BC561" s="7"/>
      <c r="BE561" s="5"/>
      <c r="BF561" s="5"/>
      <c r="BG561" s="5"/>
      <c r="BH561" s="5"/>
      <c r="BI561" s="5"/>
      <c r="BJ561" s="5"/>
    </row>
    <row r="562">
      <c r="A562" s="5"/>
      <c r="B562" s="150"/>
      <c r="C562" s="151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6"/>
      <c r="BB562" s="5"/>
      <c r="BC562" s="7"/>
      <c r="BE562" s="5"/>
      <c r="BF562" s="5"/>
      <c r="BG562" s="5"/>
      <c r="BH562" s="5"/>
      <c r="BI562" s="5"/>
      <c r="BJ562" s="5"/>
    </row>
    <row r="563">
      <c r="A563" s="5"/>
      <c r="B563" s="150"/>
      <c r="C563" s="151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6"/>
      <c r="BB563" s="5"/>
      <c r="BC563" s="7"/>
      <c r="BE563" s="5"/>
      <c r="BF563" s="5"/>
      <c r="BG563" s="5"/>
      <c r="BH563" s="5"/>
      <c r="BI563" s="5"/>
      <c r="BJ563" s="5"/>
    </row>
    <row r="564">
      <c r="A564" s="5"/>
      <c r="B564" s="150"/>
      <c r="C564" s="151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6"/>
      <c r="BB564" s="5"/>
      <c r="BC564" s="7"/>
      <c r="BE564" s="5"/>
      <c r="BF564" s="5"/>
      <c r="BG564" s="5"/>
      <c r="BH564" s="5"/>
      <c r="BI564" s="5"/>
      <c r="BJ564" s="5"/>
    </row>
    <row r="565">
      <c r="A565" s="5"/>
      <c r="B565" s="150"/>
      <c r="C565" s="151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6"/>
      <c r="BB565" s="5"/>
      <c r="BC565" s="7"/>
      <c r="BE565" s="5"/>
      <c r="BF565" s="5"/>
      <c r="BG565" s="5"/>
      <c r="BH565" s="5"/>
      <c r="BI565" s="5"/>
      <c r="BJ565" s="5"/>
    </row>
    <row r="566">
      <c r="A566" s="5"/>
      <c r="B566" s="150"/>
      <c r="C566" s="151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6"/>
      <c r="BB566" s="5"/>
      <c r="BC566" s="7"/>
      <c r="BE566" s="5"/>
      <c r="BF566" s="5"/>
      <c r="BG566" s="5"/>
      <c r="BH566" s="5"/>
      <c r="BI566" s="5"/>
      <c r="BJ566" s="5"/>
    </row>
    <row r="567">
      <c r="A567" s="5"/>
      <c r="B567" s="150"/>
      <c r="C567" s="151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6"/>
      <c r="BB567" s="5"/>
      <c r="BC567" s="7"/>
      <c r="BE567" s="5"/>
      <c r="BF567" s="5"/>
      <c r="BG567" s="5"/>
      <c r="BH567" s="5"/>
      <c r="BI567" s="5"/>
      <c r="BJ567" s="5"/>
    </row>
    <row r="568">
      <c r="A568" s="5"/>
      <c r="B568" s="150"/>
      <c r="C568" s="151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6"/>
      <c r="BB568" s="5"/>
      <c r="BC568" s="7"/>
      <c r="BE568" s="5"/>
      <c r="BF568" s="5"/>
      <c r="BG568" s="5"/>
      <c r="BH568" s="5"/>
      <c r="BI568" s="5"/>
      <c r="BJ568" s="5"/>
    </row>
    <row r="569">
      <c r="A569" s="5"/>
      <c r="B569" s="150"/>
      <c r="C569" s="151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6"/>
      <c r="BB569" s="5"/>
      <c r="BC569" s="7"/>
      <c r="BE569" s="5"/>
      <c r="BF569" s="5"/>
      <c r="BG569" s="5"/>
      <c r="BH569" s="5"/>
      <c r="BI569" s="5"/>
      <c r="BJ569" s="5"/>
    </row>
    <row r="570">
      <c r="A570" s="5"/>
      <c r="B570" s="150"/>
      <c r="C570" s="151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6"/>
      <c r="BB570" s="5"/>
      <c r="BC570" s="7"/>
      <c r="BE570" s="5"/>
      <c r="BF570" s="5"/>
      <c r="BG570" s="5"/>
      <c r="BH570" s="5"/>
      <c r="BI570" s="5"/>
      <c r="BJ570" s="5"/>
    </row>
    <row r="571">
      <c r="A571" s="5"/>
      <c r="B571" s="150"/>
      <c r="C571" s="151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6"/>
      <c r="BB571" s="5"/>
      <c r="BC571" s="7"/>
      <c r="BE571" s="5"/>
      <c r="BF571" s="5"/>
      <c r="BG571" s="5"/>
      <c r="BH571" s="5"/>
      <c r="BI571" s="5"/>
      <c r="BJ571" s="5"/>
    </row>
    <row r="572">
      <c r="A572" s="5"/>
      <c r="B572" s="150"/>
      <c r="C572" s="151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6"/>
      <c r="BB572" s="5"/>
      <c r="BC572" s="7"/>
      <c r="BE572" s="5"/>
      <c r="BF572" s="5"/>
      <c r="BG572" s="5"/>
      <c r="BH572" s="5"/>
      <c r="BI572" s="5"/>
      <c r="BJ572" s="5"/>
    </row>
    <row r="573">
      <c r="A573" s="5"/>
      <c r="B573" s="150"/>
      <c r="C573" s="151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6"/>
      <c r="BB573" s="5"/>
      <c r="BC573" s="7"/>
      <c r="BE573" s="5"/>
      <c r="BF573" s="5"/>
      <c r="BG573" s="5"/>
      <c r="BH573" s="5"/>
      <c r="BI573" s="5"/>
      <c r="BJ573" s="5"/>
    </row>
    <row r="574">
      <c r="A574" s="5"/>
      <c r="B574" s="150"/>
      <c r="C574" s="151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6"/>
      <c r="BB574" s="5"/>
      <c r="BC574" s="7"/>
      <c r="BE574" s="5"/>
      <c r="BF574" s="5"/>
      <c r="BG574" s="5"/>
      <c r="BH574" s="5"/>
      <c r="BI574" s="5"/>
      <c r="BJ574" s="5"/>
    </row>
    <row r="575">
      <c r="A575" s="5"/>
      <c r="B575" s="150"/>
      <c r="C575" s="151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6"/>
      <c r="BB575" s="5"/>
      <c r="BC575" s="7"/>
      <c r="BE575" s="5"/>
      <c r="BF575" s="5"/>
      <c r="BG575" s="5"/>
      <c r="BH575" s="5"/>
      <c r="BI575" s="5"/>
      <c r="BJ575" s="5"/>
    </row>
    <row r="576">
      <c r="A576" s="5"/>
      <c r="B576" s="150"/>
      <c r="C576" s="151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6"/>
      <c r="BB576" s="5"/>
      <c r="BC576" s="7"/>
      <c r="BE576" s="5"/>
      <c r="BF576" s="5"/>
      <c r="BG576" s="5"/>
      <c r="BH576" s="5"/>
      <c r="BI576" s="5"/>
      <c r="BJ576" s="5"/>
    </row>
    <row r="577">
      <c r="A577" s="5"/>
      <c r="B577" s="150"/>
      <c r="C577" s="151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6"/>
      <c r="BB577" s="5"/>
      <c r="BC577" s="7"/>
      <c r="BE577" s="5"/>
      <c r="BF577" s="5"/>
      <c r="BG577" s="5"/>
      <c r="BH577" s="5"/>
      <c r="BI577" s="5"/>
      <c r="BJ577" s="5"/>
    </row>
    <row r="578">
      <c r="A578" s="5"/>
      <c r="B578" s="150"/>
      <c r="C578" s="151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6"/>
      <c r="BB578" s="5"/>
      <c r="BC578" s="7"/>
      <c r="BE578" s="5"/>
      <c r="BF578" s="5"/>
      <c r="BG578" s="5"/>
      <c r="BH578" s="5"/>
      <c r="BI578" s="5"/>
      <c r="BJ578" s="5"/>
    </row>
    <row r="579">
      <c r="A579" s="5"/>
      <c r="B579" s="150"/>
      <c r="C579" s="151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6"/>
      <c r="BB579" s="5"/>
      <c r="BC579" s="7"/>
      <c r="BE579" s="5"/>
      <c r="BF579" s="5"/>
      <c r="BG579" s="5"/>
      <c r="BH579" s="5"/>
      <c r="BI579" s="5"/>
      <c r="BJ579" s="5"/>
    </row>
    <row r="580">
      <c r="A580" s="5"/>
      <c r="B580" s="150"/>
      <c r="C580" s="151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6"/>
      <c r="BB580" s="5"/>
      <c r="BC580" s="7"/>
      <c r="BE580" s="5"/>
      <c r="BF580" s="5"/>
      <c r="BG580" s="5"/>
      <c r="BH580" s="5"/>
      <c r="BI580" s="5"/>
      <c r="BJ580" s="5"/>
    </row>
    <row r="581">
      <c r="A581" s="5"/>
      <c r="B581" s="150"/>
      <c r="C581" s="151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6"/>
      <c r="BB581" s="5"/>
      <c r="BC581" s="7"/>
      <c r="BE581" s="5"/>
      <c r="BF581" s="5"/>
      <c r="BG581" s="5"/>
      <c r="BH581" s="5"/>
      <c r="BI581" s="5"/>
      <c r="BJ581" s="5"/>
    </row>
    <row r="582">
      <c r="A582" s="5"/>
      <c r="B582" s="150"/>
      <c r="C582" s="151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6"/>
      <c r="BB582" s="5"/>
      <c r="BC582" s="7"/>
      <c r="BE582" s="5"/>
      <c r="BF582" s="5"/>
      <c r="BG582" s="5"/>
      <c r="BH582" s="5"/>
      <c r="BI582" s="5"/>
      <c r="BJ582" s="5"/>
    </row>
    <row r="583">
      <c r="A583" s="5"/>
      <c r="B583" s="150"/>
      <c r="C583" s="151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6"/>
      <c r="BB583" s="5"/>
      <c r="BC583" s="7"/>
      <c r="BE583" s="5"/>
      <c r="BF583" s="5"/>
      <c r="BG583" s="5"/>
      <c r="BH583" s="5"/>
      <c r="BI583" s="5"/>
      <c r="BJ583" s="5"/>
    </row>
    <row r="584">
      <c r="A584" s="5"/>
      <c r="B584" s="150"/>
      <c r="C584" s="151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6"/>
      <c r="BB584" s="5"/>
      <c r="BC584" s="7"/>
      <c r="BE584" s="5"/>
      <c r="BF584" s="5"/>
      <c r="BG584" s="5"/>
      <c r="BH584" s="5"/>
      <c r="BI584" s="5"/>
      <c r="BJ584" s="5"/>
    </row>
    <row r="585">
      <c r="A585" s="5"/>
      <c r="B585" s="150"/>
      <c r="C585" s="151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6"/>
      <c r="BB585" s="5"/>
      <c r="BC585" s="7"/>
      <c r="BE585" s="5"/>
      <c r="BF585" s="5"/>
      <c r="BG585" s="5"/>
      <c r="BH585" s="5"/>
      <c r="BI585" s="5"/>
      <c r="BJ585" s="5"/>
    </row>
    <row r="586">
      <c r="A586" s="5"/>
      <c r="B586" s="150"/>
      <c r="C586" s="151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6"/>
      <c r="BB586" s="5"/>
      <c r="BC586" s="7"/>
      <c r="BE586" s="5"/>
      <c r="BF586" s="5"/>
      <c r="BG586" s="5"/>
      <c r="BH586" s="5"/>
      <c r="BI586" s="5"/>
      <c r="BJ586" s="5"/>
    </row>
    <row r="587">
      <c r="A587" s="5"/>
      <c r="B587" s="150"/>
      <c r="C587" s="151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6"/>
      <c r="BB587" s="5"/>
      <c r="BC587" s="7"/>
      <c r="BE587" s="5"/>
      <c r="BF587" s="5"/>
      <c r="BG587" s="5"/>
      <c r="BH587" s="5"/>
      <c r="BI587" s="5"/>
      <c r="BJ587" s="5"/>
    </row>
    <row r="588">
      <c r="A588" s="5"/>
      <c r="B588" s="150"/>
      <c r="C588" s="151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6"/>
      <c r="BB588" s="5"/>
      <c r="BC588" s="7"/>
      <c r="BE588" s="5"/>
      <c r="BF588" s="5"/>
      <c r="BG588" s="5"/>
      <c r="BH588" s="5"/>
      <c r="BI588" s="5"/>
      <c r="BJ588" s="5"/>
    </row>
    <row r="589">
      <c r="A589" s="5"/>
      <c r="B589" s="150"/>
      <c r="C589" s="151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6"/>
      <c r="BB589" s="5"/>
      <c r="BC589" s="7"/>
      <c r="BE589" s="5"/>
      <c r="BF589" s="5"/>
      <c r="BG589" s="5"/>
      <c r="BH589" s="5"/>
      <c r="BI589" s="5"/>
      <c r="BJ589" s="5"/>
    </row>
    <row r="590">
      <c r="A590" s="5"/>
      <c r="B590" s="150"/>
      <c r="C590" s="151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6"/>
      <c r="BB590" s="5"/>
      <c r="BC590" s="7"/>
      <c r="BE590" s="5"/>
      <c r="BF590" s="5"/>
      <c r="BG590" s="5"/>
      <c r="BH590" s="5"/>
      <c r="BI590" s="5"/>
      <c r="BJ590" s="5"/>
    </row>
    <row r="591">
      <c r="A591" s="5"/>
      <c r="B591" s="150"/>
      <c r="C591" s="151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6"/>
      <c r="BB591" s="5"/>
      <c r="BC591" s="7"/>
      <c r="BE591" s="5"/>
      <c r="BF591" s="5"/>
      <c r="BG591" s="5"/>
      <c r="BH591" s="5"/>
      <c r="BI591" s="5"/>
      <c r="BJ591" s="5"/>
    </row>
    <row r="592">
      <c r="A592" s="5"/>
      <c r="B592" s="150"/>
      <c r="C592" s="151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6"/>
      <c r="BB592" s="5"/>
      <c r="BC592" s="7"/>
      <c r="BE592" s="5"/>
      <c r="BF592" s="5"/>
      <c r="BG592" s="5"/>
      <c r="BH592" s="5"/>
      <c r="BI592" s="5"/>
      <c r="BJ592" s="5"/>
    </row>
    <row r="593">
      <c r="A593" s="5"/>
      <c r="B593" s="150"/>
      <c r="C593" s="151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6"/>
      <c r="BB593" s="5"/>
      <c r="BC593" s="7"/>
      <c r="BE593" s="5"/>
      <c r="BF593" s="5"/>
      <c r="BG593" s="5"/>
      <c r="BH593" s="5"/>
      <c r="BI593" s="5"/>
      <c r="BJ593" s="5"/>
    </row>
    <row r="594">
      <c r="A594" s="5"/>
      <c r="B594" s="150"/>
      <c r="C594" s="151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6"/>
      <c r="BB594" s="5"/>
      <c r="BC594" s="7"/>
      <c r="BE594" s="5"/>
      <c r="BF594" s="5"/>
      <c r="BG594" s="5"/>
      <c r="BH594" s="5"/>
      <c r="BI594" s="5"/>
      <c r="BJ594" s="5"/>
    </row>
    <row r="595">
      <c r="A595" s="5"/>
      <c r="B595" s="150"/>
      <c r="C595" s="151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6"/>
      <c r="BB595" s="5"/>
      <c r="BC595" s="7"/>
      <c r="BE595" s="5"/>
      <c r="BF595" s="5"/>
      <c r="BG595" s="5"/>
      <c r="BH595" s="5"/>
      <c r="BI595" s="5"/>
      <c r="BJ595" s="5"/>
    </row>
    <row r="596">
      <c r="A596" s="5"/>
      <c r="B596" s="150"/>
      <c r="C596" s="151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6"/>
      <c r="BB596" s="5"/>
      <c r="BC596" s="7"/>
      <c r="BE596" s="5"/>
      <c r="BF596" s="5"/>
      <c r="BG596" s="5"/>
      <c r="BH596" s="5"/>
      <c r="BI596" s="5"/>
      <c r="BJ596" s="5"/>
    </row>
    <row r="597">
      <c r="A597" s="5"/>
      <c r="B597" s="150"/>
      <c r="C597" s="151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6"/>
      <c r="BB597" s="5"/>
      <c r="BC597" s="7"/>
      <c r="BE597" s="5"/>
      <c r="BF597" s="5"/>
      <c r="BG597" s="5"/>
      <c r="BH597" s="5"/>
      <c r="BI597" s="5"/>
      <c r="BJ597" s="5"/>
    </row>
    <row r="598">
      <c r="A598" s="5"/>
      <c r="B598" s="150"/>
      <c r="C598" s="151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6"/>
      <c r="BB598" s="5"/>
      <c r="BC598" s="7"/>
      <c r="BE598" s="5"/>
      <c r="BF598" s="5"/>
      <c r="BG598" s="5"/>
      <c r="BH598" s="5"/>
      <c r="BI598" s="5"/>
      <c r="BJ598" s="5"/>
    </row>
    <row r="599">
      <c r="A599" s="5"/>
      <c r="B599" s="150"/>
      <c r="C599" s="151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6"/>
      <c r="BB599" s="5"/>
      <c r="BC599" s="7"/>
      <c r="BE599" s="5"/>
      <c r="BF599" s="5"/>
      <c r="BG599" s="5"/>
      <c r="BH599" s="5"/>
      <c r="BI599" s="5"/>
      <c r="BJ599" s="5"/>
    </row>
    <row r="600">
      <c r="A600" s="5"/>
      <c r="B600" s="150"/>
      <c r="C600" s="151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6"/>
      <c r="BB600" s="5"/>
      <c r="BC600" s="7"/>
      <c r="BE600" s="5"/>
      <c r="BF600" s="5"/>
      <c r="BG600" s="5"/>
      <c r="BH600" s="5"/>
      <c r="BI600" s="5"/>
      <c r="BJ600" s="5"/>
    </row>
    <row r="601">
      <c r="A601" s="5"/>
      <c r="B601" s="150"/>
      <c r="C601" s="151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6"/>
      <c r="BB601" s="5"/>
      <c r="BC601" s="7"/>
      <c r="BE601" s="5"/>
      <c r="BF601" s="5"/>
      <c r="BG601" s="5"/>
      <c r="BH601" s="5"/>
      <c r="BI601" s="5"/>
      <c r="BJ601" s="5"/>
    </row>
    <row r="602">
      <c r="A602" s="5"/>
      <c r="B602" s="150"/>
      <c r="C602" s="151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6"/>
      <c r="BB602" s="5"/>
      <c r="BC602" s="7"/>
      <c r="BE602" s="5"/>
      <c r="BF602" s="5"/>
      <c r="BG602" s="5"/>
      <c r="BH602" s="5"/>
      <c r="BI602" s="5"/>
      <c r="BJ602" s="5"/>
    </row>
    <row r="603">
      <c r="A603" s="5"/>
      <c r="B603" s="150"/>
      <c r="C603" s="151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6"/>
      <c r="BB603" s="5"/>
      <c r="BC603" s="7"/>
      <c r="BE603" s="5"/>
      <c r="BF603" s="5"/>
      <c r="BG603" s="5"/>
      <c r="BH603" s="5"/>
      <c r="BI603" s="5"/>
      <c r="BJ603" s="5"/>
    </row>
    <row r="604">
      <c r="A604" s="5"/>
      <c r="B604" s="150"/>
      <c r="C604" s="151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6"/>
      <c r="BB604" s="5"/>
      <c r="BC604" s="7"/>
      <c r="BE604" s="5"/>
      <c r="BF604" s="5"/>
      <c r="BG604" s="5"/>
      <c r="BH604" s="5"/>
      <c r="BI604" s="5"/>
      <c r="BJ604" s="5"/>
    </row>
    <row r="605">
      <c r="A605" s="5"/>
      <c r="B605" s="150"/>
      <c r="C605" s="151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6"/>
      <c r="BB605" s="5"/>
      <c r="BC605" s="7"/>
      <c r="BE605" s="5"/>
      <c r="BF605" s="5"/>
      <c r="BG605" s="5"/>
      <c r="BH605" s="5"/>
      <c r="BI605" s="5"/>
      <c r="BJ605" s="5"/>
    </row>
    <row r="606">
      <c r="A606" s="5"/>
      <c r="B606" s="150"/>
      <c r="C606" s="151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6"/>
      <c r="BB606" s="5"/>
      <c r="BC606" s="7"/>
      <c r="BE606" s="5"/>
      <c r="BF606" s="5"/>
      <c r="BG606" s="5"/>
      <c r="BH606" s="5"/>
      <c r="BI606" s="5"/>
      <c r="BJ606" s="5"/>
    </row>
    <row r="607">
      <c r="A607" s="5"/>
      <c r="B607" s="150"/>
      <c r="C607" s="151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6"/>
      <c r="BB607" s="5"/>
      <c r="BC607" s="7"/>
      <c r="BE607" s="5"/>
      <c r="BF607" s="5"/>
      <c r="BG607" s="5"/>
      <c r="BH607" s="5"/>
      <c r="BI607" s="5"/>
      <c r="BJ607" s="5"/>
    </row>
    <row r="608">
      <c r="A608" s="5"/>
      <c r="B608" s="150"/>
      <c r="C608" s="151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6"/>
      <c r="BB608" s="5"/>
      <c r="BC608" s="7"/>
      <c r="BE608" s="5"/>
      <c r="BF608" s="5"/>
      <c r="BG608" s="5"/>
      <c r="BH608" s="5"/>
      <c r="BI608" s="5"/>
      <c r="BJ608" s="5"/>
    </row>
    <row r="609">
      <c r="A609" s="5"/>
      <c r="B609" s="150"/>
      <c r="C609" s="151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6"/>
      <c r="BB609" s="5"/>
      <c r="BC609" s="7"/>
      <c r="BE609" s="5"/>
      <c r="BF609" s="5"/>
      <c r="BG609" s="5"/>
      <c r="BH609" s="5"/>
      <c r="BI609" s="5"/>
      <c r="BJ609" s="5"/>
    </row>
    <row r="610">
      <c r="A610" s="5"/>
      <c r="B610" s="150"/>
      <c r="C610" s="151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6"/>
      <c r="BB610" s="5"/>
      <c r="BC610" s="7"/>
      <c r="BE610" s="5"/>
      <c r="BF610" s="5"/>
      <c r="BG610" s="5"/>
      <c r="BH610" s="5"/>
      <c r="BI610" s="5"/>
      <c r="BJ610" s="5"/>
    </row>
    <row r="611">
      <c r="A611" s="5"/>
      <c r="B611" s="150"/>
      <c r="C611" s="151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6"/>
      <c r="BB611" s="5"/>
      <c r="BC611" s="7"/>
      <c r="BE611" s="5"/>
      <c r="BF611" s="5"/>
      <c r="BG611" s="5"/>
      <c r="BH611" s="5"/>
      <c r="BI611" s="5"/>
      <c r="BJ611" s="5"/>
    </row>
    <row r="612">
      <c r="A612" s="5"/>
      <c r="B612" s="150"/>
      <c r="C612" s="151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6"/>
      <c r="BB612" s="5"/>
      <c r="BC612" s="7"/>
      <c r="BE612" s="5"/>
      <c r="BF612" s="5"/>
      <c r="BG612" s="5"/>
      <c r="BH612" s="5"/>
      <c r="BI612" s="5"/>
      <c r="BJ612" s="5"/>
    </row>
    <row r="613">
      <c r="A613" s="5"/>
      <c r="B613" s="150"/>
      <c r="C613" s="151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6"/>
      <c r="BB613" s="5"/>
      <c r="BC613" s="7"/>
      <c r="BE613" s="5"/>
      <c r="BF613" s="5"/>
      <c r="BG613" s="5"/>
      <c r="BH613" s="5"/>
      <c r="BI613" s="5"/>
      <c r="BJ613" s="5"/>
    </row>
    <row r="614">
      <c r="A614" s="5"/>
      <c r="B614" s="150"/>
      <c r="C614" s="151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6"/>
      <c r="BB614" s="5"/>
      <c r="BC614" s="7"/>
      <c r="BE614" s="5"/>
      <c r="BF614" s="5"/>
      <c r="BG614" s="5"/>
      <c r="BH614" s="5"/>
      <c r="BI614" s="5"/>
      <c r="BJ614" s="5"/>
    </row>
    <row r="615">
      <c r="A615" s="5"/>
      <c r="B615" s="150"/>
      <c r="C615" s="151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6"/>
      <c r="BB615" s="5"/>
      <c r="BC615" s="7"/>
      <c r="BE615" s="5"/>
      <c r="BF615" s="5"/>
      <c r="BG615" s="5"/>
      <c r="BH615" s="5"/>
      <c r="BI615" s="5"/>
      <c r="BJ615" s="5"/>
    </row>
    <row r="616">
      <c r="A616" s="5"/>
      <c r="B616" s="150"/>
      <c r="C616" s="151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6"/>
      <c r="BB616" s="5"/>
      <c r="BC616" s="7"/>
      <c r="BE616" s="5"/>
      <c r="BF616" s="5"/>
      <c r="BG616" s="5"/>
      <c r="BH616" s="5"/>
      <c r="BI616" s="5"/>
      <c r="BJ616" s="5"/>
    </row>
    <row r="617">
      <c r="A617" s="5"/>
      <c r="B617" s="150"/>
      <c r="C617" s="151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6"/>
      <c r="BB617" s="5"/>
      <c r="BC617" s="7"/>
      <c r="BE617" s="5"/>
      <c r="BF617" s="5"/>
      <c r="BG617" s="5"/>
      <c r="BH617" s="5"/>
      <c r="BI617" s="5"/>
      <c r="BJ617" s="5"/>
    </row>
    <row r="618">
      <c r="A618" s="5"/>
      <c r="B618" s="150"/>
      <c r="C618" s="151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6"/>
      <c r="BB618" s="5"/>
      <c r="BC618" s="7"/>
      <c r="BE618" s="5"/>
      <c r="BF618" s="5"/>
      <c r="BG618" s="5"/>
      <c r="BH618" s="5"/>
      <c r="BI618" s="5"/>
      <c r="BJ618" s="5"/>
    </row>
    <row r="619">
      <c r="A619" s="5"/>
      <c r="B619" s="150"/>
      <c r="C619" s="151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6"/>
      <c r="BB619" s="5"/>
      <c r="BC619" s="7"/>
      <c r="BE619" s="5"/>
      <c r="BF619" s="5"/>
      <c r="BG619" s="5"/>
      <c r="BH619" s="5"/>
      <c r="BI619" s="5"/>
      <c r="BJ619" s="5"/>
    </row>
    <row r="620">
      <c r="A620" s="5"/>
      <c r="B620" s="150"/>
      <c r="C620" s="151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6"/>
      <c r="BB620" s="5"/>
      <c r="BC620" s="7"/>
      <c r="BE620" s="5"/>
      <c r="BF620" s="5"/>
      <c r="BG620" s="5"/>
      <c r="BH620" s="5"/>
      <c r="BI620" s="5"/>
      <c r="BJ620" s="5"/>
    </row>
    <row r="621">
      <c r="A621" s="5"/>
      <c r="B621" s="150"/>
      <c r="C621" s="151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6"/>
      <c r="BB621" s="5"/>
      <c r="BC621" s="7"/>
      <c r="BE621" s="5"/>
      <c r="BF621" s="5"/>
      <c r="BG621" s="5"/>
      <c r="BH621" s="5"/>
      <c r="BI621" s="5"/>
      <c r="BJ621" s="5"/>
    </row>
    <row r="622">
      <c r="A622" s="5"/>
      <c r="B622" s="150"/>
      <c r="C622" s="151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6"/>
      <c r="BB622" s="5"/>
      <c r="BC622" s="7"/>
      <c r="BE622" s="5"/>
      <c r="BF622" s="5"/>
      <c r="BG622" s="5"/>
      <c r="BH622" s="5"/>
      <c r="BI622" s="5"/>
      <c r="BJ622" s="5"/>
    </row>
    <row r="623">
      <c r="A623" s="5"/>
      <c r="B623" s="150"/>
      <c r="C623" s="151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6"/>
      <c r="BB623" s="5"/>
      <c r="BC623" s="7"/>
      <c r="BE623" s="5"/>
      <c r="BF623" s="5"/>
      <c r="BG623" s="5"/>
      <c r="BH623" s="5"/>
      <c r="BI623" s="5"/>
      <c r="BJ623" s="5"/>
    </row>
    <row r="624">
      <c r="A624" s="5"/>
      <c r="B624" s="150"/>
      <c r="C624" s="151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6"/>
      <c r="BB624" s="5"/>
      <c r="BC624" s="7"/>
      <c r="BE624" s="5"/>
      <c r="BF624" s="5"/>
      <c r="BG624" s="5"/>
      <c r="BH624" s="5"/>
      <c r="BI624" s="5"/>
      <c r="BJ624" s="5"/>
    </row>
    <row r="625">
      <c r="A625" s="5"/>
      <c r="B625" s="150"/>
      <c r="C625" s="151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6"/>
      <c r="BB625" s="5"/>
      <c r="BC625" s="7"/>
      <c r="BE625" s="5"/>
      <c r="BF625" s="5"/>
      <c r="BG625" s="5"/>
      <c r="BH625" s="5"/>
      <c r="BI625" s="5"/>
      <c r="BJ625" s="5"/>
    </row>
    <row r="626">
      <c r="A626" s="5"/>
      <c r="B626" s="150"/>
      <c r="C626" s="151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6"/>
      <c r="BB626" s="5"/>
      <c r="BC626" s="7"/>
      <c r="BE626" s="5"/>
      <c r="BF626" s="5"/>
      <c r="BG626" s="5"/>
      <c r="BH626" s="5"/>
      <c r="BI626" s="5"/>
      <c r="BJ626" s="5"/>
    </row>
    <row r="627">
      <c r="A627" s="5"/>
      <c r="B627" s="150"/>
      <c r="C627" s="151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6"/>
      <c r="BB627" s="5"/>
      <c r="BC627" s="7"/>
      <c r="BE627" s="5"/>
      <c r="BF627" s="5"/>
      <c r="BG627" s="5"/>
      <c r="BH627" s="5"/>
      <c r="BI627" s="5"/>
      <c r="BJ627" s="5"/>
    </row>
    <row r="628">
      <c r="A628" s="5"/>
      <c r="B628" s="150"/>
      <c r="C628" s="151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6"/>
      <c r="BB628" s="5"/>
      <c r="BC628" s="7"/>
      <c r="BE628" s="5"/>
      <c r="BF628" s="5"/>
      <c r="BG628" s="5"/>
      <c r="BH628" s="5"/>
      <c r="BI628" s="5"/>
      <c r="BJ628" s="5"/>
    </row>
    <row r="629">
      <c r="A629" s="5"/>
      <c r="B629" s="150"/>
      <c r="C629" s="151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6"/>
      <c r="BB629" s="5"/>
      <c r="BC629" s="7"/>
      <c r="BE629" s="5"/>
      <c r="BF629" s="5"/>
      <c r="BG629" s="5"/>
      <c r="BH629" s="5"/>
      <c r="BI629" s="5"/>
      <c r="BJ629" s="5"/>
    </row>
    <row r="630">
      <c r="A630" s="5"/>
      <c r="B630" s="150"/>
      <c r="C630" s="151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6"/>
      <c r="BB630" s="5"/>
      <c r="BC630" s="7"/>
      <c r="BE630" s="5"/>
      <c r="BF630" s="5"/>
      <c r="BG630" s="5"/>
      <c r="BH630" s="5"/>
      <c r="BI630" s="5"/>
      <c r="BJ630" s="5"/>
    </row>
    <row r="631">
      <c r="A631" s="5"/>
      <c r="B631" s="150"/>
      <c r="C631" s="151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6"/>
      <c r="BB631" s="5"/>
      <c r="BC631" s="7"/>
      <c r="BE631" s="5"/>
      <c r="BF631" s="5"/>
      <c r="BG631" s="5"/>
      <c r="BH631" s="5"/>
      <c r="BI631" s="5"/>
      <c r="BJ631" s="5"/>
    </row>
    <row r="632">
      <c r="A632" s="5"/>
      <c r="B632" s="150"/>
      <c r="C632" s="151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6"/>
      <c r="BB632" s="5"/>
      <c r="BC632" s="7"/>
      <c r="BE632" s="5"/>
      <c r="BF632" s="5"/>
      <c r="BG632" s="5"/>
      <c r="BH632" s="5"/>
      <c r="BI632" s="5"/>
      <c r="BJ632" s="5"/>
    </row>
    <row r="633">
      <c r="A633" s="5"/>
      <c r="B633" s="150"/>
      <c r="C633" s="151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6"/>
      <c r="BB633" s="5"/>
      <c r="BC633" s="7"/>
      <c r="BE633" s="5"/>
      <c r="BF633" s="5"/>
      <c r="BG633" s="5"/>
      <c r="BH633" s="5"/>
      <c r="BI633" s="5"/>
      <c r="BJ633" s="5"/>
    </row>
    <row r="634">
      <c r="A634" s="5"/>
      <c r="B634" s="150"/>
      <c r="C634" s="151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6"/>
      <c r="BB634" s="5"/>
      <c r="BC634" s="7"/>
      <c r="BE634" s="5"/>
      <c r="BF634" s="5"/>
      <c r="BG634" s="5"/>
      <c r="BH634" s="5"/>
      <c r="BI634" s="5"/>
      <c r="BJ634" s="5"/>
    </row>
    <row r="635">
      <c r="A635" s="5"/>
      <c r="B635" s="150"/>
      <c r="C635" s="151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6"/>
      <c r="BB635" s="5"/>
      <c r="BC635" s="7"/>
      <c r="BE635" s="5"/>
      <c r="BF635" s="5"/>
      <c r="BG635" s="5"/>
      <c r="BH635" s="5"/>
      <c r="BI635" s="5"/>
      <c r="BJ635" s="5"/>
    </row>
    <row r="636">
      <c r="A636" s="5"/>
      <c r="B636" s="150"/>
      <c r="C636" s="151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6"/>
      <c r="BB636" s="5"/>
      <c r="BC636" s="7"/>
      <c r="BE636" s="5"/>
      <c r="BF636" s="5"/>
      <c r="BG636" s="5"/>
      <c r="BH636" s="5"/>
      <c r="BI636" s="5"/>
      <c r="BJ636" s="5"/>
    </row>
    <row r="637">
      <c r="A637" s="5"/>
      <c r="B637" s="150"/>
      <c r="C637" s="151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6"/>
      <c r="BB637" s="5"/>
      <c r="BC637" s="7"/>
      <c r="BE637" s="5"/>
      <c r="BF637" s="5"/>
      <c r="BG637" s="5"/>
      <c r="BH637" s="5"/>
      <c r="BI637" s="5"/>
      <c r="BJ637" s="5"/>
    </row>
    <row r="638">
      <c r="A638" s="5"/>
      <c r="B638" s="150"/>
      <c r="C638" s="151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6"/>
      <c r="BB638" s="5"/>
      <c r="BC638" s="7"/>
      <c r="BE638" s="5"/>
      <c r="BF638" s="5"/>
      <c r="BG638" s="5"/>
      <c r="BH638" s="5"/>
      <c r="BI638" s="5"/>
      <c r="BJ638" s="5"/>
    </row>
    <row r="639">
      <c r="A639" s="5"/>
      <c r="B639" s="150"/>
      <c r="C639" s="151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6"/>
      <c r="BB639" s="5"/>
      <c r="BC639" s="7"/>
      <c r="BE639" s="5"/>
      <c r="BF639" s="5"/>
      <c r="BG639" s="5"/>
      <c r="BH639" s="5"/>
      <c r="BI639" s="5"/>
      <c r="BJ639" s="5"/>
    </row>
    <row r="640">
      <c r="A640" s="5"/>
      <c r="B640" s="150"/>
      <c r="C640" s="151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6"/>
      <c r="BB640" s="5"/>
      <c r="BC640" s="7"/>
      <c r="BE640" s="5"/>
      <c r="BF640" s="5"/>
      <c r="BG640" s="5"/>
      <c r="BH640" s="5"/>
      <c r="BI640" s="5"/>
      <c r="BJ640" s="5"/>
    </row>
    <row r="641">
      <c r="A641" s="5"/>
      <c r="B641" s="150"/>
      <c r="C641" s="151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6"/>
      <c r="BB641" s="5"/>
      <c r="BC641" s="7"/>
      <c r="BE641" s="5"/>
      <c r="BF641" s="5"/>
      <c r="BG641" s="5"/>
      <c r="BH641" s="5"/>
      <c r="BI641" s="5"/>
      <c r="BJ641" s="5"/>
    </row>
    <row r="642">
      <c r="A642" s="5"/>
      <c r="B642" s="150"/>
      <c r="C642" s="151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6"/>
      <c r="BB642" s="5"/>
      <c r="BC642" s="7"/>
      <c r="BE642" s="5"/>
      <c r="BF642" s="5"/>
      <c r="BG642" s="5"/>
      <c r="BH642" s="5"/>
      <c r="BI642" s="5"/>
      <c r="BJ642" s="5"/>
    </row>
    <row r="643">
      <c r="A643" s="5"/>
      <c r="B643" s="150"/>
      <c r="C643" s="151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6"/>
      <c r="BB643" s="5"/>
      <c r="BC643" s="7"/>
      <c r="BE643" s="5"/>
      <c r="BF643" s="5"/>
      <c r="BG643" s="5"/>
      <c r="BH643" s="5"/>
      <c r="BI643" s="5"/>
      <c r="BJ643" s="5"/>
    </row>
    <row r="644">
      <c r="A644" s="5"/>
      <c r="B644" s="150"/>
      <c r="C644" s="151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6"/>
      <c r="BB644" s="5"/>
      <c r="BC644" s="7"/>
      <c r="BE644" s="5"/>
      <c r="BF644" s="5"/>
      <c r="BG644" s="5"/>
      <c r="BH644" s="5"/>
      <c r="BI644" s="5"/>
      <c r="BJ644" s="5"/>
    </row>
    <row r="645">
      <c r="A645" s="5"/>
      <c r="B645" s="150"/>
      <c r="C645" s="151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6"/>
      <c r="BB645" s="5"/>
      <c r="BC645" s="7"/>
      <c r="BE645" s="5"/>
      <c r="BF645" s="5"/>
      <c r="BG645" s="5"/>
      <c r="BH645" s="5"/>
      <c r="BI645" s="5"/>
      <c r="BJ645" s="5"/>
    </row>
    <row r="646">
      <c r="A646" s="5"/>
      <c r="B646" s="150"/>
      <c r="C646" s="151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6"/>
      <c r="BB646" s="5"/>
      <c r="BC646" s="7"/>
      <c r="BE646" s="5"/>
      <c r="BF646" s="5"/>
      <c r="BG646" s="5"/>
      <c r="BH646" s="5"/>
      <c r="BI646" s="5"/>
      <c r="BJ646" s="5"/>
    </row>
    <row r="647">
      <c r="A647" s="5"/>
      <c r="B647" s="150"/>
      <c r="C647" s="151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6"/>
      <c r="BB647" s="5"/>
      <c r="BC647" s="7"/>
      <c r="BE647" s="5"/>
      <c r="BF647" s="5"/>
      <c r="BG647" s="5"/>
      <c r="BH647" s="5"/>
      <c r="BI647" s="5"/>
      <c r="BJ647" s="5"/>
    </row>
    <row r="648">
      <c r="A648" s="5"/>
      <c r="B648" s="150"/>
      <c r="C648" s="151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6"/>
      <c r="BB648" s="5"/>
      <c r="BC648" s="7"/>
      <c r="BE648" s="5"/>
      <c r="BF648" s="5"/>
      <c r="BG648" s="5"/>
      <c r="BH648" s="5"/>
      <c r="BI648" s="5"/>
      <c r="BJ648" s="5"/>
    </row>
    <row r="649">
      <c r="A649" s="5"/>
      <c r="B649" s="150"/>
      <c r="C649" s="151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6"/>
      <c r="BB649" s="5"/>
      <c r="BC649" s="7"/>
      <c r="BE649" s="5"/>
      <c r="BF649" s="5"/>
      <c r="BG649" s="5"/>
      <c r="BH649" s="5"/>
      <c r="BI649" s="5"/>
      <c r="BJ649" s="5"/>
    </row>
    <row r="650">
      <c r="A650" s="5"/>
      <c r="B650" s="150"/>
      <c r="C650" s="151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6"/>
      <c r="BB650" s="5"/>
      <c r="BC650" s="7"/>
      <c r="BE650" s="5"/>
      <c r="BF650" s="5"/>
      <c r="BG650" s="5"/>
      <c r="BH650" s="5"/>
      <c r="BI650" s="5"/>
      <c r="BJ650" s="5"/>
    </row>
    <row r="651">
      <c r="A651" s="5"/>
      <c r="B651" s="150"/>
      <c r="C651" s="151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6"/>
      <c r="BB651" s="5"/>
      <c r="BC651" s="7"/>
      <c r="BE651" s="5"/>
      <c r="BF651" s="5"/>
      <c r="BG651" s="5"/>
      <c r="BH651" s="5"/>
      <c r="BI651" s="5"/>
      <c r="BJ651" s="5"/>
    </row>
    <row r="652">
      <c r="A652" s="5"/>
      <c r="B652" s="150"/>
      <c r="C652" s="151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6"/>
      <c r="BB652" s="5"/>
      <c r="BC652" s="7"/>
      <c r="BE652" s="5"/>
      <c r="BF652" s="5"/>
      <c r="BG652" s="5"/>
      <c r="BH652" s="5"/>
      <c r="BI652" s="5"/>
      <c r="BJ652" s="5"/>
    </row>
    <row r="653">
      <c r="A653" s="5"/>
      <c r="B653" s="150"/>
      <c r="C653" s="151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6"/>
      <c r="BB653" s="5"/>
      <c r="BC653" s="7"/>
      <c r="BE653" s="5"/>
      <c r="BF653" s="5"/>
      <c r="BG653" s="5"/>
      <c r="BH653" s="5"/>
      <c r="BI653" s="5"/>
      <c r="BJ653" s="5"/>
    </row>
    <row r="654">
      <c r="A654" s="5"/>
      <c r="B654" s="150"/>
      <c r="C654" s="151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6"/>
      <c r="BB654" s="5"/>
      <c r="BC654" s="7"/>
      <c r="BE654" s="5"/>
      <c r="BF654" s="5"/>
      <c r="BG654" s="5"/>
      <c r="BH654" s="5"/>
      <c r="BI654" s="5"/>
      <c r="BJ654" s="5"/>
    </row>
    <row r="655">
      <c r="A655" s="5"/>
      <c r="B655" s="150"/>
      <c r="C655" s="151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6"/>
      <c r="BB655" s="5"/>
      <c r="BC655" s="7"/>
      <c r="BE655" s="5"/>
      <c r="BF655" s="5"/>
      <c r="BG655" s="5"/>
      <c r="BH655" s="5"/>
      <c r="BI655" s="5"/>
      <c r="BJ655" s="5"/>
    </row>
    <row r="656">
      <c r="A656" s="5"/>
      <c r="B656" s="150"/>
      <c r="C656" s="151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6"/>
      <c r="BB656" s="5"/>
      <c r="BC656" s="7"/>
      <c r="BE656" s="5"/>
      <c r="BF656" s="5"/>
      <c r="BG656" s="5"/>
      <c r="BH656" s="5"/>
      <c r="BI656" s="5"/>
      <c r="BJ656" s="5"/>
    </row>
    <row r="657">
      <c r="A657" s="5"/>
      <c r="B657" s="150"/>
      <c r="C657" s="151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6"/>
      <c r="BB657" s="5"/>
      <c r="BC657" s="7"/>
      <c r="BE657" s="5"/>
      <c r="BF657" s="5"/>
      <c r="BG657" s="5"/>
      <c r="BH657" s="5"/>
      <c r="BI657" s="5"/>
      <c r="BJ657" s="5"/>
    </row>
    <row r="658">
      <c r="A658" s="5"/>
      <c r="B658" s="150"/>
      <c r="C658" s="151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6"/>
      <c r="BB658" s="5"/>
      <c r="BC658" s="7"/>
      <c r="BE658" s="5"/>
      <c r="BF658" s="5"/>
      <c r="BG658" s="5"/>
      <c r="BH658" s="5"/>
      <c r="BI658" s="5"/>
      <c r="BJ658" s="5"/>
    </row>
    <row r="659">
      <c r="A659" s="5"/>
      <c r="B659" s="150"/>
      <c r="C659" s="151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6"/>
      <c r="BB659" s="5"/>
      <c r="BC659" s="7"/>
      <c r="BE659" s="5"/>
      <c r="BF659" s="5"/>
      <c r="BG659" s="5"/>
      <c r="BH659" s="5"/>
      <c r="BI659" s="5"/>
      <c r="BJ659" s="5"/>
    </row>
    <row r="660">
      <c r="A660" s="5"/>
      <c r="B660" s="150"/>
      <c r="C660" s="151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6"/>
      <c r="BB660" s="5"/>
      <c r="BC660" s="7"/>
      <c r="BE660" s="5"/>
      <c r="BF660" s="5"/>
      <c r="BG660" s="5"/>
      <c r="BH660" s="5"/>
      <c r="BI660" s="5"/>
      <c r="BJ660" s="5"/>
    </row>
    <row r="661">
      <c r="A661" s="5"/>
      <c r="B661" s="150"/>
      <c r="C661" s="151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6"/>
      <c r="BB661" s="5"/>
      <c r="BC661" s="7"/>
      <c r="BE661" s="5"/>
      <c r="BF661" s="5"/>
      <c r="BG661" s="5"/>
      <c r="BH661" s="5"/>
      <c r="BI661" s="5"/>
      <c r="BJ661" s="5"/>
    </row>
    <row r="662">
      <c r="A662" s="5"/>
      <c r="B662" s="150"/>
      <c r="C662" s="151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6"/>
      <c r="BB662" s="5"/>
      <c r="BC662" s="7"/>
      <c r="BE662" s="5"/>
      <c r="BF662" s="5"/>
      <c r="BG662" s="5"/>
      <c r="BH662" s="5"/>
      <c r="BI662" s="5"/>
      <c r="BJ662" s="5"/>
    </row>
    <row r="663">
      <c r="A663" s="5"/>
      <c r="B663" s="150"/>
      <c r="C663" s="151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6"/>
      <c r="BB663" s="5"/>
      <c r="BC663" s="7"/>
      <c r="BE663" s="5"/>
      <c r="BF663" s="5"/>
      <c r="BG663" s="5"/>
      <c r="BH663" s="5"/>
      <c r="BI663" s="5"/>
      <c r="BJ663" s="5"/>
    </row>
    <row r="664">
      <c r="A664" s="5"/>
      <c r="B664" s="150"/>
      <c r="C664" s="151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6"/>
      <c r="BB664" s="5"/>
      <c r="BC664" s="7"/>
      <c r="BE664" s="5"/>
      <c r="BF664" s="5"/>
      <c r="BG664" s="5"/>
      <c r="BH664" s="5"/>
      <c r="BI664" s="5"/>
      <c r="BJ664" s="5"/>
    </row>
    <row r="665">
      <c r="A665" s="5"/>
      <c r="B665" s="150"/>
      <c r="C665" s="151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6"/>
      <c r="BB665" s="5"/>
      <c r="BC665" s="7"/>
      <c r="BE665" s="5"/>
      <c r="BF665" s="5"/>
      <c r="BG665" s="5"/>
      <c r="BH665" s="5"/>
      <c r="BI665" s="5"/>
      <c r="BJ665" s="5"/>
    </row>
    <row r="666">
      <c r="A666" s="5"/>
      <c r="B666" s="150"/>
      <c r="C666" s="151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6"/>
      <c r="BB666" s="5"/>
      <c r="BC666" s="7"/>
      <c r="BE666" s="5"/>
      <c r="BF666" s="5"/>
      <c r="BG666" s="5"/>
      <c r="BH666" s="5"/>
      <c r="BI666" s="5"/>
      <c r="BJ666" s="5"/>
    </row>
    <row r="667">
      <c r="A667" s="5"/>
      <c r="B667" s="150"/>
      <c r="C667" s="151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6"/>
      <c r="BB667" s="5"/>
      <c r="BC667" s="7"/>
      <c r="BE667" s="5"/>
      <c r="BF667" s="5"/>
      <c r="BG667" s="5"/>
      <c r="BH667" s="5"/>
      <c r="BI667" s="5"/>
      <c r="BJ667" s="5"/>
    </row>
    <row r="668">
      <c r="A668" s="5"/>
      <c r="B668" s="150"/>
      <c r="C668" s="151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6"/>
      <c r="BB668" s="5"/>
      <c r="BC668" s="7"/>
      <c r="BE668" s="5"/>
      <c r="BF668" s="5"/>
      <c r="BG668" s="5"/>
      <c r="BH668" s="5"/>
      <c r="BI668" s="5"/>
      <c r="BJ668" s="5"/>
    </row>
    <row r="669">
      <c r="A669" s="5"/>
      <c r="B669" s="150"/>
      <c r="C669" s="151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6"/>
      <c r="BB669" s="5"/>
      <c r="BC669" s="7"/>
      <c r="BE669" s="5"/>
      <c r="BF669" s="5"/>
      <c r="BG669" s="5"/>
      <c r="BH669" s="5"/>
      <c r="BI669" s="5"/>
      <c r="BJ669" s="5"/>
    </row>
    <row r="670">
      <c r="A670" s="5"/>
      <c r="B670" s="150"/>
      <c r="C670" s="151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6"/>
      <c r="BB670" s="5"/>
      <c r="BC670" s="7"/>
      <c r="BE670" s="5"/>
      <c r="BF670" s="5"/>
      <c r="BG670" s="5"/>
      <c r="BH670" s="5"/>
      <c r="BI670" s="5"/>
      <c r="BJ670" s="5"/>
    </row>
    <row r="671">
      <c r="A671" s="5"/>
      <c r="B671" s="150"/>
      <c r="C671" s="151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6"/>
      <c r="BB671" s="5"/>
      <c r="BC671" s="7"/>
      <c r="BE671" s="5"/>
      <c r="BF671" s="5"/>
      <c r="BG671" s="5"/>
      <c r="BH671" s="5"/>
      <c r="BI671" s="5"/>
      <c r="BJ671" s="5"/>
    </row>
    <row r="672">
      <c r="A672" s="5"/>
      <c r="B672" s="150"/>
      <c r="C672" s="151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6"/>
      <c r="BB672" s="5"/>
      <c r="BC672" s="7"/>
      <c r="BE672" s="5"/>
      <c r="BF672" s="5"/>
      <c r="BG672" s="5"/>
      <c r="BH672" s="5"/>
      <c r="BI672" s="5"/>
      <c r="BJ672" s="5"/>
    </row>
    <row r="673">
      <c r="A673" s="5"/>
      <c r="B673" s="150"/>
      <c r="C673" s="151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6"/>
      <c r="BB673" s="5"/>
      <c r="BC673" s="7"/>
      <c r="BE673" s="5"/>
      <c r="BF673" s="5"/>
      <c r="BG673" s="5"/>
      <c r="BH673" s="5"/>
      <c r="BI673" s="5"/>
      <c r="BJ673" s="5"/>
    </row>
    <row r="674">
      <c r="A674" s="5"/>
      <c r="B674" s="150"/>
      <c r="C674" s="151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6"/>
      <c r="BB674" s="5"/>
      <c r="BC674" s="7"/>
      <c r="BE674" s="5"/>
      <c r="BF674" s="5"/>
      <c r="BG674" s="5"/>
      <c r="BH674" s="5"/>
      <c r="BI674" s="5"/>
      <c r="BJ674" s="5"/>
    </row>
    <row r="675">
      <c r="A675" s="5"/>
      <c r="B675" s="150"/>
      <c r="C675" s="151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6"/>
      <c r="BB675" s="5"/>
      <c r="BC675" s="7"/>
      <c r="BE675" s="5"/>
      <c r="BF675" s="5"/>
      <c r="BG675" s="5"/>
      <c r="BH675" s="5"/>
      <c r="BI675" s="5"/>
      <c r="BJ675" s="5"/>
    </row>
    <row r="676">
      <c r="A676" s="5"/>
      <c r="B676" s="150"/>
      <c r="C676" s="151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6"/>
      <c r="BB676" s="5"/>
      <c r="BC676" s="7"/>
      <c r="BE676" s="5"/>
      <c r="BF676" s="5"/>
      <c r="BG676" s="5"/>
      <c r="BH676" s="5"/>
      <c r="BI676" s="5"/>
      <c r="BJ676" s="5"/>
    </row>
    <row r="677">
      <c r="A677" s="5"/>
      <c r="B677" s="150"/>
      <c r="C677" s="151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6"/>
      <c r="BB677" s="5"/>
      <c r="BC677" s="7"/>
      <c r="BE677" s="5"/>
      <c r="BF677" s="5"/>
      <c r="BG677" s="5"/>
      <c r="BH677" s="5"/>
      <c r="BI677" s="5"/>
      <c r="BJ677" s="5"/>
    </row>
    <row r="678">
      <c r="A678" s="5"/>
      <c r="B678" s="150"/>
      <c r="C678" s="151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6"/>
      <c r="BB678" s="5"/>
      <c r="BC678" s="7"/>
      <c r="BE678" s="5"/>
      <c r="BF678" s="5"/>
      <c r="BG678" s="5"/>
      <c r="BH678" s="5"/>
      <c r="BI678" s="5"/>
      <c r="BJ678" s="5"/>
    </row>
    <row r="679">
      <c r="A679" s="5"/>
      <c r="B679" s="150"/>
      <c r="C679" s="151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6"/>
      <c r="BB679" s="5"/>
      <c r="BC679" s="7"/>
      <c r="BE679" s="5"/>
      <c r="BF679" s="5"/>
      <c r="BG679" s="5"/>
      <c r="BH679" s="5"/>
      <c r="BI679" s="5"/>
      <c r="BJ679" s="5"/>
    </row>
    <row r="680">
      <c r="A680" s="5"/>
      <c r="B680" s="150"/>
      <c r="C680" s="151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6"/>
      <c r="BB680" s="5"/>
      <c r="BC680" s="7"/>
      <c r="BE680" s="5"/>
      <c r="BF680" s="5"/>
      <c r="BG680" s="5"/>
      <c r="BH680" s="5"/>
      <c r="BI680" s="5"/>
      <c r="BJ680" s="5"/>
    </row>
    <row r="681">
      <c r="A681" s="5"/>
      <c r="B681" s="150"/>
      <c r="C681" s="151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6"/>
      <c r="BB681" s="5"/>
      <c r="BC681" s="7"/>
      <c r="BE681" s="5"/>
      <c r="BF681" s="5"/>
      <c r="BG681" s="5"/>
      <c r="BH681" s="5"/>
      <c r="BI681" s="5"/>
      <c r="BJ681" s="5"/>
    </row>
    <row r="682">
      <c r="A682" s="5"/>
      <c r="B682" s="150"/>
      <c r="C682" s="151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6"/>
      <c r="BB682" s="5"/>
      <c r="BC682" s="7"/>
      <c r="BE682" s="5"/>
      <c r="BF682" s="5"/>
      <c r="BG682" s="5"/>
      <c r="BH682" s="5"/>
      <c r="BI682" s="5"/>
      <c r="BJ682" s="5"/>
    </row>
    <row r="683">
      <c r="A683" s="5"/>
      <c r="B683" s="150"/>
      <c r="C683" s="151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6"/>
      <c r="BB683" s="5"/>
      <c r="BC683" s="7"/>
      <c r="BE683" s="5"/>
      <c r="BF683" s="5"/>
      <c r="BG683" s="5"/>
      <c r="BH683" s="5"/>
      <c r="BI683" s="5"/>
      <c r="BJ683" s="5"/>
    </row>
    <row r="684">
      <c r="A684" s="5"/>
      <c r="B684" s="150"/>
      <c r="C684" s="151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6"/>
      <c r="BB684" s="5"/>
      <c r="BC684" s="7"/>
      <c r="BE684" s="5"/>
      <c r="BF684" s="5"/>
      <c r="BG684" s="5"/>
      <c r="BH684" s="5"/>
      <c r="BI684" s="5"/>
      <c r="BJ684" s="5"/>
    </row>
    <row r="685">
      <c r="A685" s="5"/>
      <c r="B685" s="150"/>
      <c r="C685" s="151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6"/>
      <c r="BB685" s="5"/>
      <c r="BC685" s="7"/>
      <c r="BE685" s="5"/>
      <c r="BF685" s="5"/>
      <c r="BG685" s="5"/>
      <c r="BH685" s="5"/>
      <c r="BI685" s="5"/>
      <c r="BJ685" s="5"/>
    </row>
    <row r="686">
      <c r="A686" s="5"/>
      <c r="B686" s="150"/>
      <c r="C686" s="151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6"/>
      <c r="BB686" s="5"/>
      <c r="BC686" s="7"/>
      <c r="BE686" s="5"/>
      <c r="BF686" s="5"/>
      <c r="BG686" s="5"/>
      <c r="BH686" s="5"/>
      <c r="BI686" s="5"/>
      <c r="BJ686" s="5"/>
    </row>
    <row r="687">
      <c r="A687" s="5"/>
      <c r="B687" s="150"/>
      <c r="C687" s="151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6"/>
      <c r="BB687" s="5"/>
      <c r="BC687" s="7"/>
      <c r="BE687" s="5"/>
      <c r="BF687" s="5"/>
      <c r="BG687" s="5"/>
      <c r="BH687" s="5"/>
      <c r="BI687" s="5"/>
      <c r="BJ687" s="5"/>
    </row>
    <row r="688">
      <c r="A688" s="5"/>
      <c r="B688" s="150"/>
      <c r="C688" s="151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6"/>
      <c r="BB688" s="5"/>
      <c r="BC688" s="7"/>
      <c r="BE688" s="5"/>
      <c r="BF688" s="5"/>
      <c r="BG688" s="5"/>
      <c r="BH688" s="5"/>
      <c r="BI688" s="5"/>
      <c r="BJ688" s="5"/>
    </row>
    <row r="689">
      <c r="A689" s="5"/>
      <c r="B689" s="150"/>
      <c r="C689" s="151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6"/>
      <c r="BB689" s="5"/>
      <c r="BC689" s="7"/>
      <c r="BE689" s="5"/>
      <c r="BF689" s="5"/>
      <c r="BG689" s="5"/>
      <c r="BH689" s="5"/>
      <c r="BI689" s="5"/>
      <c r="BJ689" s="5"/>
    </row>
    <row r="690">
      <c r="A690" s="5"/>
      <c r="B690" s="150"/>
      <c r="C690" s="151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6"/>
      <c r="BB690" s="5"/>
      <c r="BC690" s="7"/>
      <c r="BE690" s="5"/>
      <c r="BF690" s="5"/>
      <c r="BG690" s="5"/>
      <c r="BH690" s="5"/>
      <c r="BI690" s="5"/>
      <c r="BJ690" s="5"/>
    </row>
    <row r="691">
      <c r="A691" s="5"/>
      <c r="B691" s="150"/>
      <c r="C691" s="151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6"/>
      <c r="BB691" s="5"/>
      <c r="BC691" s="7"/>
      <c r="BE691" s="5"/>
      <c r="BF691" s="5"/>
      <c r="BG691" s="5"/>
      <c r="BH691" s="5"/>
      <c r="BI691" s="5"/>
      <c r="BJ691" s="5"/>
    </row>
    <row r="692">
      <c r="A692" s="5"/>
      <c r="B692" s="150"/>
      <c r="C692" s="151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6"/>
      <c r="BB692" s="5"/>
      <c r="BC692" s="7"/>
      <c r="BE692" s="5"/>
      <c r="BF692" s="5"/>
      <c r="BG692" s="5"/>
      <c r="BH692" s="5"/>
      <c r="BI692" s="5"/>
      <c r="BJ692" s="5"/>
    </row>
    <row r="693">
      <c r="A693" s="5"/>
      <c r="B693" s="150"/>
      <c r="C693" s="151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6"/>
      <c r="BB693" s="5"/>
      <c r="BC693" s="7"/>
      <c r="BE693" s="5"/>
      <c r="BF693" s="5"/>
      <c r="BG693" s="5"/>
      <c r="BH693" s="5"/>
      <c r="BI693" s="5"/>
      <c r="BJ693" s="5"/>
    </row>
    <row r="694">
      <c r="A694" s="5"/>
      <c r="B694" s="150"/>
      <c r="C694" s="151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6"/>
      <c r="BB694" s="5"/>
      <c r="BC694" s="7"/>
      <c r="BE694" s="5"/>
      <c r="BF694" s="5"/>
      <c r="BG694" s="5"/>
      <c r="BH694" s="5"/>
      <c r="BI694" s="5"/>
      <c r="BJ694" s="5"/>
    </row>
    <row r="695">
      <c r="A695" s="5"/>
      <c r="B695" s="150"/>
      <c r="C695" s="151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6"/>
      <c r="BB695" s="5"/>
      <c r="BC695" s="7"/>
      <c r="BE695" s="5"/>
      <c r="BF695" s="5"/>
      <c r="BG695" s="5"/>
      <c r="BH695" s="5"/>
      <c r="BI695" s="5"/>
      <c r="BJ695" s="5"/>
    </row>
    <row r="696">
      <c r="A696" s="5"/>
      <c r="B696" s="150"/>
      <c r="C696" s="151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6"/>
      <c r="BB696" s="5"/>
      <c r="BC696" s="7"/>
      <c r="BE696" s="5"/>
      <c r="BF696" s="5"/>
      <c r="BG696" s="5"/>
      <c r="BH696" s="5"/>
      <c r="BI696" s="5"/>
      <c r="BJ696" s="5"/>
    </row>
    <row r="697">
      <c r="A697" s="5"/>
      <c r="B697" s="150"/>
      <c r="C697" s="151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6"/>
      <c r="BB697" s="5"/>
      <c r="BC697" s="7"/>
      <c r="BE697" s="5"/>
      <c r="BF697" s="5"/>
      <c r="BG697" s="5"/>
      <c r="BH697" s="5"/>
      <c r="BI697" s="5"/>
      <c r="BJ697" s="5"/>
    </row>
    <row r="698">
      <c r="A698" s="5"/>
      <c r="B698" s="150"/>
      <c r="C698" s="151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6"/>
      <c r="BB698" s="5"/>
      <c r="BC698" s="7"/>
      <c r="BE698" s="5"/>
      <c r="BF698" s="5"/>
      <c r="BG698" s="5"/>
      <c r="BH698" s="5"/>
      <c r="BI698" s="5"/>
      <c r="BJ698" s="5"/>
    </row>
    <row r="699">
      <c r="A699" s="5"/>
      <c r="B699" s="150"/>
      <c r="C699" s="151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6"/>
      <c r="BB699" s="5"/>
      <c r="BC699" s="7"/>
      <c r="BE699" s="5"/>
      <c r="BF699" s="5"/>
      <c r="BG699" s="5"/>
      <c r="BH699" s="5"/>
      <c r="BI699" s="5"/>
      <c r="BJ699" s="5"/>
    </row>
    <row r="700">
      <c r="A700" s="5"/>
      <c r="B700" s="150"/>
      <c r="C700" s="151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6"/>
      <c r="BB700" s="5"/>
      <c r="BC700" s="7"/>
      <c r="BE700" s="5"/>
      <c r="BF700" s="5"/>
      <c r="BG700" s="5"/>
      <c r="BH700" s="5"/>
      <c r="BI700" s="5"/>
      <c r="BJ700" s="5"/>
    </row>
    <row r="701">
      <c r="A701" s="5"/>
      <c r="B701" s="150"/>
      <c r="C701" s="151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6"/>
      <c r="BB701" s="5"/>
      <c r="BC701" s="7"/>
      <c r="BE701" s="5"/>
      <c r="BF701" s="5"/>
      <c r="BG701" s="5"/>
      <c r="BH701" s="5"/>
      <c r="BI701" s="5"/>
      <c r="BJ701" s="5"/>
    </row>
    <row r="702">
      <c r="A702" s="5"/>
      <c r="B702" s="150"/>
      <c r="C702" s="151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6"/>
      <c r="BB702" s="5"/>
      <c r="BC702" s="7"/>
      <c r="BE702" s="5"/>
      <c r="BF702" s="5"/>
      <c r="BG702" s="5"/>
      <c r="BH702" s="5"/>
      <c r="BI702" s="5"/>
      <c r="BJ702" s="5"/>
    </row>
    <row r="703">
      <c r="A703" s="5"/>
      <c r="B703" s="150"/>
      <c r="C703" s="151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6"/>
      <c r="BB703" s="5"/>
      <c r="BC703" s="7"/>
      <c r="BE703" s="5"/>
      <c r="BF703" s="5"/>
      <c r="BG703" s="5"/>
      <c r="BH703" s="5"/>
      <c r="BI703" s="5"/>
      <c r="BJ703" s="5"/>
    </row>
    <row r="704">
      <c r="A704" s="5"/>
      <c r="B704" s="150"/>
      <c r="C704" s="151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6"/>
      <c r="BB704" s="5"/>
      <c r="BC704" s="7"/>
      <c r="BE704" s="5"/>
      <c r="BF704" s="5"/>
      <c r="BG704" s="5"/>
      <c r="BH704" s="5"/>
      <c r="BI704" s="5"/>
      <c r="BJ704" s="5"/>
    </row>
    <row r="705">
      <c r="A705" s="5"/>
      <c r="B705" s="150"/>
      <c r="C705" s="151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6"/>
      <c r="BB705" s="5"/>
      <c r="BC705" s="7"/>
      <c r="BE705" s="5"/>
      <c r="BF705" s="5"/>
      <c r="BG705" s="5"/>
      <c r="BH705" s="5"/>
      <c r="BI705" s="5"/>
      <c r="BJ705" s="5"/>
    </row>
    <row r="706">
      <c r="A706" s="5"/>
      <c r="B706" s="150"/>
      <c r="C706" s="151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6"/>
      <c r="BB706" s="5"/>
      <c r="BC706" s="7"/>
      <c r="BE706" s="5"/>
      <c r="BF706" s="5"/>
      <c r="BG706" s="5"/>
      <c r="BH706" s="5"/>
      <c r="BI706" s="5"/>
      <c r="BJ706" s="5"/>
    </row>
    <row r="707">
      <c r="A707" s="5"/>
      <c r="B707" s="150"/>
      <c r="C707" s="151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6"/>
      <c r="BB707" s="5"/>
      <c r="BC707" s="7"/>
      <c r="BE707" s="5"/>
      <c r="BF707" s="5"/>
      <c r="BG707" s="5"/>
      <c r="BH707" s="5"/>
      <c r="BI707" s="5"/>
      <c r="BJ707" s="5"/>
    </row>
    <row r="708">
      <c r="A708" s="5"/>
      <c r="B708" s="150"/>
      <c r="C708" s="151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6"/>
      <c r="BB708" s="5"/>
      <c r="BC708" s="7"/>
      <c r="BE708" s="5"/>
      <c r="BF708" s="5"/>
      <c r="BG708" s="5"/>
      <c r="BH708" s="5"/>
      <c r="BI708" s="5"/>
      <c r="BJ708" s="5"/>
    </row>
    <row r="709">
      <c r="A709" s="5"/>
      <c r="B709" s="150"/>
      <c r="C709" s="151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6"/>
      <c r="BB709" s="5"/>
      <c r="BC709" s="7"/>
      <c r="BE709" s="5"/>
      <c r="BF709" s="5"/>
      <c r="BG709" s="5"/>
      <c r="BH709" s="5"/>
      <c r="BI709" s="5"/>
      <c r="BJ709" s="5"/>
    </row>
    <row r="710">
      <c r="A710" s="5"/>
      <c r="B710" s="150"/>
      <c r="C710" s="151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6"/>
      <c r="BB710" s="5"/>
      <c r="BC710" s="7"/>
      <c r="BE710" s="5"/>
      <c r="BF710" s="5"/>
      <c r="BG710" s="5"/>
      <c r="BH710" s="5"/>
      <c r="BI710" s="5"/>
      <c r="BJ710" s="5"/>
    </row>
    <row r="711">
      <c r="A711" s="5"/>
      <c r="B711" s="150"/>
      <c r="C711" s="151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6"/>
      <c r="BB711" s="5"/>
      <c r="BC711" s="7"/>
      <c r="BE711" s="5"/>
      <c r="BF711" s="5"/>
      <c r="BG711" s="5"/>
      <c r="BH711" s="5"/>
      <c r="BI711" s="5"/>
      <c r="BJ711" s="5"/>
    </row>
    <row r="712">
      <c r="A712" s="5"/>
      <c r="B712" s="150"/>
      <c r="C712" s="151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6"/>
      <c r="BB712" s="5"/>
      <c r="BC712" s="7"/>
      <c r="BE712" s="5"/>
      <c r="BF712" s="5"/>
      <c r="BG712" s="5"/>
      <c r="BH712" s="5"/>
      <c r="BI712" s="5"/>
      <c r="BJ712" s="5"/>
    </row>
    <row r="713">
      <c r="A713" s="5"/>
      <c r="B713" s="150"/>
      <c r="C713" s="151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6"/>
      <c r="BB713" s="5"/>
      <c r="BC713" s="7"/>
      <c r="BE713" s="5"/>
      <c r="BF713" s="5"/>
      <c r="BG713" s="5"/>
      <c r="BH713" s="5"/>
      <c r="BI713" s="5"/>
      <c r="BJ713" s="5"/>
    </row>
    <row r="714">
      <c r="A714" s="5"/>
      <c r="B714" s="150"/>
      <c r="C714" s="151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6"/>
      <c r="BB714" s="5"/>
      <c r="BC714" s="7"/>
      <c r="BE714" s="5"/>
      <c r="BF714" s="5"/>
      <c r="BG714" s="5"/>
      <c r="BH714" s="5"/>
      <c r="BI714" s="5"/>
      <c r="BJ714" s="5"/>
    </row>
    <row r="715">
      <c r="A715" s="5"/>
      <c r="B715" s="150"/>
      <c r="C715" s="151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6"/>
      <c r="BB715" s="5"/>
      <c r="BC715" s="7"/>
      <c r="BE715" s="5"/>
      <c r="BF715" s="5"/>
      <c r="BG715" s="5"/>
      <c r="BH715" s="5"/>
      <c r="BI715" s="5"/>
      <c r="BJ715" s="5"/>
    </row>
    <row r="716">
      <c r="A716" s="5"/>
      <c r="B716" s="150"/>
      <c r="C716" s="151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6"/>
      <c r="BB716" s="5"/>
      <c r="BC716" s="7"/>
      <c r="BE716" s="5"/>
      <c r="BF716" s="5"/>
      <c r="BG716" s="5"/>
      <c r="BH716" s="5"/>
      <c r="BI716" s="5"/>
      <c r="BJ716" s="5"/>
    </row>
    <row r="717">
      <c r="A717" s="5"/>
      <c r="B717" s="150"/>
      <c r="C717" s="151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6"/>
      <c r="BB717" s="5"/>
      <c r="BC717" s="7"/>
      <c r="BE717" s="5"/>
      <c r="BF717" s="5"/>
      <c r="BG717" s="5"/>
      <c r="BH717" s="5"/>
      <c r="BI717" s="5"/>
      <c r="BJ717" s="5"/>
    </row>
    <row r="718">
      <c r="A718" s="5"/>
      <c r="B718" s="150"/>
      <c r="C718" s="151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6"/>
      <c r="BB718" s="5"/>
      <c r="BC718" s="7"/>
      <c r="BE718" s="5"/>
      <c r="BF718" s="5"/>
      <c r="BG718" s="5"/>
      <c r="BH718" s="5"/>
      <c r="BI718" s="5"/>
      <c r="BJ718" s="5"/>
    </row>
    <row r="719">
      <c r="A719" s="5"/>
      <c r="B719" s="150"/>
      <c r="C719" s="151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6"/>
      <c r="BB719" s="5"/>
      <c r="BC719" s="7"/>
      <c r="BE719" s="5"/>
      <c r="BF719" s="5"/>
      <c r="BG719" s="5"/>
      <c r="BH719" s="5"/>
      <c r="BI719" s="5"/>
      <c r="BJ719" s="5"/>
    </row>
    <row r="720">
      <c r="A720" s="5"/>
      <c r="B720" s="150"/>
      <c r="C720" s="151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6"/>
      <c r="BB720" s="5"/>
      <c r="BC720" s="7"/>
      <c r="BE720" s="5"/>
      <c r="BF720" s="5"/>
      <c r="BG720" s="5"/>
      <c r="BH720" s="5"/>
      <c r="BI720" s="5"/>
      <c r="BJ720" s="5"/>
    </row>
    <row r="721">
      <c r="A721" s="5"/>
      <c r="B721" s="150"/>
      <c r="C721" s="151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6"/>
      <c r="BB721" s="5"/>
      <c r="BC721" s="7"/>
      <c r="BE721" s="5"/>
      <c r="BF721" s="5"/>
      <c r="BG721" s="5"/>
      <c r="BH721" s="5"/>
      <c r="BI721" s="5"/>
      <c r="BJ721" s="5"/>
    </row>
    <row r="722">
      <c r="A722" s="5"/>
      <c r="B722" s="150"/>
      <c r="C722" s="151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6"/>
      <c r="BB722" s="5"/>
      <c r="BC722" s="7"/>
      <c r="BE722" s="5"/>
      <c r="BF722" s="5"/>
      <c r="BG722" s="5"/>
      <c r="BH722" s="5"/>
      <c r="BI722" s="5"/>
      <c r="BJ722" s="5"/>
    </row>
    <row r="723">
      <c r="A723" s="5"/>
      <c r="B723" s="150"/>
      <c r="C723" s="151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6"/>
      <c r="BB723" s="5"/>
      <c r="BC723" s="7"/>
      <c r="BE723" s="5"/>
      <c r="BF723" s="5"/>
      <c r="BG723" s="5"/>
      <c r="BH723" s="5"/>
      <c r="BI723" s="5"/>
      <c r="BJ723" s="5"/>
    </row>
    <row r="724">
      <c r="A724" s="5"/>
      <c r="B724" s="150"/>
      <c r="C724" s="151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6"/>
      <c r="BB724" s="5"/>
      <c r="BC724" s="7"/>
      <c r="BE724" s="5"/>
      <c r="BF724" s="5"/>
      <c r="BG724" s="5"/>
      <c r="BH724" s="5"/>
      <c r="BI724" s="5"/>
      <c r="BJ724" s="5"/>
    </row>
    <row r="725">
      <c r="A725" s="5"/>
      <c r="B725" s="150"/>
      <c r="C725" s="151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6"/>
      <c r="BB725" s="5"/>
      <c r="BC725" s="7"/>
      <c r="BE725" s="5"/>
      <c r="BF725" s="5"/>
      <c r="BG725" s="5"/>
      <c r="BH725" s="5"/>
      <c r="BI725" s="5"/>
      <c r="BJ725" s="5"/>
    </row>
    <row r="726">
      <c r="A726" s="5"/>
      <c r="B726" s="150"/>
      <c r="C726" s="151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6"/>
      <c r="BB726" s="5"/>
      <c r="BC726" s="7"/>
      <c r="BE726" s="5"/>
      <c r="BF726" s="5"/>
      <c r="BG726" s="5"/>
      <c r="BH726" s="5"/>
      <c r="BI726" s="5"/>
      <c r="BJ726" s="5"/>
    </row>
    <row r="727">
      <c r="A727" s="5"/>
      <c r="B727" s="150"/>
      <c r="C727" s="151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6"/>
      <c r="BB727" s="5"/>
      <c r="BC727" s="7"/>
      <c r="BE727" s="5"/>
      <c r="BF727" s="5"/>
      <c r="BG727" s="5"/>
      <c r="BH727" s="5"/>
      <c r="BI727" s="5"/>
      <c r="BJ727" s="5"/>
    </row>
    <row r="728">
      <c r="A728" s="5"/>
      <c r="B728" s="150"/>
      <c r="C728" s="151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6"/>
      <c r="BB728" s="5"/>
      <c r="BC728" s="7"/>
      <c r="BE728" s="5"/>
      <c r="BF728" s="5"/>
      <c r="BG728" s="5"/>
      <c r="BH728" s="5"/>
      <c r="BI728" s="5"/>
      <c r="BJ728" s="5"/>
    </row>
    <row r="729">
      <c r="A729" s="5"/>
      <c r="B729" s="150"/>
      <c r="C729" s="151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6"/>
      <c r="BB729" s="5"/>
      <c r="BC729" s="7"/>
      <c r="BE729" s="5"/>
      <c r="BF729" s="5"/>
      <c r="BG729" s="5"/>
      <c r="BH729" s="5"/>
      <c r="BI729" s="5"/>
      <c r="BJ729" s="5"/>
    </row>
    <row r="730">
      <c r="A730" s="5"/>
      <c r="B730" s="150"/>
      <c r="C730" s="151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6"/>
      <c r="BB730" s="5"/>
      <c r="BC730" s="7"/>
      <c r="BE730" s="5"/>
      <c r="BF730" s="5"/>
      <c r="BG730" s="5"/>
      <c r="BH730" s="5"/>
      <c r="BI730" s="5"/>
      <c r="BJ730" s="5"/>
    </row>
    <row r="731">
      <c r="A731" s="5"/>
      <c r="B731" s="150"/>
      <c r="C731" s="151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6"/>
      <c r="BB731" s="5"/>
      <c r="BC731" s="7"/>
      <c r="BE731" s="5"/>
      <c r="BF731" s="5"/>
      <c r="BG731" s="5"/>
      <c r="BH731" s="5"/>
      <c r="BI731" s="5"/>
      <c r="BJ731" s="5"/>
    </row>
    <row r="732">
      <c r="A732" s="5"/>
      <c r="B732" s="150"/>
      <c r="C732" s="151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6"/>
      <c r="BB732" s="5"/>
      <c r="BC732" s="7"/>
      <c r="BE732" s="5"/>
      <c r="BF732" s="5"/>
      <c r="BG732" s="5"/>
      <c r="BH732" s="5"/>
      <c r="BI732" s="5"/>
      <c r="BJ732" s="5"/>
    </row>
    <row r="733">
      <c r="A733" s="5"/>
      <c r="B733" s="150"/>
      <c r="C733" s="151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6"/>
      <c r="BB733" s="5"/>
      <c r="BC733" s="7"/>
      <c r="BE733" s="5"/>
      <c r="BF733" s="5"/>
      <c r="BG733" s="5"/>
      <c r="BH733" s="5"/>
      <c r="BI733" s="5"/>
      <c r="BJ733" s="5"/>
    </row>
    <row r="734">
      <c r="A734" s="5"/>
      <c r="B734" s="150"/>
      <c r="C734" s="151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6"/>
      <c r="BB734" s="5"/>
      <c r="BC734" s="7"/>
      <c r="BE734" s="5"/>
      <c r="BF734" s="5"/>
      <c r="BG734" s="5"/>
      <c r="BH734" s="5"/>
      <c r="BI734" s="5"/>
      <c r="BJ734" s="5"/>
    </row>
    <row r="735">
      <c r="A735" s="5"/>
      <c r="B735" s="150"/>
      <c r="C735" s="151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6"/>
      <c r="BB735" s="5"/>
      <c r="BC735" s="7"/>
      <c r="BE735" s="5"/>
      <c r="BF735" s="5"/>
      <c r="BG735" s="5"/>
      <c r="BH735" s="5"/>
      <c r="BI735" s="5"/>
      <c r="BJ735" s="5"/>
    </row>
    <row r="736">
      <c r="A736" s="5"/>
      <c r="B736" s="150"/>
      <c r="C736" s="151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6"/>
      <c r="BB736" s="5"/>
      <c r="BC736" s="7"/>
      <c r="BE736" s="5"/>
      <c r="BF736" s="5"/>
      <c r="BG736" s="5"/>
      <c r="BH736" s="5"/>
      <c r="BI736" s="5"/>
      <c r="BJ736" s="5"/>
    </row>
    <row r="737">
      <c r="A737" s="5"/>
      <c r="B737" s="150"/>
      <c r="C737" s="151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6"/>
      <c r="BB737" s="5"/>
      <c r="BC737" s="7"/>
      <c r="BE737" s="5"/>
      <c r="BF737" s="5"/>
      <c r="BG737" s="5"/>
      <c r="BH737" s="5"/>
      <c r="BI737" s="5"/>
      <c r="BJ737" s="5"/>
    </row>
    <row r="738">
      <c r="A738" s="5"/>
      <c r="B738" s="150"/>
      <c r="C738" s="151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6"/>
      <c r="BB738" s="5"/>
      <c r="BC738" s="7"/>
      <c r="BE738" s="5"/>
      <c r="BF738" s="5"/>
      <c r="BG738" s="5"/>
      <c r="BH738" s="5"/>
      <c r="BI738" s="5"/>
      <c r="BJ738" s="5"/>
    </row>
    <row r="739">
      <c r="A739" s="5"/>
      <c r="B739" s="150"/>
      <c r="C739" s="151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6"/>
      <c r="BB739" s="5"/>
      <c r="BC739" s="7"/>
      <c r="BE739" s="5"/>
      <c r="BF739" s="5"/>
      <c r="BG739" s="5"/>
      <c r="BH739" s="5"/>
      <c r="BI739" s="5"/>
      <c r="BJ739" s="5"/>
    </row>
    <row r="740">
      <c r="A740" s="5"/>
      <c r="B740" s="150"/>
      <c r="C740" s="151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6"/>
      <c r="BB740" s="5"/>
      <c r="BC740" s="7"/>
      <c r="BE740" s="5"/>
      <c r="BF740" s="5"/>
      <c r="BG740" s="5"/>
      <c r="BH740" s="5"/>
      <c r="BI740" s="5"/>
      <c r="BJ740" s="5"/>
    </row>
    <row r="741">
      <c r="A741" s="5"/>
      <c r="B741" s="150"/>
      <c r="C741" s="151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6"/>
      <c r="BB741" s="5"/>
      <c r="BC741" s="7"/>
      <c r="BE741" s="5"/>
      <c r="BF741" s="5"/>
      <c r="BG741" s="5"/>
      <c r="BH741" s="5"/>
      <c r="BI741" s="5"/>
      <c r="BJ741" s="5"/>
    </row>
    <row r="742">
      <c r="A742" s="5"/>
      <c r="B742" s="150"/>
      <c r="C742" s="151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6"/>
      <c r="BB742" s="5"/>
      <c r="BC742" s="7"/>
      <c r="BE742" s="5"/>
      <c r="BF742" s="5"/>
      <c r="BG742" s="5"/>
      <c r="BH742" s="5"/>
      <c r="BI742" s="5"/>
      <c r="BJ742" s="5"/>
    </row>
    <row r="743">
      <c r="A743" s="5"/>
      <c r="B743" s="150"/>
      <c r="C743" s="151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6"/>
      <c r="BB743" s="5"/>
      <c r="BC743" s="7"/>
      <c r="BE743" s="5"/>
      <c r="BF743" s="5"/>
      <c r="BG743" s="5"/>
      <c r="BH743" s="5"/>
      <c r="BI743" s="5"/>
      <c r="BJ743" s="5"/>
    </row>
    <row r="744">
      <c r="A744" s="5"/>
      <c r="B744" s="150"/>
      <c r="C744" s="151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6"/>
      <c r="BB744" s="5"/>
      <c r="BC744" s="7"/>
      <c r="BE744" s="5"/>
      <c r="BF744" s="5"/>
      <c r="BG744" s="5"/>
      <c r="BH744" s="5"/>
      <c r="BI744" s="5"/>
      <c r="BJ744" s="5"/>
    </row>
    <row r="745">
      <c r="A745" s="5"/>
      <c r="B745" s="150"/>
      <c r="C745" s="151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6"/>
      <c r="BB745" s="5"/>
      <c r="BC745" s="7"/>
      <c r="BE745" s="5"/>
      <c r="BF745" s="5"/>
      <c r="BG745" s="5"/>
      <c r="BH745" s="5"/>
      <c r="BI745" s="5"/>
      <c r="BJ745" s="5"/>
    </row>
    <row r="746">
      <c r="A746" s="5"/>
      <c r="B746" s="150"/>
      <c r="C746" s="151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6"/>
      <c r="BB746" s="5"/>
      <c r="BC746" s="7"/>
      <c r="BE746" s="5"/>
      <c r="BF746" s="5"/>
      <c r="BG746" s="5"/>
      <c r="BH746" s="5"/>
      <c r="BI746" s="5"/>
      <c r="BJ746" s="5"/>
    </row>
    <row r="747">
      <c r="A747" s="5"/>
      <c r="B747" s="150"/>
      <c r="C747" s="151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6"/>
      <c r="BB747" s="5"/>
      <c r="BC747" s="7"/>
      <c r="BE747" s="5"/>
      <c r="BF747" s="5"/>
      <c r="BG747" s="5"/>
      <c r="BH747" s="5"/>
      <c r="BI747" s="5"/>
      <c r="BJ747" s="5"/>
    </row>
    <row r="748">
      <c r="A748" s="5"/>
      <c r="B748" s="150"/>
      <c r="C748" s="151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6"/>
      <c r="BB748" s="5"/>
      <c r="BC748" s="7"/>
      <c r="BE748" s="5"/>
      <c r="BF748" s="5"/>
      <c r="BG748" s="5"/>
      <c r="BH748" s="5"/>
      <c r="BI748" s="5"/>
      <c r="BJ748" s="5"/>
    </row>
    <row r="749">
      <c r="A749" s="5"/>
      <c r="B749" s="150"/>
      <c r="C749" s="151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6"/>
      <c r="BB749" s="5"/>
      <c r="BC749" s="7"/>
      <c r="BE749" s="5"/>
      <c r="BF749" s="5"/>
      <c r="BG749" s="5"/>
      <c r="BH749" s="5"/>
      <c r="BI749" s="5"/>
      <c r="BJ749" s="5"/>
    </row>
    <row r="750">
      <c r="A750" s="5"/>
      <c r="B750" s="150"/>
      <c r="C750" s="151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6"/>
      <c r="BB750" s="5"/>
      <c r="BC750" s="7"/>
      <c r="BE750" s="5"/>
      <c r="BF750" s="5"/>
      <c r="BG750" s="5"/>
      <c r="BH750" s="5"/>
      <c r="BI750" s="5"/>
      <c r="BJ750" s="5"/>
    </row>
    <row r="751">
      <c r="A751" s="5"/>
      <c r="B751" s="150"/>
      <c r="C751" s="151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6"/>
      <c r="BB751" s="5"/>
      <c r="BC751" s="7"/>
      <c r="BE751" s="5"/>
      <c r="BF751" s="5"/>
      <c r="BG751" s="5"/>
      <c r="BH751" s="5"/>
      <c r="BI751" s="5"/>
      <c r="BJ751" s="5"/>
    </row>
    <row r="752">
      <c r="A752" s="5"/>
      <c r="B752" s="150"/>
      <c r="C752" s="151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6"/>
      <c r="BB752" s="5"/>
      <c r="BC752" s="7"/>
      <c r="BE752" s="5"/>
      <c r="BF752" s="5"/>
      <c r="BG752" s="5"/>
      <c r="BH752" s="5"/>
      <c r="BI752" s="5"/>
      <c r="BJ752" s="5"/>
    </row>
    <row r="753">
      <c r="A753" s="5"/>
      <c r="B753" s="150"/>
      <c r="C753" s="151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6"/>
      <c r="BB753" s="5"/>
      <c r="BC753" s="7"/>
      <c r="BE753" s="5"/>
      <c r="BF753" s="5"/>
      <c r="BG753" s="5"/>
      <c r="BH753" s="5"/>
      <c r="BI753" s="5"/>
      <c r="BJ753" s="5"/>
    </row>
    <row r="754">
      <c r="A754" s="5"/>
      <c r="B754" s="150"/>
      <c r="C754" s="151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6"/>
      <c r="BB754" s="5"/>
      <c r="BC754" s="7"/>
      <c r="BE754" s="5"/>
      <c r="BF754" s="5"/>
      <c r="BG754" s="5"/>
      <c r="BH754" s="5"/>
      <c r="BI754" s="5"/>
      <c r="BJ754" s="5"/>
    </row>
    <row r="755">
      <c r="A755" s="5"/>
      <c r="B755" s="150"/>
      <c r="C755" s="151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6"/>
      <c r="BB755" s="5"/>
      <c r="BC755" s="7"/>
      <c r="BE755" s="5"/>
      <c r="BF755" s="5"/>
      <c r="BG755" s="5"/>
      <c r="BH755" s="5"/>
      <c r="BI755" s="5"/>
      <c r="BJ755" s="5"/>
    </row>
    <row r="756">
      <c r="A756" s="5"/>
      <c r="B756" s="150"/>
      <c r="C756" s="151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6"/>
      <c r="BB756" s="5"/>
      <c r="BC756" s="7"/>
      <c r="BE756" s="5"/>
      <c r="BF756" s="5"/>
      <c r="BG756" s="5"/>
      <c r="BH756" s="5"/>
      <c r="BI756" s="5"/>
      <c r="BJ756" s="5"/>
    </row>
    <row r="757">
      <c r="A757" s="5"/>
      <c r="B757" s="150"/>
      <c r="C757" s="151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6"/>
      <c r="BB757" s="5"/>
      <c r="BC757" s="7"/>
      <c r="BE757" s="5"/>
      <c r="BF757" s="5"/>
      <c r="BG757" s="5"/>
      <c r="BH757" s="5"/>
      <c r="BI757" s="5"/>
      <c r="BJ757" s="5"/>
    </row>
    <row r="758">
      <c r="A758" s="5"/>
      <c r="B758" s="150"/>
      <c r="C758" s="151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6"/>
      <c r="BB758" s="5"/>
      <c r="BC758" s="7"/>
      <c r="BE758" s="5"/>
      <c r="BF758" s="5"/>
      <c r="BG758" s="5"/>
      <c r="BH758" s="5"/>
      <c r="BI758" s="5"/>
      <c r="BJ758" s="5"/>
    </row>
    <row r="759">
      <c r="A759" s="5"/>
      <c r="B759" s="150"/>
      <c r="C759" s="151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6"/>
      <c r="BB759" s="5"/>
      <c r="BC759" s="7"/>
      <c r="BE759" s="5"/>
      <c r="BF759" s="5"/>
      <c r="BG759" s="5"/>
      <c r="BH759" s="5"/>
      <c r="BI759" s="5"/>
      <c r="BJ759" s="5"/>
    </row>
    <row r="760">
      <c r="A760" s="5"/>
      <c r="B760" s="150"/>
      <c r="C760" s="151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6"/>
      <c r="BB760" s="5"/>
      <c r="BC760" s="7"/>
      <c r="BE760" s="5"/>
      <c r="BF760" s="5"/>
      <c r="BG760" s="5"/>
      <c r="BH760" s="5"/>
      <c r="BI760" s="5"/>
      <c r="BJ760" s="5"/>
    </row>
    <row r="761">
      <c r="A761" s="5"/>
      <c r="B761" s="150"/>
      <c r="C761" s="151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6"/>
      <c r="BB761" s="5"/>
      <c r="BC761" s="7"/>
      <c r="BE761" s="5"/>
      <c r="BF761" s="5"/>
      <c r="BG761" s="5"/>
      <c r="BH761" s="5"/>
      <c r="BI761" s="5"/>
      <c r="BJ761" s="5"/>
    </row>
    <row r="762">
      <c r="A762" s="5"/>
      <c r="B762" s="150"/>
      <c r="C762" s="151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6"/>
      <c r="BB762" s="5"/>
      <c r="BC762" s="7"/>
      <c r="BE762" s="5"/>
      <c r="BF762" s="5"/>
      <c r="BG762" s="5"/>
      <c r="BH762" s="5"/>
      <c r="BI762" s="5"/>
      <c r="BJ762" s="5"/>
    </row>
    <row r="763">
      <c r="A763" s="5"/>
      <c r="B763" s="150"/>
      <c r="C763" s="151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6"/>
      <c r="BB763" s="5"/>
      <c r="BC763" s="7"/>
      <c r="BE763" s="5"/>
      <c r="BF763" s="5"/>
      <c r="BG763" s="5"/>
      <c r="BH763" s="5"/>
      <c r="BI763" s="5"/>
      <c r="BJ763" s="5"/>
    </row>
    <row r="764">
      <c r="A764" s="5"/>
      <c r="B764" s="150"/>
      <c r="C764" s="151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6"/>
      <c r="BB764" s="5"/>
      <c r="BC764" s="7"/>
      <c r="BE764" s="5"/>
      <c r="BF764" s="5"/>
      <c r="BG764" s="5"/>
      <c r="BH764" s="5"/>
      <c r="BI764" s="5"/>
      <c r="BJ764" s="5"/>
    </row>
    <row r="765">
      <c r="A765" s="5"/>
      <c r="B765" s="150"/>
      <c r="C765" s="151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6"/>
      <c r="BB765" s="5"/>
      <c r="BC765" s="7"/>
      <c r="BE765" s="5"/>
      <c r="BF765" s="5"/>
      <c r="BG765" s="5"/>
      <c r="BH765" s="5"/>
      <c r="BI765" s="5"/>
      <c r="BJ765" s="5"/>
    </row>
    <row r="766">
      <c r="A766" s="5"/>
      <c r="B766" s="150"/>
      <c r="C766" s="151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6"/>
      <c r="BB766" s="5"/>
      <c r="BC766" s="7"/>
      <c r="BE766" s="5"/>
      <c r="BF766" s="5"/>
      <c r="BG766" s="5"/>
      <c r="BH766" s="5"/>
      <c r="BI766" s="5"/>
      <c r="BJ766" s="5"/>
    </row>
    <row r="767">
      <c r="A767" s="5"/>
      <c r="B767" s="150"/>
      <c r="C767" s="151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6"/>
      <c r="BB767" s="5"/>
      <c r="BC767" s="7"/>
      <c r="BE767" s="5"/>
      <c r="BF767" s="5"/>
      <c r="BG767" s="5"/>
      <c r="BH767" s="5"/>
      <c r="BI767" s="5"/>
      <c r="BJ767" s="5"/>
    </row>
    <row r="768">
      <c r="A768" s="5"/>
      <c r="B768" s="150"/>
      <c r="C768" s="151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6"/>
      <c r="BB768" s="5"/>
      <c r="BC768" s="7"/>
      <c r="BE768" s="5"/>
      <c r="BF768" s="5"/>
      <c r="BG768" s="5"/>
      <c r="BH768" s="5"/>
      <c r="BI768" s="5"/>
      <c r="BJ768" s="5"/>
    </row>
    <row r="769">
      <c r="A769" s="5"/>
      <c r="B769" s="150"/>
      <c r="C769" s="151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6"/>
      <c r="BB769" s="5"/>
      <c r="BC769" s="7"/>
      <c r="BE769" s="5"/>
      <c r="BF769" s="5"/>
      <c r="BG769" s="5"/>
      <c r="BH769" s="5"/>
      <c r="BI769" s="5"/>
      <c r="BJ769" s="5"/>
    </row>
    <row r="770">
      <c r="A770" s="5"/>
      <c r="B770" s="150"/>
      <c r="C770" s="151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6"/>
      <c r="BB770" s="5"/>
      <c r="BC770" s="7"/>
      <c r="BE770" s="5"/>
      <c r="BF770" s="5"/>
      <c r="BG770" s="5"/>
      <c r="BH770" s="5"/>
      <c r="BI770" s="5"/>
      <c r="BJ770" s="5"/>
    </row>
    <row r="771">
      <c r="A771" s="5"/>
      <c r="B771" s="150"/>
      <c r="C771" s="151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6"/>
      <c r="BB771" s="5"/>
      <c r="BC771" s="7"/>
      <c r="BE771" s="5"/>
      <c r="BF771" s="5"/>
      <c r="BG771" s="5"/>
      <c r="BH771" s="5"/>
      <c r="BI771" s="5"/>
      <c r="BJ771" s="5"/>
    </row>
    <row r="772">
      <c r="A772" s="5"/>
      <c r="B772" s="150"/>
      <c r="C772" s="151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6"/>
      <c r="BB772" s="5"/>
      <c r="BC772" s="7"/>
      <c r="BE772" s="5"/>
      <c r="BF772" s="5"/>
      <c r="BG772" s="5"/>
      <c r="BH772" s="5"/>
      <c r="BI772" s="5"/>
      <c r="BJ772" s="5"/>
    </row>
    <row r="773">
      <c r="A773" s="5"/>
      <c r="B773" s="150"/>
      <c r="C773" s="151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6"/>
      <c r="BB773" s="5"/>
      <c r="BC773" s="7"/>
      <c r="BE773" s="5"/>
      <c r="BF773" s="5"/>
      <c r="BG773" s="5"/>
      <c r="BH773" s="5"/>
      <c r="BI773" s="5"/>
      <c r="BJ773" s="5"/>
    </row>
    <row r="774">
      <c r="A774" s="5"/>
      <c r="B774" s="150"/>
      <c r="C774" s="151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6"/>
      <c r="BB774" s="5"/>
      <c r="BC774" s="7"/>
      <c r="BE774" s="5"/>
      <c r="BF774" s="5"/>
      <c r="BG774" s="5"/>
      <c r="BH774" s="5"/>
      <c r="BI774" s="5"/>
      <c r="BJ774" s="5"/>
    </row>
    <row r="775">
      <c r="A775" s="5"/>
      <c r="B775" s="150"/>
      <c r="C775" s="151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6"/>
      <c r="BB775" s="5"/>
      <c r="BC775" s="7"/>
      <c r="BE775" s="5"/>
      <c r="BF775" s="5"/>
      <c r="BG775" s="5"/>
      <c r="BH775" s="5"/>
      <c r="BI775" s="5"/>
      <c r="BJ775" s="5"/>
    </row>
    <row r="776">
      <c r="A776" s="5"/>
      <c r="B776" s="150"/>
      <c r="C776" s="151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6"/>
      <c r="BB776" s="5"/>
      <c r="BC776" s="7"/>
      <c r="BE776" s="5"/>
      <c r="BF776" s="5"/>
      <c r="BG776" s="5"/>
      <c r="BH776" s="5"/>
      <c r="BI776" s="5"/>
      <c r="BJ776" s="5"/>
    </row>
    <row r="777">
      <c r="A777" s="5"/>
      <c r="B777" s="150"/>
      <c r="C777" s="151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6"/>
      <c r="BB777" s="5"/>
      <c r="BC777" s="7"/>
      <c r="BE777" s="5"/>
      <c r="BF777" s="5"/>
      <c r="BG777" s="5"/>
      <c r="BH777" s="5"/>
      <c r="BI777" s="5"/>
      <c r="BJ777" s="5"/>
    </row>
    <row r="778">
      <c r="A778" s="5"/>
      <c r="B778" s="150"/>
      <c r="C778" s="151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6"/>
      <c r="BB778" s="5"/>
      <c r="BC778" s="7"/>
      <c r="BE778" s="5"/>
      <c r="BF778" s="5"/>
      <c r="BG778" s="5"/>
      <c r="BH778" s="5"/>
      <c r="BI778" s="5"/>
      <c r="BJ778" s="5"/>
    </row>
    <row r="779">
      <c r="A779" s="5"/>
      <c r="B779" s="150"/>
      <c r="C779" s="151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6"/>
      <c r="BB779" s="5"/>
      <c r="BC779" s="7"/>
      <c r="BE779" s="5"/>
      <c r="BF779" s="5"/>
      <c r="BG779" s="5"/>
      <c r="BH779" s="5"/>
      <c r="BI779" s="5"/>
      <c r="BJ779" s="5"/>
    </row>
    <row r="780">
      <c r="A780" s="5"/>
      <c r="B780" s="150"/>
      <c r="C780" s="151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6"/>
      <c r="BB780" s="5"/>
      <c r="BC780" s="7"/>
      <c r="BE780" s="5"/>
      <c r="BF780" s="5"/>
      <c r="BG780" s="5"/>
      <c r="BH780" s="5"/>
      <c r="BI780" s="5"/>
      <c r="BJ780" s="5"/>
    </row>
    <row r="781">
      <c r="A781" s="5"/>
      <c r="B781" s="150"/>
      <c r="C781" s="151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6"/>
      <c r="BB781" s="5"/>
      <c r="BC781" s="7"/>
      <c r="BE781" s="5"/>
      <c r="BF781" s="5"/>
      <c r="BG781" s="5"/>
      <c r="BH781" s="5"/>
      <c r="BI781" s="5"/>
      <c r="BJ781" s="5"/>
    </row>
    <row r="782">
      <c r="A782" s="5"/>
      <c r="B782" s="150"/>
      <c r="C782" s="151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6"/>
      <c r="BB782" s="5"/>
      <c r="BC782" s="7"/>
      <c r="BE782" s="5"/>
      <c r="BF782" s="5"/>
      <c r="BG782" s="5"/>
      <c r="BH782" s="5"/>
      <c r="BI782" s="5"/>
      <c r="BJ782" s="5"/>
    </row>
    <row r="783">
      <c r="A783" s="5"/>
      <c r="B783" s="150"/>
      <c r="C783" s="151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6"/>
      <c r="BB783" s="5"/>
      <c r="BC783" s="7"/>
      <c r="BE783" s="5"/>
      <c r="BF783" s="5"/>
      <c r="BG783" s="5"/>
      <c r="BH783" s="5"/>
      <c r="BI783" s="5"/>
      <c r="BJ783" s="5"/>
    </row>
    <row r="784">
      <c r="A784" s="5"/>
      <c r="B784" s="150"/>
      <c r="C784" s="151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6"/>
      <c r="BB784" s="5"/>
      <c r="BC784" s="7"/>
      <c r="BE784" s="5"/>
      <c r="BF784" s="5"/>
      <c r="BG784" s="5"/>
      <c r="BH784" s="5"/>
      <c r="BI784" s="5"/>
      <c r="BJ784" s="5"/>
    </row>
    <row r="785">
      <c r="A785" s="5"/>
      <c r="B785" s="150"/>
      <c r="C785" s="151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6"/>
      <c r="BB785" s="5"/>
      <c r="BC785" s="7"/>
      <c r="BE785" s="5"/>
      <c r="BF785" s="5"/>
      <c r="BG785" s="5"/>
      <c r="BH785" s="5"/>
      <c r="BI785" s="5"/>
      <c r="BJ785" s="5"/>
    </row>
    <row r="786">
      <c r="A786" s="5"/>
      <c r="B786" s="150"/>
      <c r="C786" s="151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6"/>
      <c r="BB786" s="5"/>
      <c r="BC786" s="7"/>
      <c r="BE786" s="5"/>
      <c r="BF786" s="5"/>
      <c r="BG786" s="5"/>
      <c r="BH786" s="5"/>
      <c r="BI786" s="5"/>
      <c r="BJ786" s="5"/>
    </row>
    <row r="787">
      <c r="A787" s="5"/>
      <c r="B787" s="150"/>
      <c r="C787" s="151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6"/>
      <c r="BB787" s="5"/>
      <c r="BC787" s="7"/>
      <c r="BE787" s="5"/>
      <c r="BF787" s="5"/>
      <c r="BG787" s="5"/>
      <c r="BH787" s="5"/>
      <c r="BI787" s="5"/>
      <c r="BJ787" s="5"/>
    </row>
    <row r="788">
      <c r="A788" s="5"/>
      <c r="B788" s="150"/>
      <c r="C788" s="151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6"/>
      <c r="BB788" s="5"/>
      <c r="BC788" s="7"/>
      <c r="BE788" s="5"/>
      <c r="BF788" s="5"/>
      <c r="BG788" s="5"/>
      <c r="BH788" s="5"/>
      <c r="BI788" s="5"/>
      <c r="BJ788" s="5"/>
    </row>
    <row r="789">
      <c r="A789" s="5"/>
      <c r="B789" s="150"/>
      <c r="C789" s="151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6"/>
      <c r="BB789" s="5"/>
      <c r="BC789" s="7"/>
      <c r="BE789" s="5"/>
      <c r="BF789" s="5"/>
      <c r="BG789" s="5"/>
      <c r="BH789" s="5"/>
      <c r="BI789" s="5"/>
      <c r="BJ789" s="5"/>
    </row>
    <row r="790">
      <c r="A790" s="5"/>
      <c r="B790" s="150"/>
      <c r="C790" s="151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6"/>
      <c r="BB790" s="5"/>
      <c r="BC790" s="7"/>
      <c r="BE790" s="5"/>
      <c r="BF790" s="5"/>
      <c r="BG790" s="5"/>
      <c r="BH790" s="5"/>
      <c r="BI790" s="5"/>
      <c r="BJ790" s="5"/>
    </row>
    <row r="791">
      <c r="A791" s="5"/>
      <c r="B791" s="150"/>
      <c r="C791" s="151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6"/>
      <c r="BB791" s="5"/>
      <c r="BC791" s="7"/>
      <c r="BE791" s="5"/>
      <c r="BF791" s="5"/>
      <c r="BG791" s="5"/>
      <c r="BH791" s="5"/>
      <c r="BI791" s="5"/>
      <c r="BJ791" s="5"/>
    </row>
    <row r="792">
      <c r="A792" s="5"/>
      <c r="B792" s="150"/>
      <c r="C792" s="151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6"/>
      <c r="BB792" s="5"/>
      <c r="BC792" s="7"/>
      <c r="BE792" s="5"/>
      <c r="BF792" s="5"/>
      <c r="BG792" s="5"/>
      <c r="BH792" s="5"/>
      <c r="BI792" s="5"/>
      <c r="BJ792" s="5"/>
    </row>
    <row r="793">
      <c r="A793" s="5"/>
      <c r="B793" s="150"/>
      <c r="C793" s="151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6"/>
      <c r="BB793" s="5"/>
      <c r="BC793" s="7"/>
      <c r="BE793" s="5"/>
      <c r="BF793" s="5"/>
      <c r="BG793" s="5"/>
      <c r="BH793" s="5"/>
      <c r="BI793" s="5"/>
      <c r="BJ793" s="5"/>
    </row>
    <row r="794">
      <c r="A794" s="5"/>
      <c r="B794" s="150"/>
      <c r="C794" s="151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6"/>
      <c r="BB794" s="5"/>
      <c r="BC794" s="7"/>
      <c r="BE794" s="5"/>
      <c r="BF794" s="5"/>
      <c r="BG794" s="5"/>
      <c r="BH794" s="5"/>
      <c r="BI794" s="5"/>
      <c r="BJ794" s="5"/>
    </row>
    <row r="795">
      <c r="A795" s="5"/>
      <c r="B795" s="150"/>
      <c r="C795" s="151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6"/>
      <c r="BB795" s="5"/>
      <c r="BC795" s="7"/>
      <c r="BE795" s="5"/>
      <c r="BF795" s="5"/>
      <c r="BG795" s="5"/>
      <c r="BH795" s="5"/>
      <c r="BI795" s="5"/>
      <c r="BJ795" s="5"/>
    </row>
    <row r="796">
      <c r="A796" s="5"/>
      <c r="B796" s="150"/>
      <c r="C796" s="151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6"/>
      <c r="BB796" s="5"/>
      <c r="BC796" s="7"/>
      <c r="BE796" s="5"/>
      <c r="BF796" s="5"/>
      <c r="BG796" s="5"/>
      <c r="BH796" s="5"/>
      <c r="BI796" s="5"/>
      <c r="BJ796" s="5"/>
    </row>
    <row r="797">
      <c r="A797" s="5"/>
      <c r="B797" s="150"/>
      <c r="C797" s="151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6"/>
      <c r="BB797" s="5"/>
      <c r="BC797" s="7"/>
      <c r="BE797" s="5"/>
      <c r="BF797" s="5"/>
      <c r="BG797" s="5"/>
      <c r="BH797" s="5"/>
      <c r="BI797" s="5"/>
      <c r="BJ797" s="5"/>
    </row>
    <row r="798">
      <c r="A798" s="5"/>
      <c r="B798" s="150"/>
      <c r="C798" s="151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6"/>
      <c r="BB798" s="5"/>
      <c r="BC798" s="7"/>
      <c r="BE798" s="5"/>
      <c r="BF798" s="5"/>
      <c r="BG798" s="5"/>
      <c r="BH798" s="5"/>
      <c r="BI798" s="5"/>
      <c r="BJ798" s="5"/>
    </row>
    <row r="799">
      <c r="A799" s="5"/>
      <c r="B799" s="150"/>
      <c r="C799" s="151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6"/>
      <c r="BB799" s="5"/>
      <c r="BC799" s="7"/>
      <c r="BE799" s="5"/>
      <c r="BF799" s="5"/>
      <c r="BG799" s="5"/>
      <c r="BH799" s="5"/>
      <c r="BI799" s="5"/>
      <c r="BJ799" s="5"/>
    </row>
    <row r="800">
      <c r="A800" s="5"/>
      <c r="B800" s="150"/>
      <c r="C800" s="151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6"/>
      <c r="BB800" s="5"/>
      <c r="BC800" s="7"/>
      <c r="BE800" s="5"/>
      <c r="BF800" s="5"/>
      <c r="BG800" s="5"/>
      <c r="BH800" s="5"/>
      <c r="BI800" s="5"/>
      <c r="BJ800" s="5"/>
    </row>
    <row r="801">
      <c r="A801" s="5"/>
      <c r="B801" s="150"/>
      <c r="C801" s="151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6"/>
      <c r="BB801" s="5"/>
      <c r="BC801" s="7"/>
      <c r="BE801" s="5"/>
      <c r="BF801" s="5"/>
      <c r="BG801" s="5"/>
      <c r="BH801" s="5"/>
      <c r="BI801" s="5"/>
      <c r="BJ801" s="5"/>
    </row>
    <row r="802">
      <c r="A802" s="5"/>
      <c r="B802" s="150"/>
      <c r="C802" s="151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6"/>
      <c r="BB802" s="5"/>
      <c r="BC802" s="7"/>
      <c r="BE802" s="5"/>
      <c r="BF802" s="5"/>
      <c r="BG802" s="5"/>
      <c r="BH802" s="5"/>
      <c r="BI802" s="5"/>
      <c r="BJ802" s="5"/>
    </row>
    <row r="803">
      <c r="A803" s="5"/>
      <c r="B803" s="150"/>
      <c r="C803" s="151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6"/>
      <c r="BB803" s="5"/>
      <c r="BC803" s="7"/>
      <c r="BE803" s="5"/>
      <c r="BF803" s="5"/>
      <c r="BG803" s="5"/>
      <c r="BH803" s="5"/>
      <c r="BI803" s="5"/>
      <c r="BJ803" s="5"/>
    </row>
    <row r="804">
      <c r="A804" s="5"/>
      <c r="B804" s="150"/>
      <c r="C804" s="151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6"/>
      <c r="BB804" s="5"/>
      <c r="BC804" s="7"/>
      <c r="BE804" s="5"/>
      <c r="BF804" s="5"/>
      <c r="BG804" s="5"/>
      <c r="BH804" s="5"/>
      <c r="BI804" s="5"/>
      <c r="BJ804" s="5"/>
    </row>
    <row r="805">
      <c r="A805" s="5"/>
      <c r="B805" s="150"/>
      <c r="C805" s="151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6"/>
      <c r="BB805" s="5"/>
      <c r="BC805" s="7"/>
      <c r="BE805" s="5"/>
      <c r="BF805" s="5"/>
      <c r="BG805" s="5"/>
      <c r="BH805" s="5"/>
      <c r="BI805" s="5"/>
      <c r="BJ805" s="5"/>
    </row>
    <row r="806">
      <c r="A806" s="5"/>
      <c r="B806" s="150"/>
      <c r="C806" s="151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6"/>
      <c r="BB806" s="5"/>
      <c r="BC806" s="7"/>
      <c r="BE806" s="5"/>
      <c r="BF806" s="5"/>
      <c r="BG806" s="5"/>
      <c r="BH806" s="5"/>
      <c r="BI806" s="5"/>
      <c r="BJ806" s="5"/>
    </row>
    <row r="807">
      <c r="A807" s="5"/>
      <c r="B807" s="150"/>
      <c r="C807" s="151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6"/>
      <c r="BB807" s="5"/>
      <c r="BC807" s="7"/>
      <c r="BE807" s="5"/>
      <c r="BF807" s="5"/>
      <c r="BG807" s="5"/>
      <c r="BH807" s="5"/>
      <c r="BI807" s="5"/>
      <c r="BJ807" s="5"/>
    </row>
    <row r="808">
      <c r="A808" s="5"/>
      <c r="B808" s="150"/>
      <c r="C808" s="151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6"/>
      <c r="BB808" s="5"/>
      <c r="BC808" s="7"/>
      <c r="BE808" s="5"/>
      <c r="BF808" s="5"/>
      <c r="BG808" s="5"/>
      <c r="BH808" s="5"/>
      <c r="BI808" s="5"/>
      <c r="BJ808" s="5"/>
    </row>
    <row r="809">
      <c r="A809" s="5"/>
      <c r="B809" s="150"/>
      <c r="C809" s="151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6"/>
      <c r="BB809" s="5"/>
      <c r="BC809" s="7"/>
      <c r="BE809" s="5"/>
      <c r="BF809" s="5"/>
      <c r="BG809" s="5"/>
      <c r="BH809" s="5"/>
      <c r="BI809" s="5"/>
      <c r="BJ809" s="5"/>
    </row>
    <row r="810">
      <c r="A810" s="5"/>
      <c r="B810" s="150"/>
      <c r="C810" s="151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6"/>
      <c r="BB810" s="5"/>
      <c r="BC810" s="7"/>
      <c r="BE810" s="5"/>
      <c r="BF810" s="5"/>
      <c r="BG810" s="5"/>
      <c r="BH810" s="5"/>
      <c r="BI810" s="5"/>
      <c r="BJ810" s="5"/>
    </row>
    <row r="811">
      <c r="A811" s="5"/>
      <c r="B811" s="150"/>
      <c r="C811" s="151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6"/>
      <c r="BB811" s="5"/>
      <c r="BC811" s="7"/>
      <c r="BE811" s="5"/>
      <c r="BF811" s="5"/>
      <c r="BG811" s="5"/>
      <c r="BH811" s="5"/>
      <c r="BI811" s="5"/>
      <c r="BJ811" s="5"/>
    </row>
    <row r="812">
      <c r="A812" s="5"/>
      <c r="B812" s="150"/>
      <c r="C812" s="151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6"/>
      <c r="BB812" s="5"/>
      <c r="BC812" s="7"/>
      <c r="BE812" s="5"/>
      <c r="BF812" s="5"/>
      <c r="BG812" s="5"/>
      <c r="BH812" s="5"/>
      <c r="BI812" s="5"/>
      <c r="BJ812" s="5"/>
    </row>
    <row r="813">
      <c r="A813" s="5"/>
      <c r="B813" s="150"/>
      <c r="C813" s="151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6"/>
      <c r="BB813" s="5"/>
      <c r="BC813" s="7"/>
      <c r="BE813" s="5"/>
      <c r="BF813" s="5"/>
      <c r="BG813" s="5"/>
      <c r="BH813" s="5"/>
      <c r="BI813" s="5"/>
      <c r="BJ813" s="5"/>
    </row>
    <row r="814">
      <c r="A814" s="5"/>
      <c r="B814" s="150"/>
      <c r="C814" s="151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6"/>
      <c r="BB814" s="5"/>
      <c r="BC814" s="7"/>
      <c r="BE814" s="5"/>
      <c r="BF814" s="5"/>
      <c r="BG814" s="5"/>
      <c r="BH814" s="5"/>
      <c r="BI814" s="5"/>
      <c r="BJ814" s="5"/>
    </row>
    <row r="815">
      <c r="A815" s="5"/>
      <c r="B815" s="150"/>
      <c r="C815" s="151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6"/>
      <c r="BB815" s="5"/>
      <c r="BC815" s="7"/>
      <c r="BE815" s="5"/>
      <c r="BF815" s="5"/>
      <c r="BG815" s="5"/>
      <c r="BH815" s="5"/>
      <c r="BI815" s="5"/>
      <c r="BJ815" s="5"/>
    </row>
    <row r="816">
      <c r="A816" s="5"/>
      <c r="B816" s="150"/>
      <c r="C816" s="151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6"/>
      <c r="BB816" s="5"/>
      <c r="BC816" s="7"/>
      <c r="BE816" s="5"/>
      <c r="BF816" s="5"/>
      <c r="BG816" s="5"/>
      <c r="BH816" s="5"/>
      <c r="BI816" s="5"/>
      <c r="BJ816" s="5"/>
    </row>
    <row r="817">
      <c r="A817" s="5"/>
      <c r="B817" s="150"/>
      <c r="C817" s="151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6"/>
      <c r="BB817" s="5"/>
      <c r="BC817" s="7"/>
      <c r="BE817" s="5"/>
      <c r="BF817" s="5"/>
      <c r="BG817" s="5"/>
      <c r="BH817" s="5"/>
      <c r="BI817" s="5"/>
      <c r="BJ817" s="5"/>
    </row>
    <row r="818">
      <c r="A818" s="5"/>
      <c r="B818" s="150"/>
      <c r="C818" s="151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6"/>
      <c r="BB818" s="5"/>
      <c r="BC818" s="7"/>
      <c r="BE818" s="5"/>
      <c r="BF818" s="5"/>
      <c r="BG818" s="5"/>
      <c r="BH818" s="5"/>
      <c r="BI818" s="5"/>
      <c r="BJ818" s="5"/>
    </row>
    <row r="819">
      <c r="A819" s="5"/>
      <c r="B819" s="150"/>
      <c r="C819" s="151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6"/>
      <c r="BB819" s="5"/>
      <c r="BC819" s="7"/>
      <c r="BE819" s="5"/>
      <c r="BF819" s="5"/>
      <c r="BG819" s="5"/>
      <c r="BH819" s="5"/>
      <c r="BI819" s="5"/>
      <c r="BJ819" s="5"/>
    </row>
    <row r="820">
      <c r="A820" s="5"/>
      <c r="B820" s="150"/>
      <c r="C820" s="151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6"/>
      <c r="BB820" s="5"/>
      <c r="BC820" s="7"/>
      <c r="BE820" s="5"/>
      <c r="BF820" s="5"/>
      <c r="BG820" s="5"/>
      <c r="BH820" s="5"/>
      <c r="BI820" s="5"/>
      <c r="BJ820" s="5"/>
    </row>
    <row r="821">
      <c r="A821" s="5"/>
      <c r="B821" s="150"/>
      <c r="C821" s="151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6"/>
      <c r="BB821" s="5"/>
      <c r="BC821" s="7"/>
      <c r="BE821" s="5"/>
      <c r="BF821" s="5"/>
      <c r="BG821" s="5"/>
      <c r="BH821" s="5"/>
      <c r="BI821" s="5"/>
      <c r="BJ821" s="5"/>
    </row>
    <row r="822">
      <c r="A822" s="5"/>
      <c r="B822" s="150"/>
      <c r="C822" s="151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6"/>
      <c r="BB822" s="5"/>
      <c r="BC822" s="7"/>
      <c r="BE822" s="5"/>
      <c r="BF822" s="5"/>
      <c r="BG822" s="5"/>
      <c r="BH822" s="5"/>
      <c r="BI822" s="5"/>
      <c r="BJ822" s="5"/>
    </row>
    <row r="823">
      <c r="A823" s="5"/>
      <c r="B823" s="150"/>
      <c r="C823" s="151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6"/>
      <c r="BB823" s="5"/>
      <c r="BC823" s="7"/>
      <c r="BE823" s="5"/>
      <c r="BF823" s="5"/>
      <c r="BG823" s="5"/>
      <c r="BH823" s="5"/>
      <c r="BI823" s="5"/>
      <c r="BJ823" s="5"/>
    </row>
    <row r="824">
      <c r="A824" s="5"/>
      <c r="B824" s="150"/>
      <c r="C824" s="151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6"/>
      <c r="BB824" s="5"/>
      <c r="BC824" s="7"/>
      <c r="BE824" s="5"/>
      <c r="BF824" s="5"/>
      <c r="BG824" s="5"/>
      <c r="BH824" s="5"/>
      <c r="BI824" s="5"/>
      <c r="BJ824" s="5"/>
    </row>
    <row r="825">
      <c r="A825" s="5"/>
      <c r="B825" s="150"/>
      <c r="C825" s="151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6"/>
      <c r="BB825" s="5"/>
      <c r="BC825" s="7"/>
      <c r="BE825" s="5"/>
      <c r="BF825" s="5"/>
      <c r="BG825" s="5"/>
      <c r="BH825" s="5"/>
      <c r="BI825" s="5"/>
      <c r="BJ825" s="5"/>
    </row>
    <row r="826">
      <c r="A826" s="5"/>
      <c r="B826" s="150"/>
      <c r="C826" s="151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6"/>
      <c r="BB826" s="5"/>
      <c r="BC826" s="7"/>
      <c r="BE826" s="5"/>
      <c r="BF826" s="5"/>
      <c r="BG826" s="5"/>
      <c r="BH826" s="5"/>
      <c r="BI826" s="5"/>
      <c r="BJ826" s="5"/>
    </row>
    <row r="827">
      <c r="A827" s="5"/>
      <c r="B827" s="150"/>
      <c r="C827" s="151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6"/>
      <c r="BB827" s="5"/>
      <c r="BC827" s="7"/>
      <c r="BE827" s="5"/>
      <c r="BF827" s="5"/>
      <c r="BG827" s="5"/>
      <c r="BH827" s="5"/>
      <c r="BI827" s="5"/>
      <c r="BJ827" s="5"/>
    </row>
    <row r="828">
      <c r="A828" s="5"/>
      <c r="B828" s="150"/>
      <c r="C828" s="151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6"/>
      <c r="BB828" s="5"/>
      <c r="BC828" s="7"/>
      <c r="BE828" s="5"/>
      <c r="BF828" s="5"/>
      <c r="BG828" s="5"/>
      <c r="BH828" s="5"/>
      <c r="BI828" s="5"/>
      <c r="BJ828" s="5"/>
    </row>
    <row r="829">
      <c r="A829" s="5"/>
      <c r="B829" s="150"/>
      <c r="C829" s="151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6"/>
      <c r="BB829" s="5"/>
      <c r="BC829" s="7"/>
      <c r="BE829" s="5"/>
      <c r="BF829" s="5"/>
      <c r="BG829" s="5"/>
      <c r="BH829" s="5"/>
      <c r="BI829" s="5"/>
      <c r="BJ829" s="5"/>
    </row>
    <row r="830">
      <c r="A830" s="5"/>
      <c r="B830" s="150"/>
      <c r="C830" s="151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6"/>
      <c r="BB830" s="5"/>
      <c r="BC830" s="7"/>
      <c r="BE830" s="5"/>
      <c r="BF830" s="5"/>
      <c r="BG830" s="5"/>
      <c r="BH830" s="5"/>
      <c r="BI830" s="5"/>
      <c r="BJ830" s="5"/>
    </row>
    <row r="831">
      <c r="A831" s="5"/>
      <c r="B831" s="150"/>
      <c r="C831" s="151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6"/>
      <c r="BB831" s="5"/>
      <c r="BC831" s="7"/>
      <c r="BE831" s="5"/>
      <c r="BF831" s="5"/>
      <c r="BG831" s="5"/>
      <c r="BH831" s="5"/>
      <c r="BI831" s="5"/>
      <c r="BJ831" s="5"/>
    </row>
    <row r="832">
      <c r="A832" s="5"/>
      <c r="B832" s="150"/>
      <c r="C832" s="151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6"/>
      <c r="BB832" s="5"/>
      <c r="BC832" s="7"/>
      <c r="BE832" s="5"/>
      <c r="BF832" s="5"/>
      <c r="BG832" s="5"/>
      <c r="BH832" s="5"/>
      <c r="BI832" s="5"/>
      <c r="BJ832" s="5"/>
    </row>
    <row r="833">
      <c r="A833" s="5"/>
      <c r="B833" s="150"/>
      <c r="C833" s="151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6"/>
      <c r="BB833" s="5"/>
      <c r="BC833" s="7"/>
      <c r="BE833" s="5"/>
      <c r="BF833" s="5"/>
      <c r="BG833" s="5"/>
      <c r="BH833" s="5"/>
      <c r="BI833" s="5"/>
      <c r="BJ833" s="5"/>
    </row>
    <row r="834">
      <c r="A834" s="5"/>
      <c r="B834" s="150"/>
      <c r="C834" s="151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6"/>
      <c r="BB834" s="5"/>
      <c r="BC834" s="7"/>
      <c r="BE834" s="5"/>
      <c r="BF834" s="5"/>
      <c r="BG834" s="5"/>
      <c r="BH834" s="5"/>
      <c r="BI834" s="5"/>
      <c r="BJ834" s="5"/>
    </row>
    <row r="835">
      <c r="A835" s="5"/>
      <c r="B835" s="150"/>
      <c r="C835" s="151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6"/>
      <c r="BB835" s="5"/>
      <c r="BC835" s="7"/>
      <c r="BE835" s="5"/>
      <c r="BF835" s="5"/>
      <c r="BG835" s="5"/>
      <c r="BH835" s="5"/>
      <c r="BI835" s="5"/>
      <c r="BJ835" s="5"/>
    </row>
    <row r="836">
      <c r="A836" s="5"/>
      <c r="B836" s="150"/>
      <c r="C836" s="151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6"/>
      <c r="BB836" s="5"/>
      <c r="BC836" s="7"/>
      <c r="BE836" s="5"/>
      <c r="BF836" s="5"/>
      <c r="BG836" s="5"/>
      <c r="BH836" s="5"/>
      <c r="BI836" s="5"/>
      <c r="BJ836" s="5"/>
    </row>
    <row r="837">
      <c r="A837" s="5"/>
      <c r="B837" s="150"/>
      <c r="C837" s="151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6"/>
      <c r="BB837" s="5"/>
      <c r="BC837" s="7"/>
      <c r="BE837" s="5"/>
      <c r="BF837" s="5"/>
      <c r="BG837" s="5"/>
      <c r="BH837" s="5"/>
      <c r="BI837" s="5"/>
      <c r="BJ837" s="5"/>
    </row>
    <row r="838">
      <c r="A838" s="5"/>
      <c r="B838" s="150"/>
      <c r="C838" s="151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6"/>
      <c r="BB838" s="5"/>
      <c r="BC838" s="7"/>
      <c r="BE838" s="5"/>
      <c r="BF838" s="5"/>
      <c r="BG838" s="5"/>
      <c r="BH838" s="5"/>
      <c r="BI838" s="5"/>
      <c r="BJ838" s="5"/>
    </row>
    <row r="839">
      <c r="A839" s="5"/>
      <c r="B839" s="150"/>
      <c r="C839" s="151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6"/>
      <c r="BB839" s="5"/>
      <c r="BC839" s="7"/>
      <c r="BE839" s="5"/>
      <c r="BF839" s="5"/>
      <c r="BG839" s="5"/>
      <c r="BH839" s="5"/>
      <c r="BI839" s="5"/>
      <c r="BJ839" s="5"/>
    </row>
    <row r="840">
      <c r="A840" s="5"/>
      <c r="B840" s="150"/>
      <c r="C840" s="151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6"/>
      <c r="BB840" s="5"/>
      <c r="BC840" s="7"/>
      <c r="BE840" s="5"/>
      <c r="BF840" s="5"/>
      <c r="BG840" s="5"/>
      <c r="BH840" s="5"/>
      <c r="BI840" s="5"/>
      <c r="BJ840" s="5"/>
    </row>
    <row r="841">
      <c r="A841" s="5"/>
      <c r="B841" s="150"/>
      <c r="C841" s="151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6"/>
      <c r="BB841" s="5"/>
      <c r="BC841" s="7"/>
      <c r="BE841" s="5"/>
      <c r="BF841" s="5"/>
      <c r="BG841" s="5"/>
      <c r="BH841" s="5"/>
      <c r="BI841" s="5"/>
      <c r="BJ841" s="5"/>
    </row>
    <row r="842">
      <c r="A842" s="5"/>
      <c r="B842" s="150"/>
      <c r="C842" s="151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6"/>
      <c r="BB842" s="5"/>
      <c r="BC842" s="7"/>
      <c r="BE842" s="5"/>
      <c r="BF842" s="5"/>
      <c r="BG842" s="5"/>
      <c r="BH842" s="5"/>
      <c r="BI842" s="5"/>
      <c r="BJ842" s="5"/>
    </row>
    <row r="843">
      <c r="A843" s="5"/>
      <c r="B843" s="150"/>
      <c r="C843" s="151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6"/>
      <c r="BB843" s="5"/>
      <c r="BC843" s="7"/>
      <c r="BE843" s="5"/>
      <c r="BF843" s="5"/>
      <c r="BG843" s="5"/>
      <c r="BH843" s="5"/>
      <c r="BI843" s="5"/>
      <c r="BJ843" s="5"/>
    </row>
    <row r="844">
      <c r="A844" s="5"/>
      <c r="B844" s="150"/>
      <c r="C844" s="151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6"/>
      <c r="BB844" s="5"/>
      <c r="BC844" s="7"/>
      <c r="BE844" s="5"/>
      <c r="BF844" s="5"/>
      <c r="BG844" s="5"/>
      <c r="BH844" s="5"/>
      <c r="BI844" s="5"/>
      <c r="BJ844" s="5"/>
    </row>
    <row r="845">
      <c r="A845" s="5"/>
      <c r="B845" s="150"/>
      <c r="C845" s="151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6"/>
      <c r="BB845" s="5"/>
      <c r="BC845" s="7"/>
      <c r="BE845" s="5"/>
      <c r="BF845" s="5"/>
      <c r="BG845" s="5"/>
      <c r="BH845" s="5"/>
      <c r="BI845" s="5"/>
      <c r="BJ845" s="5"/>
    </row>
    <row r="846">
      <c r="A846" s="5"/>
      <c r="B846" s="150"/>
      <c r="C846" s="151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6"/>
      <c r="BB846" s="5"/>
      <c r="BC846" s="7"/>
      <c r="BE846" s="5"/>
      <c r="BF846" s="5"/>
      <c r="BG846" s="5"/>
      <c r="BH846" s="5"/>
      <c r="BI846" s="5"/>
      <c r="BJ846" s="5"/>
    </row>
    <row r="847">
      <c r="A847" s="5"/>
      <c r="B847" s="150"/>
      <c r="C847" s="151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6"/>
      <c r="BB847" s="5"/>
      <c r="BC847" s="7"/>
      <c r="BE847" s="5"/>
      <c r="BF847" s="5"/>
      <c r="BG847" s="5"/>
      <c r="BH847" s="5"/>
      <c r="BI847" s="5"/>
      <c r="BJ847" s="5"/>
    </row>
    <row r="848">
      <c r="A848" s="5"/>
      <c r="B848" s="150"/>
      <c r="C848" s="151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6"/>
      <c r="BB848" s="5"/>
      <c r="BC848" s="7"/>
      <c r="BE848" s="5"/>
      <c r="BF848" s="5"/>
      <c r="BG848" s="5"/>
      <c r="BH848" s="5"/>
      <c r="BI848" s="5"/>
      <c r="BJ848" s="5"/>
    </row>
    <row r="849">
      <c r="A849" s="5"/>
      <c r="B849" s="150"/>
      <c r="C849" s="151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6"/>
      <c r="BB849" s="5"/>
      <c r="BC849" s="7"/>
      <c r="BE849" s="5"/>
      <c r="BF849" s="5"/>
      <c r="BG849" s="5"/>
      <c r="BH849" s="5"/>
      <c r="BI849" s="5"/>
      <c r="BJ849" s="5"/>
    </row>
    <row r="850">
      <c r="A850" s="5"/>
      <c r="B850" s="150"/>
      <c r="C850" s="151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6"/>
      <c r="BB850" s="5"/>
      <c r="BC850" s="7"/>
      <c r="BE850" s="5"/>
      <c r="BF850" s="5"/>
      <c r="BG850" s="5"/>
      <c r="BH850" s="5"/>
      <c r="BI850" s="5"/>
      <c r="BJ850" s="5"/>
    </row>
    <row r="851">
      <c r="A851" s="5"/>
      <c r="B851" s="150"/>
      <c r="C851" s="151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6"/>
      <c r="BB851" s="5"/>
      <c r="BC851" s="7"/>
      <c r="BE851" s="5"/>
      <c r="BF851" s="5"/>
      <c r="BG851" s="5"/>
      <c r="BH851" s="5"/>
      <c r="BI851" s="5"/>
      <c r="BJ851" s="5"/>
    </row>
    <row r="852">
      <c r="A852" s="5"/>
      <c r="B852" s="150"/>
      <c r="C852" s="151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6"/>
      <c r="BB852" s="5"/>
      <c r="BC852" s="7"/>
      <c r="BE852" s="5"/>
      <c r="BF852" s="5"/>
      <c r="BG852" s="5"/>
      <c r="BH852" s="5"/>
      <c r="BI852" s="5"/>
      <c r="BJ852" s="5"/>
    </row>
    <row r="853">
      <c r="A853" s="5"/>
      <c r="B853" s="150"/>
      <c r="C853" s="151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6"/>
      <c r="BB853" s="5"/>
      <c r="BC853" s="7"/>
      <c r="BE853" s="5"/>
      <c r="BF853" s="5"/>
      <c r="BG853" s="5"/>
      <c r="BH853" s="5"/>
      <c r="BI853" s="5"/>
      <c r="BJ853" s="5"/>
    </row>
    <row r="854">
      <c r="A854" s="5"/>
      <c r="B854" s="150"/>
      <c r="C854" s="151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6"/>
      <c r="BB854" s="5"/>
      <c r="BC854" s="7"/>
      <c r="BE854" s="5"/>
      <c r="BF854" s="5"/>
      <c r="BG854" s="5"/>
      <c r="BH854" s="5"/>
      <c r="BI854" s="5"/>
      <c r="BJ854" s="5"/>
    </row>
    <row r="855">
      <c r="A855" s="5"/>
      <c r="B855" s="150"/>
      <c r="C855" s="151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6"/>
      <c r="BB855" s="5"/>
      <c r="BC855" s="7"/>
      <c r="BE855" s="5"/>
      <c r="BF855" s="5"/>
      <c r="BG855" s="5"/>
      <c r="BH855" s="5"/>
      <c r="BI855" s="5"/>
      <c r="BJ855" s="5"/>
    </row>
    <row r="856">
      <c r="A856" s="5"/>
      <c r="B856" s="150"/>
      <c r="C856" s="151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6"/>
      <c r="BB856" s="5"/>
      <c r="BC856" s="7"/>
      <c r="BE856" s="5"/>
      <c r="BF856" s="5"/>
      <c r="BG856" s="5"/>
      <c r="BH856" s="5"/>
      <c r="BI856" s="5"/>
      <c r="BJ856" s="5"/>
    </row>
    <row r="857">
      <c r="A857" s="5"/>
      <c r="B857" s="150"/>
      <c r="C857" s="151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6"/>
      <c r="BB857" s="5"/>
      <c r="BC857" s="7"/>
      <c r="BE857" s="5"/>
      <c r="BF857" s="5"/>
      <c r="BG857" s="5"/>
      <c r="BH857" s="5"/>
      <c r="BI857" s="5"/>
      <c r="BJ857" s="5"/>
    </row>
    <row r="858">
      <c r="A858" s="5"/>
      <c r="B858" s="150"/>
      <c r="C858" s="151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6"/>
      <c r="BB858" s="5"/>
      <c r="BC858" s="7"/>
      <c r="BE858" s="5"/>
      <c r="BF858" s="5"/>
      <c r="BG858" s="5"/>
      <c r="BH858" s="5"/>
      <c r="BI858" s="5"/>
      <c r="BJ858" s="5"/>
    </row>
    <row r="859">
      <c r="A859" s="5"/>
      <c r="B859" s="150"/>
      <c r="C859" s="151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6"/>
      <c r="BB859" s="5"/>
      <c r="BC859" s="7"/>
      <c r="BE859" s="5"/>
      <c r="BF859" s="5"/>
      <c r="BG859" s="5"/>
      <c r="BH859" s="5"/>
      <c r="BI859" s="5"/>
      <c r="BJ859" s="5"/>
    </row>
    <row r="860">
      <c r="A860" s="5"/>
      <c r="B860" s="150"/>
      <c r="C860" s="151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6"/>
      <c r="BB860" s="5"/>
      <c r="BC860" s="7"/>
      <c r="BE860" s="5"/>
      <c r="BF860" s="5"/>
      <c r="BG860" s="5"/>
      <c r="BH860" s="5"/>
      <c r="BI860" s="5"/>
      <c r="BJ860" s="5"/>
    </row>
    <row r="861">
      <c r="A861" s="5"/>
      <c r="B861" s="150"/>
      <c r="C861" s="151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6"/>
      <c r="BB861" s="5"/>
      <c r="BC861" s="7"/>
      <c r="BE861" s="5"/>
      <c r="BF861" s="5"/>
      <c r="BG861" s="5"/>
      <c r="BH861" s="5"/>
      <c r="BI861" s="5"/>
      <c r="BJ861" s="5"/>
    </row>
    <row r="862">
      <c r="A862" s="5"/>
      <c r="B862" s="150"/>
      <c r="C862" s="151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6"/>
      <c r="BB862" s="5"/>
      <c r="BC862" s="7"/>
      <c r="BE862" s="5"/>
      <c r="BF862" s="5"/>
      <c r="BG862" s="5"/>
      <c r="BH862" s="5"/>
      <c r="BI862" s="5"/>
      <c r="BJ862" s="5"/>
    </row>
    <row r="863">
      <c r="A863" s="5"/>
      <c r="B863" s="150"/>
      <c r="C863" s="151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6"/>
      <c r="BB863" s="5"/>
      <c r="BC863" s="7"/>
      <c r="BE863" s="5"/>
      <c r="BF863" s="5"/>
      <c r="BG863" s="5"/>
      <c r="BH863" s="5"/>
      <c r="BI863" s="5"/>
      <c r="BJ863" s="5"/>
    </row>
    <row r="864">
      <c r="A864" s="5"/>
      <c r="B864" s="150"/>
      <c r="C864" s="151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6"/>
      <c r="BB864" s="5"/>
      <c r="BC864" s="7"/>
      <c r="BE864" s="5"/>
      <c r="BF864" s="5"/>
      <c r="BG864" s="5"/>
      <c r="BH864" s="5"/>
      <c r="BI864" s="5"/>
      <c r="BJ864" s="5"/>
    </row>
    <row r="865">
      <c r="A865" s="5"/>
      <c r="B865" s="150"/>
      <c r="C865" s="151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6"/>
      <c r="BB865" s="5"/>
      <c r="BC865" s="7"/>
      <c r="BE865" s="5"/>
      <c r="BF865" s="5"/>
      <c r="BG865" s="5"/>
      <c r="BH865" s="5"/>
      <c r="BI865" s="5"/>
      <c r="BJ865" s="5"/>
    </row>
    <row r="866">
      <c r="A866" s="5"/>
      <c r="B866" s="150"/>
      <c r="C866" s="151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6"/>
      <c r="BB866" s="5"/>
      <c r="BC866" s="7"/>
      <c r="BE866" s="5"/>
      <c r="BF866" s="5"/>
      <c r="BG866" s="5"/>
      <c r="BH866" s="5"/>
      <c r="BI866" s="5"/>
      <c r="BJ866" s="5"/>
    </row>
    <row r="867">
      <c r="A867" s="5"/>
      <c r="B867" s="150"/>
      <c r="C867" s="151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6"/>
      <c r="BB867" s="5"/>
      <c r="BC867" s="7"/>
      <c r="BE867" s="5"/>
      <c r="BF867" s="5"/>
      <c r="BG867" s="5"/>
      <c r="BH867" s="5"/>
      <c r="BI867" s="5"/>
      <c r="BJ867" s="5"/>
    </row>
    <row r="868">
      <c r="A868" s="5"/>
      <c r="B868" s="150"/>
      <c r="C868" s="151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6"/>
      <c r="BB868" s="5"/>
      <c r="BC868" s="7"/>
      <c r="BE868" s="5"/>
      <c r="BF868" s="5"/>
      <c r="BG868" s="5"/>
      <c r="BH868" s="5"/>
      <c r="BI868" s="5"/>
      <c r="BJ868" s="5"/>
    </row>
    <row r="869">
      <c r="A869" s="5"/>
      <c r="B869" s="150"/>
      <c r="C869" s="151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6"/>
      <c r="BB869" s="5"/>
      <c r="BC869" s="7"/>
      <c r="BE869" s="5"/>
      <c r="BF869" s="5"/>
      <c r="BG869" s="5"/>
      <c r="BH869" s="5"/>
      <c r="BI869" s="5"/>
      <c r="BJ869" s="5"/>
    </row>
    <row r="870">
      <c r="A870" s="5"/>
      <c r="B870" s="150"/>
      <c r="C870" s="151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6"/>
      <c r="BB870" s="5"/>
      <c r="BC870" s="7"/>
      <c r="BE870" s="5"/>
      <c r="BF870" s="5"/>
      <c r="BG870" s="5"/>
      <c r="BH870" s="5"/>
      <c r="BI870" s="5"/>
      <c r="BJ870" s="5"/>
    </row>
    <row r="871">
      <c r="A871" s="5"/>
      <c r="B871" s="150"/>
      <c r="C871" s="151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6"/>
      <c r="BB871" s="5"/>
      <c r="BC871" s="7"/>
      <c r="BE871" s="5"/>
      <c r="BF871" s="5"/>
      <c r="BG871" s="5"/>
      <c r="BH871" s="5"/>
      <c r="BI871" s="5"/>
      <c r="BJ871" s="5"/>
    </row>
    <row r="872">
      <c r="A872" s="5"/>
      <c r="B872" s="150"/>
      <c r="C872" s="151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6"/>
      <c r="BB872" s="5"/>
      <c r="BC872" s="7"/>
      <c r="BE872" s="5"/>
      <c r="BF872" s="5"/>
      <c r="BG872" s="5"/>
      <c r="BH872" s="5"/>
      <c r="BI872" s="5"/>
      <c r="BJ872" s="5"/>
    </row>
    <row r="873">
      <c r="A873" s="5"/>
      <c r="B873" s="150"/>
      <c r="C873" s="151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6"/>
      <c r="BB873" s="5"/>
      <c r="BC873" s="7"/>
      <c r="BE873" s="5"/>
      <c r="BF873" s="5"/>
      <c r="BG873" s="5"/>
      <c r="BH873" s="5"/>
      <c r="BI873" s="5"/>
      <c r="BJ873" s="5"/>
    </row>
    <row r="874">
      <c r="A874" s="5"/>
      <c r="B874" s="150"/>
      <c r="C874" s="151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6"/>
      <c r="BB874" s="5"/>
      <c r="BC874" s="7"/>
      <c r="BE874" s="5"/>
      <c r="BF874" s="5"/>
      <c r="BG874" s="5"/>
      <c r="BH874" s="5"/>
      <c r="BI874" s="5"/>
      <c r="BJ874" s="5"/>
    </row>
    <row r="875">
      <c r="A875" s="5"/>
      <c r="B875" s="150"/>
      <c r="C875" s="151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6"/>
      <c r="BB875" s="5"/>
      <c r="BC875" s="7"/>
      <c r="BE875" s="5"/>
      <c r="BF875" s="5"/>
      <c r="BG875" s="5"/>
      <c r="BH875" s="5"/>
      <c r="BI875" s="5"/>
      <c r="BJ875" s="5"/>
    </row>
    <row r="876">
      <c r="A876" s="5"/>
      <c r="B876" s="150"/>
      <c r="C876" s="151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6"/>
      <c r="BB876" s="5"/>
      <c r="BC876" s="7"/>
      <c r="BE876" s="5"/>
      <c r="BF876" s="5"/>
      <c r="BG876" s="5"/>
      <c r="BH876" s="5"/>
      <c r="BI876" s="5"/>
      <c r="BJ876" s="5"/>
    </row>
    <row r="877">
      <c r="A877" s="5"/>
      <c r="B877" s="150"/>
      <c r="C877" s="151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6"/>
      <c r="BB877" s="5"/>
      <c r="BC877" s="7"/>
      <c r="BE877" s="5"/>
      <c r="BF877" s="5"/>
      <c r="BG877" s="5"/>
      <c r="BH877" s="5"/>
      <c r="BI877" s="5"/>
      <c r="BJ877" s="5"/>
    </row>
    <row r="878">
      <c r="A878" s="5"/>
      <c r="B878" s="150"/>
      <c r="C878" s="151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6"/>
      <c r="BB878" s="5"/>
      <c r="BC878" s="7"/>
      <c r="BE878" s="5"/>
      <c r="BF878" s="5"/>
      <c r="BG878" s="5"/>
      <c r="BH878" s="5"/>
      <c r="BI878" s="5"/>
      <c r="BJ878" s="5"/>
    </row>
    <row r="879">
      <c r="A879" s="5"/>
      <c r="B879" s="150"/>
      <c r="C879" s="151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6"/>
      <c r="BB879" s="5"/>
      <c r="BC879" s="7"/>
      <c r="BE879" s="5"/>
      <c r="BF879" s="5"/>
      <c r="BG879" s="5"/>
      <c r="BH879" s="5"/>
      <c r="BI879" s="5"/>
      <c r="BJ879" s="5"/>
    </row>
    <row r="880">
      <c r="A880" s="5"/>
      <c r="B880" s="150"/>
      <c r="C880" s="151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6"/>
      <c r="BB880" s="5"/>
      <c r="BC880" s="7"/>
      <c r="BE880" s="5"/>
      <c r="BF880" s="5"/>
      <c r="BG880" s="5"/>
      <c r="BH880" s="5"/>
      <c r="BI880" s="5"/>
      <c r="BJ880" s="5"/>
    </row>
    <row r="881">
      <c r="A881" s="5"/>
      <c r="B881" s="150"/>
      <c r="C881" s="151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6"/>
      <c r="BB881" s="5"/>
      <c r="BC881" s="7"/>
      <c r="BE881" s="5"/>
      <c r="BF881" s="5"/>
      <c r="BG881" s="5"/>
      <c r="BH881" s="5"/>
      <c r="BI881" s="5"/>
      <c r="BJ881" s="5"/>
    </row>
    <row r="882">
      <c r="A882" s="5"/>
      <c r="B882" s="150"/>
      <c r="C882" s="151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6"/>
      <c r="BB882" s="5"/>
      <c r="BC882" s="7"/>
      <c r="BE882" s="5"/>
      <c r="BF882" s="5"/>
      <c r="BG882" s="5"/>
      <c r="BH882" s="5"/>
      <c r="BI882" s="5"/>
      <c r="BJ882" s="5"/>
    </row>
    <row r="883">
      <c r="A883" s="5"/>
      <c r="B883" s="150"/>
      <c r="C883" s="151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6"/>
      <c r="BB883" s="5"/>
      <c r="BC883" s="7"/>
      <c r="BE883" s="5"/>
      <c r="BF883" s="5"/>
      <c r="BG883" s="5"/>
      <c r="BH883" s="5"/>
      <c r="BI883" s="5"/>
      <c r="BJ883" s="5"/>
    </row>
    <row r="884">
      <c r="A884" s="5"/>
      <c r="B884" s="150"/>
      <c r="C884" s="151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6"/>
      <c r="BB884" s="5"/>
      <c r="BC884" s="7"/>
      <c r="BE884" s="5"/>
      <c r="BF884" s="5"/>
      <c r="BG884" s="5"/>
      <c r="BH884" s="5"/>
      <c r="BI884" s="5"/>
      <c r="BJ884" s="5"/>
    </row>
    <row r="885">
      <c r="A885" s="5"/>
      <c r="B885" s="150"/>
      <c r="C885" s="151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6"/>
      <c r="BB885" s="5"/>
      <c r="BC885" s="7"/>
      <c r="BE885" s="5"/>
      <c r="BF885" s="5"/>
      <c r="BG885" s="5"/>
      <c r="BH885" s="5"/>
      <c r="BI885" s="5"/>
      <c r="BJ885" s="5"/>
    </row>
    <row r="886">
      <c r="A886" s="5"/>
      <c r="B886" s="150"/>
      <c r="C886" s="151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6"/>
      <c r="BB886" s="5"/>
      <c r="BC886" s="7"/>
      <c r="BE886" s="5"/>
      <c r="BF886" s="5"/>
      <c r="BG886" s="5"/>
      <c r="BH886" s="5"/>
      <c r="BI886" s="5"/>
      <c r="BJ886" s="5"/>
    </row>
    <row r="887">
      <c r="A887" s="5"/>
      <c r="B887" s="150"/>
      <c r="C887" s="151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6"/>
      <c r="BB887" s="5"/>
      <c r="BC887" s="7"/>
      <c r="BE887" s="5"/>
      <c r="BF887" s="5"/>
      <c r="BG887" s="5"/>
      <c r="BH887" s="5"/>
      <c r="BI887" s="5"/>
      <c r="BJ887" s="5"/>
    </row>
    <row r="888">
      <c r="A888" s="5"/>
      <c r="B888" s="150"/>
      <c r="C888" s="151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6"/>
      <c r="BB888" s="5"/>
      <c r="BC888" s="7"/>
      <c r="BE888" s="5"/>
      <c r="BF888" s="5"/>
      <c r="BG888" s="5"/>
      <c r="BH888" s="5"/>
      <c r="BI888" s="5"/>
      <c r="BJ888" s="5"/>
    </row>
    <row r="889">
      <c r="A889" s="5"/>
      <c r="B889" s="150"/>
      <c r="C889" s="151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6"/>
      <c r="BB889" s="5"/>
      <c r="BC889" s="7"/>
      <c r="BE889" s="5"/>
      <c r="BF889" s="5"/>
      <c r="BG889" s="5"/>
      <c r="BH889" s="5"/>
      <c r="BI889" s="5"/>
      <c r="BJ889" s="5"/>
    </row>
    <row r="890">
      <c r="A890" s="5"/>
      <c r="B890" s="150"/>
      <c r="C890" s="151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6"/>
      <c r="BB890" s="5"/>
      <c r="BC890" s="7"/>
      <c r="BE890" s="5"/>
      <c r="BF890" s="5"/>
      <c r="BG890" s="5"/>
      <c r="BH890" s="5"/>
      <c r="BI890" s="5"/>
      <c r="BJ890" s="5"/>
    </row>
    <row r="891">
      <c r="A891" s="5"/>
      <c r="B891" s="150"/>
      <c r="C891" s="151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6"/>
      <c r="BB891" s="5"/>
      <c r="BC891" s="7"/>
      <c r="BE891" s="5"/>
      <c r="BF891" s="5"/>
      <c r="BG891" s="5"/>
      <c r="BH891" s="5"/>
      <c r="BI891" s="5"/>
      <c r="BJ891" s="5"/>
    </row>
    <row r="892">
      <c r="A892" s="5"/>
      <c r="B892" s="150"/>
      <c r="C892" s="151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6"/>
      <c r="BB892" s="5"/>
      <c r="BC892" s="7"/>
      <c r="BE892" s="5"/>
      <c r="BF892" s="5"/>
      <c r="BG892" s="5"/>
      <c r="BH892" s="5"/>
      <c r="BI892" s="5"/>
      <c r="BJ892" s="5"/>
    </row>
    <row r="893">
      <c r="A893" s="5"/>
      <c r="B893" s="150"/>
      <c r="C893" s="151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6"/>
      <c r="BB893" s="5"/>
      <c r="BC893" s="7"/>
      <c r="BE893" s="5"/>
      <c r="BF893" s="5"/>
      <c r="BG893" s="5"/>
      <c r="BH893" s="5"/>
      <c r="BI893" s="5"/>
      <c r="BJ893" s="5"/>
    </row>
    <row r="894">
      <c r="A894" s="5"/>
      <c r="B894" s="150"/>
      <c r="C894" s="151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6"/>
      <c r="BB894" s="5"/>
      <c r="BC894" s="7"/>
      <c r="BE894" s="5"/>
      <c r="BF894" s="5"/>
      <c r="BG894" s="5"/>
      <c r="BH894" s="5"/>
      <c r="BI894" s="5"/>
      <c r="BJ894" s="5"/>
    </row>
    <row r="895">
      <c r="A895" s="5"/>
      <c r="B895" s="150"/>
      <c r="C895" s="151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6"/>
      <c r="BB895" s="5"/>
      <c r="BC895" s="7"/>
      <c r="BE895" s="5"/>
      <c r="BF895" s="5"/>
      <c r="BG895" s="5"/>
      <c r="BH895" s="5"/>
      <c r="BI895" s="5"/>
      <c r="BJ895" s="5"/>
    </row>
    <row r="896">
      <c r="A896" s="5"/>
      <c r="B896" s="150"/>
      <c r="C896" s="151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6"/>
      <c r="BB896" s="5"/>
      <c r="BC896" s="7"/>
      <c r="BE896" s="5"/>
      <c r="BF896" s="5"/>
      <c r="BG896" s="5"/>
      <c r="BH896" s="5"/>
      <c r="BI896" s="5"/>
      <c r="BJ896" s="5"/>
    </row>
    <row r="897">
      <c r="A897" s="5"/>
      <c r="B897" s="150"/>
      <c r="C897" s="151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6"/>
      <c r="BB897" s="5"/>
      <c r="BC897" s="7"/>
      <c r="BE897" s="5"/>
      <c r="BF897" s="5"/>
      <c r="BG897" s="5"/>
      <c r="BH897" s="5"/>
      <c r="BI897" s="5"/>
      <c r="BJ897" s="5"/>
    </row>
    <row r="898">
      <c r="A898" s="5"/>
      <c r="B898" s="150"/>
      <c r="C898" s="151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6"/>
      <c r="BB898" s="5"/>
      <c r="BC898" s="7"/>
      <c r="BE898" s="5"/>
      <c r="BF898" s="5"/>
      <c r="BG898" s="5"/>
      <c r="BH898" s="5"/>
      <c r="BI898" s="5"/>
      <c r="BJ898" s="5"/>
    </row>
    <row r="899">
      <c r="A899" s="5"/>
      <c r="B899" s="150"/>
      <c r="C899" s="151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6"/>
      <c r="BB899" s="5"/>
      <c r="BC899" s="7"/>
      <c r="BE899" s="5"/>
      <c r="BF899" s="5"/>
      <c r="BG899" s="5"/>
      <c r="BH899" s="5"/>
      <c r="BI899" s="5"/>
      <c r="BJ899" s="5"/>
    </row>
    <row r="900">
      <c r="A900" s="5"/>
      <c r="B900" s="150"/>
      <c r="C900" s="151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6"/>
      <c r="BB900" s="5"/>
      <c r="BC900" s="7"/>
      <c r="BE900" s="5"/>
      <c r="BF900" s="5"/>
      <c r="BG900" s="5"/>
      <c r="BH900" s="5"/>
      <c r="BI900" s="5"/>
      <c r="BJ900" s="5"/>
    </row>
    <row r="901">
      <c r="A901" s="5"/>
      <c r="B901" s="150"/>
      <c r="C901" s="151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6"/>
      <c r="BB901" s="5"/>
      <c r="BC901" s="7"/>
      <c r="BE901" s="5"/>
      <c r="BF901" s="5"/>
      <c r="BG901" s="5"/>
      <c r="BH901" s="5"/>
      <c r="BI901" s="5"/>
      <c r="BJ901" s="5"/>
    </row>
    <row r="902">
      <c r="A902" s="5"/>
      <c r="B902" s="150"/>
      <c r="C902" s="151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6"/>
      <c r="BB902" s="5"/>
      <c r="BC902" s="7"/>
      <c r="BE902" s="5"/>
      <c r="BF902" s="5"/>
      <c r="BG902" s="5"/>
      <c r="BH902" s="5"/>
      <c r="BI902" s="5"/>
      <c r="BJ902" s="5"/>
    </row>
    <row r="903">
      <c r="A903" s="5"/>
      <c r="B903" s="150"/>
      <c r="C903" s="151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6"/>
      <c r="BB903" s="5"/>
      <c r="BC903" s="7"/>
      <c r="BE903" s="5"/>
      <c r="BF903" s="5"/>
      <c r="BG903" s="5"/>
      <c r="BH903" s="5"/>
      <c r="BI903" s="5"/>
      <c r="BJ903" s="5"/>
    </row>
    <row r="904">
      <c r="A904" s="5"/>
      <c r="B904" s="150"/>
      <c r="C904" s="151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6"/>
      <c r="BB904" s="5"/>
      <c r="BC904" s="7"/>
      <c r="BE904" s="5"/>
      <c r="BF904" s="5"/>
      <c r="BG904" s="5"/>
      <c r="BH904" s="5"/>
      <c r="BI904" s="5"/>
      <c r="BJ904" s="5"/>
    </row>
    <row r="905">
      <c r="A905" s="5"/>
      <c r="B905" s="150"/>
      <c r="C905" s="151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6"/>
      <c r="BB905" s="5"/>
      <c r="BC905" s="7"/>
      <c r="BE905" s="5"/>
      <c r="BF905" s="5"/>
      <c r="BG905" s="5"/>
      <c r="BH905" s="5"/>
      <c r="BI905" s="5"/>
      <c r="BJ905" s="5"/>
    </row>
    <row r="906">
      <c r="A906" s="5"/>
      <c r="B906" s="150"/>
      <c r="C906" s="151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6"/>
      <c r="BB906" s="5"/>
      <c r="BC906" s="7"/>
      <c r="BE906" s="5"/>
      <c r="BF906" s="5"/>
      <c r="BG906" s="5"/>
      <c r="BH906" s="5"/>
      <c r="BI906" s="5"/>
      <c r="BJ906" s="5"/>
    </row>
    <row r="907">
      <c r="A907" s="5"/>
      <c r="B907" s="150"/>
      <c r="C907" s="151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6"/>
      <c r="BB907" s="5"/>
      <c r="BC907" s="7"/>
      <c r="BE907" s="5"/>
      <c r="BF907" s="5"/>
      <c r="BG907" s="5"/>
      <c r="BH907" s="5"/>
      <c r="BI907" s="5"/>
      <c r="BJ907" s="5"/>
    </row>
    <row r="908">
      <c r="A908" s="5"/>
      <c r="B908" s="150"/>
      <c r="C908" s="151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6"/>
      <c r="BB908" s="5"/>
      <c r="BC908" s="7"/>
      <c r="BE908" s="5"/>
      <c r="BF908" s="5"/>
      <c r="BG908" s="5"/>
      <c r="BH908" s="5"/>
      <c r="BI908" s="5"/>
      <c r="BJ908" s="5"/>
    </row>
    <row r="909">
      <c r="A909" s="5"/>
      <c r="B909" s="150"/>
      <c r="C909" s="151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6"/>
      <c r="BB909" s="5"/>
      <c r="BC909" s="7"/>
      <c r="BE909" s="5"/>
      <c r="BF909" s="5"/>
      <c r="BG909" s="5"/>
      <c r="BH909" s="5"/>
      <c r="BI909" s="5"/>
      <c r="BJ909" s="5"/>
    </row>
    <row r="910">
      <c r="A910" s="5"/>
      <c r="B910" s="150"/>
      <c r="C910" s="151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6"/>
      <c r="BB910" s="5"/>
      <c r="BC910" s="7"/>
      <c r="BE910" s="5"/>
      <c r="BF910" s="5"/>
      <c r="BG910" s="5"/>
      <c r="BH910" s="5"/>
      <c r="BI910" s="5"/>
      <c r="BJ910" s="5"/>
    </row>
    <row r="911">
      <c r="A911" s="5"/>
      <c r="B911" s="150"/>
      <c r="C911" s="151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6"/>
      <c r="BB911" s="5"/>
      <c r="BC911" s="7"/>
      <c r="BE911" s="5"/>
      <c r="BF911" s="5"/>
      <c r="BG911" s="5"/>
      <c r="BH911" s="5"/>
      <c r="BI911" s="5"/>
      <c r="BJ911" s="5"/>
    </row>
    <row r="912">
      <c r="A912" s="5"/>
      <c r="B912" s="150"/>
      <c r="C912" s="151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6"/>
      <c r="BB912" s="5"/>
      <c r="BC912" s="7"/>
      <c r="BE912" s="5"/>
      <c r="BF912" s="5"/>
      <c r="BG912" s="5"/>
      <c r="BH912" s="5"/>
      <c r="BI912" s="5"/>
      <c r="BJ912" s="5"/>
    </row>
    <row r="913">
      <c r="A913" s="5"/>
      <c r="B913" s="150"/>
      <c r="C913" s="151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6"/>
      <c r="BB913" s="5"/>
      <c r="BC913" s="7"/>
      <c r="BE913" s="5"/>
      <c r="BF913" s="5"/>
      <c r="BG913" s="5"/>
      <c r="BH913" s="5"/>
      <c r="BI913" s="5"/>
      <c r="BJ913" s="5"/>
    </row>
    <row r="914">
      <c r="A914" s="5"/>
      <c r="B914" s="150"/>
      <c r="C914" s="151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6"/>
      <c r="BB914" s="5"/>
      <c r="BC914" s="7"/>
      <c r="BE914" s="5"/>
      <c r="BF914" s="5"/>
      <c r="BG914" s="5"/>
      <c r="BH914" s="5"/>
      <c r="BI914" s="5"/>
      <c r="BJ914" s="5"/>
    </row>
    <row r="915">
      <c r="A915" s="5"/>
      <c r="B915" s="150"/>
      <c r="C915" s="151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6"/>
      <c r="BB915" s="5"/>
      <c r="BC915" s="7"/>
      <c r="BE915" s="5"/>
      <c r="BF915" s="5"/>
      <c r="BG915" s="5"/>
      <c r="BH915" s="5"/>
      <c r="BI915" s="5"/>
      <c r="BJ915" s="5"/>
    </row>
    <row r="916">
      <c r="A916" s="5"/>
      <c r="B916" s="150"/>
      <c r="C916" s="151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6"/>
      <c r="BB916" s="5"/>
      <c r="BC916" s="7"/>
      <c r="BE916" s="5"/>
      <c r="BF916" s="5"/>
      <c r="BG916" s="5"/>
      <c r="BH916" s="5"/>
      <c r="BI916" s="5"/>
      <c r="BJ916" s="5"/>
    </row>
    <row r="917">
      <c r="A917" s="5"/>
      <c r="B917" s="150"/>
      <c r="C917" s="151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6"/>
      <c r="BB917" s="5"/>
      <c r="BC917" s="7"/>
      <c r="BE917" s="5"/>
      <c r="BF917" s="5"/>
      <c r="BG917" s="5"/>
      <c r="BH917" s="5"/>
      <c r="BI917" s="5"/>
      <c r="BJ917" s="5"/>
    </row>
    <row r="918">
      <c r="A918" s="5"/>
      <c r="B918" s="150"/>
      <c r="C918" s="151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6"/>
      <c r="BB918" s="5"/>
      <c r="BC918" s="7"/>
      <c r="BE918" s="5"/>
      <c r="BF918" s="5"/>
      <c r="BG918" s="5"/>
      <c r="BH918" s="5"/>
      <c r="BI918" s="5"/>
      <c r="BJ918" s="5"/>
    </row>
    <row r="919">
      <c r="A919" s="5"/>
      <c r="B919" s="150"/>
      <c r="C919" s="151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6"/>
      <c r="BB919" s="5"/>
      <c r="BC919" s="7"/>
      <c r="BE919" s="5"/>
      <c r="BF919" s="5"/>
      <c r="BG919" s="5"/>
      <c r="BH919" s="5"/>
      <c r="BI919" s="5"/>
      <c r="BJ919" s="5"/>
    </row>
    <row r="920">
      <c r="A920" s="5"/>
      <c r="B920" s="150"/>
      <c r="C920" s="151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6"/>
      <c r="BB920" s="5"/>
      <c r="BC920" s="7"/>
      <c r="BE920" s="5"/>
      <c r="BF920" s="5"/>
      <c r="BG920" s="5"/>
      <c r="BH920" s="5"/>
      <c r="BI920" s="5"/>
      <c r="BJ920" s="5"/>
    </row>
    <row r="921">
      <c r="A921" s="5"/>
      <c r="B921" s="150"/>
      <c r="C921" s="151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6"/>
      <c r="BB921" s="5"/>
      <c r="BC921" s="7"/>
      <c r="BE921" s="5"/>
      <c r="BF921" s="5"/>
      <c r="BG921" s="5"/>
      <c r="BH921" s="5"/>
      <c r="BI921" s="5"/>
      <c r="BJ921" s="5"/>
    </row>
    <row r="922">
      <c r="A922" s="5"/>
      <c r="B922" s="150"/>
      <c r="C922" s="151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6"/>
      <c r="BB922" s="5"/>
      <c r="BC922" s="7"/>
      <c r="BE922" s="5"/>
      <c r="BF922" s="5"/>
      <c r="BG922" s="5"/>
      <c r="BH922" s="5"/>
      <c r="BI922" s="5"/>
      <c r="BJ922" s="5"/>
    </row>
    <row r="923">
      <c r="A923" s="5"/>
      <c r="B923" s="150"/>
      <c r="C923" s="151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6"/>
      <c r="BB923" s="5"/>
      <c r="BC923" s="7"/>
      <c r="BE923" s="5"/>
      <c r="BF923" s="5"/>
      <c r="BG923" s="5"/>
      <c r="BH923" s="5"/>
      <c r="BI923" s="5"/>
      <c r="BJ923" s="5"/>
    </row>
    <row r="924">
      <c r="A924" s="5"/>
      <c r="B924" s="150"/>
      <c r="C924" s="151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6"/>
      <c r="BB924" s="5"/>
      <c r="BC924" s="7"/>
      <c r="BE924" s="5"/>
      <c r="BF924" s="5"/>
      <c r="BG924" s="5"/>
      <c r="BH924" s="5"/>
      <c r="BI924" s="5"/>
      <c r="BJ924" s="5"/>
    </row>
    <row r="925">
      <c r="A925" s="5"/>
      <c r="B925" s="150"/>
      <c r="C925" s="151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6"/>
      <c r="BB925" s="5"/>
      <c r="BC925" s="7"/>
      <c r="BE925" s="5"/>
      <c r="BF925" s="5"/>
      <c r="BG925" s="5"/>
      <c r="BH925" s="5"/>
      <c r="BI925" s="5"/>
      <c r="BJ925" s="5"/>
    </row>
    <row r="926">
      <c r="A926" s="5"/>
      <c r="B926" s="150"/>
      <c r="C926" s="151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6"/>
      <c r="BB926" s="5"/>
      <c r="BC926" s="7"/>
      <c r="BE926" s="5"/>
      <c r="BF926" s="5"/>
      <c r="BG926" s="5"/>
      <c r="BH926" s="5"/>
      <c r="BI926" s="5"/>
      <c r="BJ926" s="5"/>
    </row>
    <row r="927">
      <c r="A927" s="5"/>
      <c r="B927" s="150"/>
      <c r="C927" s="151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6"/>
      <c r="BB927" s="5"/>
      <c r="BC927" s="7"/>
      <c r="BE927" s="5"/>
      <c r="BF927" s="5"/>
      <c r="BG927" s="5"/>
      <c r="BH927" s="5"/>
      <c r="BI927" s="5"/>
      <c r="BJ927" s="5"/>
    </row>
    <row r="928">
      <c r="A928" s="5"/>
      <c r="B928" s="150"/>
      <c r="C928" s="151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6"/>
      <c r="BB928" s="5"/>
      <c r="BC928" s="7"/>
      <c r="BE928" s="5"/>
      <c r="BF928" s="5"/>
      <c r="BG928" s="5"/>
      <c r="BH928" s="5"/>
      <c r="BI928" s="5"/>
      <c r="BJ928" s="5"/>
    </row>
    <row r="929">
      <c r="A929" s="5"/>
      <c r="B929" s="150"/>
      <c r="C929" s="151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6"/>
      <c r="BB929" s="5"/>
      <c r="BC929" s="7"/>
      <c r="BE929" s="5"/>
      <c r="BF929" s="5"/>
      <c r="BG929" s="5"/>
      <c r="BH929" s="5"/>
      <c r="BI929" s="5"/>
      <c r="BJ929" s="5"/>
    </row>
    <row r="930">
      <c r="A930" s="5"/>
      <c r="B930" s="150"/>
      <c r="C930" s="151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6"/>
      <c r="BB930" s="5"/>
      <c r="BC930" s="7"/>
      <c r="BE930" s="5"/>
      <c r="BF930" s="5"/>
      <c r="BG930" s="5"/>
      <c r="BH930" s="5"/>
      <c r="BI930" s="5"/>
      <c r="BJ930" s="5"/>
    </row>
    <row r="931">
      <c r="A931" s="5"/>
      <c r="B931" s="150"/>
      <c r="C931" s="151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6"/>
      <c r="BB931" s="5"/>
      <c r="BC931" s="7"/>
      <c r="BE931" s="5"/>
      <c r="BF931" s="5"/>
      <c r="BG931" s="5"/>
      <c r="BH931" s="5"/>
      <c r="BI931" s="5"/>
      <c r="BJ931" s="5"/>
    </row>
    <row r="932">
      <c r="A932" s="5"/>
      <c r="B932" s="150"/>
      <c r="C932" s="151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6"/>
      <c r="BB932" s="5"/>
      <c r="BC932" s="7"/>
      <c r="BE932" s="5"/>
      <c r="BF932" s="5"/>
      <c r="BG932" s="5"/>
      <c r="BH932" s="5"/>
      <c r="BI932" s="5"/>
      <c r="BJ932" s="5"/>
    </row>
    <row r="933">
      <c r="A933" s="5"/>
      <c r="B933" s="150"/>
      <c r="C933" s="151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6"/>
      <c r="BB933" s="5"/>
      <c r="BC933" s="7"/>
      <c r="BE933" s="5"/>
      <c r="BF933" s="5"/>
      <c r="BG933" s="5"/>
      <c r="BH933" s="5"/>
      <c r="BI933" s="5"/>
      <c r="BJ933" s="5"/>
    </row>
    <row r="934">
      <c r="A934" s="5"/>
      <c r="B934" s="150"/>
      <c r="C934" s="151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6"/>
      <c r="BB934" s="5"/>
      <c r="BC934" s="7"/>
      <c r="BE934" s="5"/>
      <c r="BF934" s="5"/>
      <c r="BG934" s="5"/>
      <c r="BH934" s="5"/>
      <c r="BI934" s="5"/>
      <c r="BJ934" s="5"/>
    </row>
    <row r="935">
      <c r="A935" s="5"/>
      <c r="B935" s="150"/>
      <c r="C935" s="151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6"/>
      <c r="BB935" s="5"/>
      <c r="BC935" s="7"/>
      <c r="BE935" s="5"/>
      <c r="BF935" s="5"/>
      <c r="BG935" s="5"/>
      <c r="BH935" s="5"/>
      <c r="BI935" s="5"/>
      <c r="BJ935" s="5"/>
    </row>
    <row r="936">
      <c r="A936" s="5"/>
      <c r="B936" s="150"/>
      <c r="C936" s="151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6"/>
      <c r="BB936" s="5"/>
      <c r="BC936" s="7"/>
      <c r="BE936" s="5"/>
      <c r="BF936" s="5"/>
      <c r="BG936" s="5"/>
      <c r="BH936" s="5"/>
      <c r="BI936" s="5"/>
      <c r="BJ936" s="5"/>
    </row>
    <row r="937">
      <c r="A937" s="5"/>
      <c r="B937" s="150"/>
      <c r="C937" s="151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6"/>
      <c r="BB937" s="5"/>
      <c r="BC937" s="7"/>
      <c r="BE937" s="5"/>
      <c r="BF937" s="5"/>
      <c r="BG937" s="5"/>
      <c r="BH937" s="5"/>
      <c r="BI937" s="5"/>
      <c r="BJ937" s="5"/>
    </row>
    <row r="938">
      <c r="A938" s="5"/>
      <c r="B938" s="150"/>
      <c r="C938" s="151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6"/>
      <c r="BB938" s="5"/>
      <c r="BC938" s="7"/>
      <c r="BE938" s="5"/>
      <c r="BF938" s="5"/>
      <c r="BG938" s="5"/>
      <c r="BH938" s="5"/>
      <c r="BI938" s="5"/>
      <c r="BJ938" s="5"/>
    </row>
    <row r="939">
      <c r="A939" s="5"/>
      <c r="B939" s="150"/>
      <c r="C939" s="151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6"/>
      <c r="BB939" s="5"/>
      <c r="BC939" s="7"/>
      <c r="BE939" s="5"/>
      <c r="BF939" s="5"/>
      <c r="BG939" s="5"/>
      <c r="BH939" s="5"/>
      <c r="BI939" s="5"/>
      <c r="BJ939" s="5"/>
    </row>
    <row r="940">
      <c r="A940" s="5"/>
      <c r="B940" s="150"/>
      <c r="C940" s="151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6"/>
      <c r="BB940" s="5"/>
      <c r="BC940" s="7"/>
      <c r="BE940" s="5"/>
      <c r="BF940" s="5"/>
      <c r="BG940" s="5"/>
      <c r="BH940" s="5"/>
      <c r="BI940" s="5"/>
      <c r="BJ940" s="5"/>
    </row>
    <row r="941">
      <c r="A941" s="5"/>
      <c r="B941" s="150"/>
      <c r="C941" s="151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6"/>
      <c r="BB941" s="5"/>
      <c r="BC941" s="7"/>
      <c r="BE941" s="5"/>
      <c r="BF941" s="5"/>
      <c r="BG941" s="5"/>
      <c r="BH941" s="5"/>
      <c r="BI941" s="5"/>
      <c r="BJ941" s="5"/>
    </row>
    <row r="942">
      <c r="A942" s="5"/>
      <c r="B942" s="150"/>
      <c r="C942" s="151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6"/>
      <c r="BB942" s="5"/>
      <c r="BC942" s="7"/>
      <c r="BE942" s="5"/>
      <c r="BF942" s="5"/>
      <c r="BG942" s="5"/>
      <c r="BH942" s="5"/>
      <c r="BI942" s="5"/>
      <c r="BJ942" s="5"/>
    </row>
    <row r="943">
      <c r="A943" s="5"/>
      <c r="B943" s="150"/>
      <c r="C943" s="151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6"/>
      <c r="BB943" s="5"/>
      <c r="BC943" s="7"/>
      <c r="BE943" s="5"/>
      <c r="BF943" s="5"/>
      <c r="BG943" s="5"/>
      <c r="BH943" s="5"/>
      <c r="BI943" s="5"/>
      <c r="BJ943" s="5"/>
    </row>
    <row r="944">
      <c r="A944" s="5"/>
      <c r="B944" s="150"/>
      <c r="C944" s="151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6"/>
      <c r="BB944" s="5"/>
      <c r="BC944" s="7"/>
      <c r="BE944" s="5"/>
      <c r="BF944" s="5"/>
      <c r="BG944" s="5"/>
      <c r="BH944" s="5"/>
      <c r="BI944" s="5"/>
      <c r="BJ944" s="5"/>
    </row>
    <row r="945">
      <c r="A945" s="5"/>
      <c r="B945" s="150"/>
      <c r="C945" s="151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6"/>
      <c r="BB945" s="5"/>
      <c r="BC945" s="7"/>
      <c r="BE945" s="5"/>
      <c r="BF945" s="5"/>
      <c r="BG945" s="5"/>
      <c r="BH945" s="5"/>
      <c r="BI945" s="5"/>
      <c r="BJ945" s="5"/>
    </row>
    <row r="946">
      <c r="A946" s="5"/>
      <c r="B946" s="150"/>
      <c r="C946" s="151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6"/>
      <c r="BB946" s="5"/>
      <c r="BC946" s="7"/>
      <c r="BE946" s="5"/>
      <c r="BF946" s="5"/>
      <c r="BG946" s="5"/>
      <c r="BH946" s="5"/>
      <c r="BI946" s="5"/>
      <c r="BJ946" s="5"/>
    </row>
    <row r="947">
      <c r="A947" s="5"/>
      <c r="B947" s="150"/>
      <c r="C947" s="151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6"/>
      <c r="BB947" s="5"/>
      <c r="BC947" s="7"/>
      <c r="BE947" s="5"/>
      <c r="BF947" s="5"/>
      <c r="BG947" s="5"/>
      <c r="BH947" s="5"/>
      <c r="BI947" s="5"/>
      <c r="BJ947" s="5"/>
    </row>
    <row r="948">
      <c r="A948" s="5"/>
      <c r="B948" s="150"/>
      <c r="C948" s="151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6"/>
      <c r="BB948" s="5"/>
      <c r="BC948" s="7"/>
      <c r="BE948" s="5"/>
      <c r="BF948" s="5"/>
      <c r="BG948" s="5"/>
      <c r="BH948" s="5"/>
      <c r="BI948" s="5"/>
      <c r="BJ948" s="5"/>
    </row>
    <row r="949">
      <c r="A949" s="5"/>
      <c r="B949" s="150"/>
      <c r="C949" s="151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6"/>
      <c r="BB949" s="5"/>
      <c r="BC949" s="7"/>
      <c r="BE949" s="5"/>
      <c r="BF949" s="5"/>
      <c r="BG949" s="5"/>
      <c r="BH949" s="5"/>
      <c r="BI949" s="5"/>
      <c r="BJ949" s="5"/>
    </row>
    <row r="950">
      <c r="A950" s="5"/>
      <c r="B950" s="150"/>
      <c r="C950" s="151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6"/>
      <c r="BB950" s="5"/>
      <c r="BC950" s="7"/>
      <c r="BE950" s="5"/>
      <c r="BF950" s="5"/>
      <c r="BG950" s="5"/>
      <c r="BH950" s="5"/>
      <c r="BI950" s="5"/>
      <c r="BJ950" s="5"/>
    </row>
    <row r="951">
      <c r="A951" s="5"/>
      <c r="B951" s="150"/>
      <c r="C951" s="151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6"/>
      <c r="BB951" s="5"/>
      <c r="BC951" s="7"/>
      <c r="BE951" s="5"/>
      <c r="BF951" s="5"/>
      <c r="BG951" s="5"/>
      <c r="BH951" s="5"/>
      <c r="BI951" s="5"/>
      <c r="BJ951" s="5"/>
    </row>
    <row r="952">
      <c r="A952" s="5"/>
      <c r="B952" s="150"/>
      <c r="C952" s="151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6"/>
      <c r="BB952" s="5"/>
      <c r="BC952" s="7"/>
      <c r="BE952" s="5"/>
      <c r="BF952" s="5"/>
      <c r="BG952" s="5"/>
      <c r="BH952" s="5"/>
      <c r="BI952" s="5"/>
      <c r="BJ952" s="5"/>
    </row>
    <row r="953">
      <c r="A953" s="5"/>
      <c r="B953" s="150"/>
      <c r="C953" s="151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6"/>
      <c r="BB953" s="5"/>
      <c r="BC953" s="7"/>
      <c r="BE953" s="5"/>
      <c r="BF953" s="5"/>
      <c r="BG953" s="5"/>
      <c r="BH953" s="5"/>
      <c r="BI953" s="5"/>
      <c r="BJ953" s="5"/>
    </row>
    <row r="954">
      <c r="A954" s="5"/>
      <c r="B954" s="150"/>
      <c r="C954" s="151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6"/>
      <c r="BB954" s="5"/>
      <c r="BC954" s="7"/>
      <c r="BE954" s="5"/>
      <c r="BF954" s="5"/>
      <c r="BG954" s="5"/>
      <c r="BH954" s="5"/>
      <c r="BI954" s="5"/>
      <c r="BJ954" s="5"/>
    </row>
    <row r="955">
      <c r="A955" s="5"/>
      <c r="B955" s="150"/>
      <c r="C955" s="151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6"/>
      <c r="BB955" s="5"/>
      <c r="BC955" s="7"/>
      <c r="BE955" s="5"/>
      <c r="BF955" s="5"/>
      <c r="BG955" s="5"/>
      <c r="BH955" s="5"/>
      <c r="BI955" s="5"/>
      <c r="BJ955" s="5"/>
    </row>
    <row r="956">
      <c r="A956" s="5"/>
      <c r="B956" s="150"/>
      <c r="C956" s="151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6"/>
      <c r="BB956" s="5"/>
      <c r="BC956" s="7"/>
      <c r="BE956" s="5"/>
      <c r="BF956" s="5"/>
      <c r="BG956" s="5"/>
      <c r="BH956" s="5"/>
      <c r="BI956" s="5"/>
      <c r="BJ956" s="5"/>
    </row>
    <row r="957">
      <c r="A957" s="5"/>
      <c r="B957" s="150"/>
      <c r="C957" s="151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6"/>
      <c r="BB957" s="5"/>
      <c r="BC957" s="7"/>
      <c r="BE957" s="5"/>
      <c r="BF957" s="5"/>
      <c r="BG957" s="5"/>
      <c r="BH957" s="5"/>
      <c r="BI957" s="5"/>
      <c r="BJ957" s="5"/>
    </row>
    <row r="958">
      <c r="A958" s="5"/>
      <c r="B958" s="150"/>
      <c r="C958" s="151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6"/>
      <c r="BB958" s="5"/>
      <c r="BC958" s="7"/>
      <c r="BE958" s="5"/>
      <c r="BF958" s="5"/>
      <c r="BG958" s="5"/>
      <c r="BH958" s="5"/>
      <c r="BI958" s="5"/>
      <c r="BJ958" s="5"/>
    </row>
    <row r="959">
      <c r="A959" s="5"/>
      <c r="B959" s="150"/>
      <c r="C959" s="151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6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6"/>
      <c r="BB959" s="5"/>
      <c r="BC959" s="7"/>
      <c r="BE959" s="5"/>
      <c r="BF959" s="5"/>
      <c r="BG959" s="5"/>
      <c r="BH959" s="5"/>
      <c r="BI959" s="5"/>
      <c r="BJ959" s="5"/>
    </row>
    <row r="960">
      <c r="A960" s="5"/>
      <c r="B960" s="150"/>
      <c r="C960" s="151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6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6"/>
      <c r="BB960" s="5"/>
      <c r="BC960" s="7"/>
      <c r="BE960" s="5"/>
      <c r="BF960" s="5"/>
      <c r="BG960" s="5"/>
      <c r="BH960" s="5"/>
      <c r="BI960" s="5"/>
      <c r="BJ960" s="5"/>
    </row>
    <row r="961">
      <c r="A961" s="5"/>
      <c r="B961" s="150"/>
      <c r="C961" s="151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6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6"/>
      <c r="BB961" s="5"/>
      <c r="BC961" s="7"/>
      <c r="BE961" s="5"/>
      <c r="BF961" s="5"/>
      <c r="BG961" s="5"/>
      <c r="BH961" s="5"/>
      <c r="BI961" s="5"/>
      <c r="BJ961" s="5"/>
    </row>
    <row r="962">
      <c r="A962" s="5"/>
      <c r="B962" s="150"/>
      <c r="C962" s="151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6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6"/>
      <c r="BB962" s="5"/>
      <c r="BC962" s="7"/>
      <c r="BE962" s="5"/>
      <c r="BF962" s="5"/>
      <c r="BG962" s="5"/>
      <c r="BH962" s="5"/>
      <c r="BI962" s="5"/>
      <c r="BJ962" s="5"/>
    </row>
    <row r="963">
      <c r="A963" s="5"/>
      <c r="B963" s="150"/>
      <c r="C963" s="151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6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6"/>
      <c r="BB963" s="5"/>
      <c r="BC963" s="7"/>
      <c r="BE963" s="5"/>
      <c r="BF963" s="5"/>
      <c r="BG963" s="5"/>
      <c r="BH963" s="5"/>
      <c r="BI963" s="5"/>
      <c r="BJ963" s="5"/>
    </row>
    <row r="964">
      <c r="A964" s="5"/>
      <c r="B964" s="150"/>
      <c r="C964" s="151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6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6"/>
      <c r="BB964" s="5"/>
      <c r="BC964" s="7"/>
      <c r="BE964" s="5"/>
      <c r="BF964" s="5"/>
      <c r="BG964" s="5"/>
      <c r="BH964" s="5"/>
      <c r="BI964" s="5"/>
      <c r="BJ964" s="5"/>
    </row>
    <row r="965">
      <c r="A965" s="5"/>
      <c r="B965" s="150"/>
      <c r="C965" s="151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6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6"/>
      <c r="BB965" s="5"/>
      <c r="BC965" s="7"/>
      <c r="BE965" s="5"/>
      <c r="BF965" s="5"/>
      <c r="BG965" s="5"/>
      <c r="BH965" s="5"/>
      <c r="BI965" s="5"/>
      <c r="BJ965" s="5"/>
    </row>
    <row r="966">
      <c r="A966" s="5"/>
      <c r="B966" s="150"/>
      <c r="C966" s="151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6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6"/>
      <c r="BB966" s="5"/>
      <c r="BC966" s="7"/>
      <c r="BE966" s="5"/>
      <c r="BF966" s="5"/>
      <c r="BG966" s="5"/>
      <c r="BH966" s="5"/>
      <c r="BI966" s="5"/>
      <c r="BJ966" s="5"/>
    </row>
    <row r="967">
      <c r="A967" s="5"/>
      <c r="B967" s="150"/>
      <c r="C967" s="151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6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6"/>
      <c r="BB967" s="5"/>
      <c r="BC967" s="7"/>
      <c r="BE967" s="5"/>
      <c r="BF967" s="5"/>
      <c r="BG967" s="5"/>
      <c r="BH967" s="5"/>
      <c r="BI967" s="5"/>
      <c r="BJ967" s="5"/>
    </row>
    <row r="968">
      <c r="A968" s="5"/>
      <c r="B968" s="150"/>
      <c r="C968" s="151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6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6"/>
      <c r="BB968" s="5"/>
      <c r="BC968" s="7"/>
      <c r="BE968" s="5"/>
      <c r="BF968" s="5"/>
      <c r="BG968" s="5"/>
      <c r="BH968" s="5"/>
      <c r="BI968" s="5"/>
      <c r="BJ968" s="5"/>
    </row>
    <row r="969">
      <c r="A969" s="5"/>
      <c r="B969" s="150"/>
      <c r="C969" s="151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6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6"/>
      <c r="BB969" s="5"/>
      <c r="BC969" s="7"/>
      <c r="BE969" s="5"/>
      <c r="BF969" s="5"/>
      <c r="BG969" s="5"/>
      <c r="BH969" s="5"/>
      <c r="BI969" s="5"/>
      <c r="BJ969" s="5"/>
    </row>
    <row r="970">
      <c r="A970" s="5"/>
      <c r="B970" s="150"/>
      <c r="C970" s="151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6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6"/>
      <c r="BB970" s="5"/>
      <c r="BC970" s="7"/>
      <c r="BE970" s="5"/>
      <c r="BF970" s="5"/>
      <c r="BG970" s="5"/>
      <c r="BH970" s="5"/>
      <c r="BI970" s="5"/>
      <c r="BJ970" s="5"/>
    </row>
    <row r="971">
      <c r="A971" s="5"/>
      <c r="B971" s="150"/>
      <c r="C971" s="151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6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6"/>
      <c r="BB971" s="5"/>
      <c r="BC971" s="7"/>
      <c r="BE971" s="5"/>
      <c r="BF971" s="5"/>
      <c r="BG971" s="5"/>
      <c r="BH971" s="5"/>
      <c r="BI971" s="5"/>
      <c r="BJ971" s="5"/>
    </row>
    <row r="972">
      <c r="A972" s="5"/>
      <c r="B972" s="150"/>
      <c r="C972" s="151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6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6"/>
      <c r="BB972" s="5"/>
      <c r="BC972" s="7"/>
      <c r="BE972" s="5"/>
      <c r="BF972" s="5"/>
      <c r="BG972" s="5"/>
      <c r="BH972" s="5"/>
      <c r="BI972" s="5"/>
      <c r="BJ972" s="5"/>
    </row>
    <row r="973">
      <c r="A973" s="5"/>
      <c r="B973" s="150"/>
      <c r="C973" s="151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6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6"/>
      <c r="BB973" s="5"/>
      <c r="BC973" s="7"/>
      <c r="BE973" s="5"/>
      <c r="BF973" s="5"/>
      <c r="BG973" s="5"/>
      <c r="BH973" s="5"/>
      <c r="BI973" s="5"/>
      <c r="BJ973" s="5"/>
    </row>
    <row r="974">
      <c r="A974" s="5"/>
      <c r="B974" s="150"/>
      <c r="C974" s="151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6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6"/>
      <c r="BB974" s="5"/>
      <c r="BC974" s="7"/>
      <c r="BE974" s="5"/>
      <c r="BF974" s="5"/>
      <c r="BG974" s="5"/>
      <c r="BH974" s="5"/>
      <c r="BI974" s="5"/>
      <c r="BJ974" s="5"/>
    </row>
    <row r="975">
      <c r="A975" s="5"/>
      <c r="B975" s="150"/>
      <c r="C975" s="151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6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6"/>
      <c r="BB975" s="5"/>
      <c r="BC975" s="7"/>
      <c r="BE975" s="5"/>
      <c r="BF975" s="5"/>
      <c r="BG975" s="5"/>
      <c r="BH975" s="5"/>
      <c r="BI975" s="5"/>
      <c r="BJ975" s="5"/>
    </row>
  </sheetData>
  <mergeCells count="20">
    <mergeCell ref="S2:V2"/>
    <mergeCell ref="X2:AA2"/>
    <mergeCell ref="AE2:AH2"/>
    <mergeCell ref="AT2:AZ2"/>
    <mergeCell ref="BC5:BC229"/>
    <mergeCell ref="D3:Q3"/>
    <mergeCell ref="S3:V3"/>
    <mergeCell ref="X3:AC3"/>
    <mergeCell ref="AE3:AJ3"/>
    <mergeCell ref="AL3:AR3"/>
    <mergeCell ref="AT3:AZ3"/>
    <mergeCell ref="BE3:BK3"/>
    <mergeCell ref="BL3:BN3"/>
    <mergeCell ref="A1:C3"/>
    <mergeCell ref="D1:I1"/>
    <mergeCell ref="J1:O1"/>
    <mergeCell ref="P1:Q1"/>
    <mergeCell ref="D2:I2"/>
    <mergeCell ref="J2:O2"/>
    <mergeCell ref="P2:Q2"/>
  </mergeCells>
  <hyperlinks>
    <hyperlink r:id="rId1" ref="B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/>
  <cols>
    <col customWidth="1" min="1" max="1" width="5.57"/>
    <col customWidth="1" min="2" max="2" width="30.0"/>
    <col customWidth="1" min="3" max="3" width="5.57"/>
    <col customWidth="1" min="4" max="4" width="4.86"/>
    <col customWidth="1" min="5" max="6" width="5.71"/>
    <col customWidth="1" min="7" max="7" width="5.57"/>
    <col customWidth="1" min="8" max="13" width="5.43"/>
    <col customWidth="1" min="14" max="15" width="10.0"/>
    <col customWidth="1" min="16" max="16" width="3.14"/>
    <col customWidth="1" min="17" max="17" width="5.43"/>
    <col customWidth="1" min="18" max="18" width="5.57"/>
    <col customWidth="1" min="19" max="19" width="5.29"/>
    <col customWidth="1" min="20" max="20" width="6.0"/>
    <col customWidth="1" min="21" max="21" width="3.29"/>
    <col customWidth="1" min="22" max="22" width="6.29"/>
    <col customWidth="1" min="23" max="23" width="6.14"/>
    <col customWidth="1" min="24" max="24" width="5.57"/>
    <col customWidth="1" min="25" max="26" width="5.71"/>
    <col customWidth="1" min="27" max="27" width="6.57"/>
    <col customWidth="1" min="28" max="28" width="2.86"/>
    <col customWidth="1" min="29" max="29" width="6.43"/>
    <col customWidth="1" min="30" max="30" width="5.57"/>
    <col customWidth="1" min="31" max="31" width="5.43"/>
    <col customWidth="1" min="32" max="32" width="5.71"/>
    <col customWidth="1" min="33" max="34" width="6.86"/>
    <col customWidth="1" min="35" max="35" width="3.0"/>
    <col customWidth="1" min="36" max="36" width="12.57"/>
    <col customWidth="1" min="37" max="37" width="9.71"/>
    <col customWidth="1" min="38" max="38" width="5.71"/>
    <col customWidth="1" min="39" max="39" width="7.57"/>
    <col customWidth="1" min="40" max="41" width="6.29"/>
    <col customWidth="1" min="42" max="42" width="1.14"/>
    <col customWidth="1" min="43" max="43" width="9.43"/>
    <col customWidth="1" min="44" max="44" width="5.14"/>
    <col customWidth="1" min="45" max="45" width="4.86"/>
    <col customWidth="1" min="46" max="46" width="5.29"/>
    <col customWidth="1" min="47" max="48" width="10.0"/>
    <col customWidth="1" min="49" max="49" width="34.57"/>
    <col customWidth="1" min="50" max="50" width="3.43"/>
    <col customWidth="1" min="51" max="51" width="49.57"/>
    <col customWidth="1" min="52" max="52" width="3.43"/>
    <col customWidth="1" min="53" max="53" width="7.71"/>
    <col customWidth="1" min="54" max="54" width="5.43"/>
    <col customWidth="1" min="55" max="55" width="6.86"/>
    <col customWidth="1" min="56" max="56" width="7.0"/>
    <col customWidth="1" min="57" max="57" width="10.86"/>
    <col customWidth="1" min="58" max="59" width="12.71"/>
  </cols>
  <sheetData>
    <row r="1" ht="13.5" customHeight="1">
      <c r="A1" s="1" t="s">
        <v>1993</v>
      </c>
      <c r="D1" s="2" t="s">
        <v>1994</v>
      </c>
      <c r="I1" s="409" t="s">
        <v>1995</v>
      </c>
      <c r="N1" s="4" t="s">
        <v>1594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5"/>
      <c r="AY1" s="7"/>
    </row>
    <row r="2">
      <c r="D2" s="11" t="s">
        <v>1996</v>
      </c>
      <c r="I2" s="410" t="s">
        <v>1997</v>
      </c>
      <c r="N2" s="13" t="s">
        <v>1998</v>
      </c>
      <c r="P2" s="5"/>
      <c r="Q2" s="172" t="s">
        <v>1999</v>
      </c>
      <c r="U2" s="14"/>
      <c r="V2" s="14"/>
      <c r="Z2" s="14"/>
      <c r="AA2" s="14"/>
      <c r="AB2" s="14"/>
      <c r="AC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 t="s">
        <v>7</v>
      </c>
      <c r="AW2" s="16"/>
      <c r="AX2" s="5"/>
      <c r="AY2" s="411" t="s">
        <v>2000</v>
      </c>
    </row>
    <row r="3">
      <c r="D3" s="20" t="s">
        <v>9</v>
      </c>
      <c r="P3" s="21"/>
      <c r="Q3" s="173" t="s">
        <v>1144</v>
      </c>
      <c r="U3" s="34"/>
      <c r="V3" s="174" t="s">
        <v>1145</v>
      </c>
      <c r="AB3" s="34"/>
      <c r="AC3" s="22" t="s">
        <v>10</v>
      </c>
      <c r="AI3" s="34"/>
      <c r="AJ3" s="284" t="s">
        <v>2001</v>
      </c>
      <c r="AP3" s="34"/>
      <c r="AQ3" s="24" t="s">
        <v>12</v>
      </c>
      <c r="AW3" s="25"/>
      <c r="AX3" s="5"/>
      <c r="AY3" s="412" t="s">
        <v>13</v>
      </c>
      <c r="AZ3" s="27"/>
      <c r="BA3" s="28" t="s">
        <v>14</v>
      </c>
      <c r="BG3" s="28"/>
      <c r="BH3" s="27"/>
    </row>
    <row r="4">
      <c r="A4" s="35" t="s">
        <v>16</v>
      </c>
      <c r="B4" s="36" t="s">
        <v>17</v>
      </c>
      <c r="C4" s="37" t="s">
        <v>18</v>
      </c>
      <c r="D4" s="38" t="s">
        <v>19</v>
      </c>
      <c r="E4" s="38" t="s">
        <v>1601</v>
      </c>
      <c r="F4" s="38" t="s">
        <v>21</v>
      </c>
      <c r="G4" s="38" t="s">
        <v>23</v>
      </c>
      <c r="H4" s="38" t="s">
        <v>24</v>
      </c>
      <c r="I4" s="39" t="s">
        <v>19</v>
      </c>
      <c r="J4" s="39" t="s">
        <v>1601</v>
      </c>
      <c r="K4" s="39" t="s">
        <v>21</v>
      </c>
      <c r="L4" s="39" t="s">
        <v>23</v>
      </c>
      <c r="M4" s="39" t="s">
        <v>24</v>
      </c>
      <c r="N4" s="40" t="s">
        <v>2002</v>
      </c>
      <c r="O4" s="40" t="s">
        <v>2003</v>
      </c>
      <c r="P4" s="32"/>
      <c r="Q4" s="38" t="s">
        <v>1601</v>
      </c>
      <c r="R4" s="38" t="s">
        <v>21</v>
      </c>
      <c r="S4" s="38" t="s">
        <v>23</v>
      </c>
      <c r="T4" s="38" t="s">
        <v>24</v>
      </c>
      <c r="U4" s="32"/>
      <c r="V4" s="38" t="s">
        <v>1601</v>
      </c>
      <c r="W4" s="38" t="s">
        <v>21</v>
      </c>
      <c r="X4" s="38" t="s">
        <v>23</v>
      </c>
      <c r="Y4" s="38" t="s">
        <v>24</v>
      </c>
      <c r="Z4" s="41" t="s">
        <v>27</v>
      </c>
      <c r="AA4" s="41" t="s">
        <v>28</v>
      </c>
      <c r="AB4" s="32"/>
      <c r="AC4" s="38" t="s">
        <v>1601</v>
      </c>
      <c r="AD4" s="38" t="s">
        <v>21</v>
      </c>
      <c r="AE4" s="38" t="s">
        <v>23</v>
      </c>
      <c r="AF4" s="38" t="s">
        <v>24</v>
      </c>
      <c r="AG4" s="41" t="s">
        <v>27</v>
      </c>
      <c r="AH4" s="41" t="s">
        <v>28</v>
      </c>
      <c r="AI4" s="32"/>
      <c r="AJ4" s="38" t="s">
        <v>1601</v>
      </c>
      <c r="AK4" s="38" t="s">
        <v>21</v>
      </c>
      <c r="AL4" s="38" t="s">
        <v>23</v>
      </c>
      <c r="AM4" s="38" t="s">
        <v>24</v>
      </c>
      <c r="AN4" s="41" t="s">
        <v>27</v>
      </c>
      <c r="AO4" s="41" t="s">
        <v>28</v>
      </c>
      <c r="AP4" s="32"/>
      <c r="AQ4" s="42" t="s">
        <v>1601</v>
      </c>
      <c r="AR4" s="42" t="s">
        <v>21</v>
      </c>
      <c r="AS4" s="42" t="s">
        <v>23</v>
      </c>
      <c r="AT4" s="42" t="s">
        <v>24</v>
      </c>
      <c r="AU4" s="43" t="s">
        <v>2002</v>
      </c>
      <c r="AV4" s="43" t="s">
        <v>2003</v>
      </c>
      <c r="AW4" s="43" t="s">
        <v>31</v>
      </c>
      <c r="AX4" s="5"/>
      <c r="AY4" s="413"/>
      <c r="AZ4" s="5"/>
      <c r="BA4" s="42" t="s">
        <v>1601</v>
      </c>
      <c r="BB4" s="42" t="s">
        <v>21</v>
      </c>
      <c r="BC4" s="42" t="s">
        <v>23</v>
      </c>
      <c r="BD4" s="42" t="s">
        <v>24</v>
      </c>
      <c r="BE4" s="43" t="s">
        <v>2002</v>
      </c>
      <c r="BF4" s="43" t="s">
        <v>2003</v>
      </c>
      <c r="BG4" s="43" t="s">
        <v>31</v>
      </c>
      <c r="BH4" s="5"/>
    </row>
    <row r="5">
      <c r="A5" s="176">
        <v>1.0</v>
      </c>
      <c r="B5" s="414" t="s">
        <v>1603</v>
      </c>
      <c r="C5" s="287" t="s">
        <v>41</v>
      </c>
      <c r="D5" s="50"/>
      <c r="E5" s="288"/>
      <c r="F5" s="289"/>
      <c r="G5" s="415"/>
      <c r="H5" s="179"/>
      <c r="I5" s="179"/>
      <c r="J5" s="179">
        <v>2.075</v>
      </c>
      <c r="K5" s="179">
        <v>0.425</v>
      </c>
      <c r="L5" s="179"/>
      <c r="M5" s="179"/>
      <c r="N5" s="180">
        <v>1.0</v>
      </c>
      <c r="O5" s="180">
        <v>1.0</v>
      </c>
      <c r="P5" s="5"/>
      <c r="Q5" s="176">
        <f t="shared" ref="Q5:T5" si="1">round(J5/6,2)</f>
        <v>0.35</v>
      </c>
      <c r="R5" s="176">
        <f t="shared" si="1"/>
        <v>0.07</v>
      </c>
      <c r="S5" s="176">
        <f t="shared" si="1"/>
        <v>0</v>
      </c>
      <c r="T5" s="176">
        <f t="shared" si="1"/>
        <v>0</v>
      </c>
      <c r="U5" s="5"/>
      <c r="V5" s="184"/>
      <c r="W5" s="184"/>
      <c r="X5" s="184"/>
      <c r="Y5" s="184"/>
      <c r="Z5" s="184"/>
      <c r="AA5" s="184"/>
      <c r="AB5" s="5"/>
      <c r="AC5" s="184"/>
      <c r="AD5" s="184"/>
      <c r="AE5" s="184"/>
      <c r="AF5" s="184"/>
      <c r="AG5" s="184"/>
      <c r="AH5" s="184"/>
      <c r="AI5" s="5"/>
      <c r="AJ5" s="184">
        <f t="shared" ref="AJ5:AM5" si="2">ROUND(E5*(5/12)+J5*(5/12)+Q5+V5-AC5,2)</f>
        <v>1.21</v>
      </c>
      <c r="AK5" s="184">
        <f t="shared" si="2"/>
        <v>0.25</v>
      </c>
      <c r="AL5" s="184">
        <f t="shared" si="2"/>
        <v>0</v>
      </c>
      <c r="AM5" s="184">
        <f t="shared" si="2"/>
        <v>0</v>
      </c>
      <c r="AN5" s="184">
        <f t="shared" ref="AN5:AO5" si="3">N5+Z5-AG5</f>
        <v>1</v>
      </c>
      <c r="AO5" s="184">
        <f t="shared" si="3"/>
        <v>1</v>
      </c>
      <c r="AP5" s="5"/>
      <c r="AQ5" s="176">
        <v>0.0</v>
      </c>
      <c r="AR5" s="176">
        <v>0.0</v>
      </c>
      <c r="AS5" s="176" t="s">
        <v>913</v>
      </c>
      <c r="AT5" s="176" t="s">
        <v>913</v>
      </c>
      <c r="AU5" s="176">
        <v>1.0</v>
      </c>
      <c r="AV5" s="176">
        <v>1.0</v>
      </c>
      <c r="AW5" s="180" t="s">
        <v>2004</v>
      </c>
      <c r="AX5" s="5"/>
      <c r="AY5" s="416"/>
      <c r="BA5" s="81"/>
      <c r="BB5" s="81"/>
      <c r="BC5" s="81"/>
      <c r="BD5" s="81"/>
      <c r="BE5" s="81"/>
      <c r="BF5" s="81"/>
      <c r="BG5" s="81"/>
    </row>
    <row r="6">
      <c r="A6" s="176">
        <v>3.0</v>
      </c>
      <c r="B6" s="414" t="s">
        <v>44</v>
      </c>
      <c r="C6" s="287" t="s">
        <v>41</v>
      </c>
      <c r="D6" s="50"/>
      <c r="E6" s="291"/>
      <c r="F6" s="292"/>
      <c r="G6" s="292"/>
      <c r="H6" s="292"/>
      <c r="I6" s="292">
        <v>1.0</v>
      </c>
      <c r="J6" s="292">
        <v>2.575</v>
      </c>
      <c r="K6" s="292">
        <v>0.425</v>
      </c>
      <c r="L6" s="292"/>
      <c r="M6" s="292"/>
      <c r="N6" s="180">
        <v>1.0</v>
      </c>
      <c r="O6" s="180">
        <v>1.0</v>
      </c>
      <c r="P6" s="5"/>
      <c r="Q6" s="176">
        <f t="shared" ref="Q6:T6" si="4">round(J6/6,2)</f>
        <v>0.43</v>
      </c>
      <c r="R6" s="176">
        <f t="shared" si="4"/>
        <v>0.07</v>
      </c>
      <c r="S6" s="176">
        <f t="shared" si="4"/>
        <v>0</v>
      </c>
      <c r="T6" s="176">
        <f t="shared" si="4"/>
        <v>0</v>
      </c>
      <c r="U6" s="5"/>
      <c r="V6" s="184"/>
      <c r="W6" s="176">
        <v>0.4</v>
      </c>
      <c r="X6" s="184"/>
      <c r="Y6" s="184"/>
      <c r="Z6" s="184"/>
      <c r="AA6" s="184"/>
      <c r="AB6" s="5"/>
      <c r="AC6" s="176">
        <v>0.0</v>
      </c>
      <c r="AD6" s="184"/>
      <c r="AE6" s="184"/>
      <c r="AF6" s="176">
        <v>0.33</v>
      </c>
      <c r="AG6" s="184"/>
      <c r="AH6" s="184"/>
      <c r="AI6" s="5"/>
      <c r="AJ6" s="184">
        <f t="shared" ref="AJ6:AM6" si="5">ROUND(E6*(5/12)+J6*(5/12)+Q6+V6-AC6,2)</f>
        <v>1.5</v>
      </c>
      <c r="AK6" s="184">
        <f t="shared" si="5"/>
        <v>0.65</v>
      </c>
      <c r="AL6" s="184">
        <f t="shared" si="5"/>
        <v>0</v>
      </c>
      <c r="AM6" s="184">
        <f t="shared" si="5"/>
        <v>-0.33</v>
      </c>
      <c r="AN6" s="184">
        <f t="shared" ref="AN6:AO6" si="6">N6+Z6-AG6</f>
        <v>1</v>
      </c>
      <c r="AO6" s="184">
        <f t="shared" si="6"/>
        <v>1</v>
      </c>
      <c r="AP6" s="5"/>
      <c r="AQ6" s="180">
        <v>1.292</v>
      </c>
      <c r="AR6" s="176">
        <v>0.67</v>
      </c>
      <c r="AS6" s="176" t="s">
        <v>913</v>
      </c>
      <c r="AT6" s="176" t="s">
        <v>913</v>
      </c>
      <c r="AU6" s="295">
        <v>1.0</v>
      </c>
      <c r="AV6" s="176">
        <v>1.0</v>
      </c>
      <c r="AW6" s="180" t="s">
        <v>2005</v>
      </c>
      <c r="AX6" s="5"/>
      <c r="AY6" s="417"/>
      <c r="BA6" s="81"/>
      <c r="BB6" s="81"/>
      <c r="BC6" s="81"/>
      <c r="BD6" s="81"/>
      <c r="BE6" s="81"/>
      <c r="BF6" s="81"/>
      <c r="BG6" s="81"/>
    </row>
    <row r="7">
      <c r="A7" s="176">
        <v>4.0</v>
      </c>
      <c r="B7" s="414" t="s">
        <v>45</v>
      </c>
      <c r="C7" s="287" t="s">
        <v>41</v>
      </c>
      <c r="D7" s="50"/>
      <c r="E7" s="291"/>
      <c r="F7" s="292"/>
      <c r="G7" s="292"/>
      <c r="H7" s="292"/>
      <c r="I7" s="292">
        <v>1.0</v>
      </c>
      <c r="J7" s="292">
        <v>2.075</v>
      </c>
      <c r="K7" s="292">
        <v>0.425</v>
      </c>
      <c r="L7" s="292">
        <v>0.5</v>
      </c>
      <c r="M7" s="292"/>
      <c r="N7" s="180">
        <v>1.0</v>
      </c>
      <c r="O7" s="180">
        <v>1.0</v>
      </c>
      <c r="P7" s="5"/>
      <c r="Q7" s="176">
        <f t="shared" ref="Q7:T7" si="7">round(J7/6,2)</f>
        <v>0.35</v>
      </c>
      <c r="R7" s="176">
        <f t="shared" si="7"/>
        <v>0.07</v>
      </c>
      <c r="S7" s="176">
        <f t="shared" si="7"/>
        <v>0.08</v>
      </c>
      <c r="T7" s="176">
        <f t="shared" si="7"/>
        <v>0</v>
      </c>
      <c r="U7" s="5"/>
      <c r="V7" s="184"/>
      <c r="W7" s="176">
        <v>0.286</v>
      </c>
      <c r="X7" s="184"/>
      <c r="Y7" s="184"/>
      <c r="Z7" s="184"/>
      <c r="AA7" s="184"/>
      <c r="AB7" s="5"/>
      <c r="AC7" s="184"/>
      <c r="AD7" s="184"/>
      <c r="AE7" s="184"/>
      <c r="AF7" s="184"/>
      <c r="AG7" s="184"/>
      <c r="AH7" s="176">
        <v>0.25</v>
      </c>
      <c r="AI7" s="5"/>
      <c r="AJ7" s="184">
        <f t="shared" ref="AJ7:AM7" si="8">ROUND(E7*(5/12)+J7*(5/12)+Q7+V7-AC7,2)</f>
        <v>1.21</v>
      </c>
      <c r="AK7" s="184">
        <f t="shared" si="8"/>
        <v>0.53</v>
      </c>
      <c r="AL7" s="184">
        <f t="shared" si="8"/>
        <v>0.29</v>
      </c>
      <c r="AM7" s="184">
        <f t="shared" si="8"/>
        <v>0</v>
      </c>
      <c r="AN7" s="184">
        <f t="shared" ref="AN7:AO7" si="9">N7+Z7-AG7</f>
        <v>1</v>
      </c>
      <c r="AO7" s="184">
        <f t="shared" si="9"/>
        <v>0.75</v>
      </c>
      <c r="AP7" s="5"/>
      <c r="AQ7" s="176">
        <v>0.8</v>
      </c>
      <c r="AR7" s="176">
        <v>0.263</v>
      </c>
      <c r="AS7" s="176">
        <v>0.66</v>
      </c>
      <c r="AT7" s="176" t="s">
        <v>913</v>
      </c>
      <c r="AU7" s="176">
        <v>1.0</v>
      </c>
      <c r="AV7" s="176">
        <v>1.0</v>
      </c>
      <c r="AW7" s="180" t="s">
        <v>2006</v>
      </c>
      <c r="AX7" s="5"/>
      <c r="AY7" s="417"/>
      <c r="BA7" s="81"/>
      <c r="BB7" s="81"/>
      <c r="BC7" s="81"/>
      <c r="BD7" s="81"/>
      <c r="BE7" s="81"/>
      <c r="BF7" s="81"/>
      <c r="BG7" s="81"/>
    </row>
    <row r="8">
      <c r="A8" s="176">
        <v>5.0</v>
      </c>
      <c r="B8" s="414" t="s">
        <v>46</v>
      </c>
      <c r="C8" s="287" t="s">
        <v>41</v>
      </c>
      <c r="D8" s="50"/>
      <c r="E8" s="291"/>
      <c r="F8" s="292"/>
      <c r="G8" s="292"/>
      <c r="H8" s="292"/>
      <c r="I8" s="292">
        <v>2.0</v>
      </c>
      <c r="J8" s="292">
        <v>1.575</v>
      </c>
      <c r="K8" s="292">
        <v>0.425</v>
      </c>
      <c r="L8" s="292"/>
      <c r="M8" s="292"/>
      <c r="N8" s="180">
        <v>1.0</v>
      </c>
      <c r="O8" s="180">
        <v>1.0</v>
      </c>
      <c r="P8" s="5"/>
      <c r="Q8" s="176">
        <f t="shared" ref="Q8:T8" si="10">round(J8/6,2)</f>
        <v>0.26</v>
      </c>
      <c r="R8" s="176">
        <f t="shared" si="10"/>
        <v>0.07</v>
      </c>
      <c r="S8" s="176">
        <f t="shared" si="10"/>
        <v>0</v>
      </c>
      <c r="T8" s="176">
        <f t="shared" si="10"/>
        <v>0</v>
      </c>
      <c r="U8" s="5"/>
      <c r="V8" s="184"/>
      <c r="W8" s="176">
        <v>0.36</v>
      </c>
      <c r="X8" s="184"/>
      <c r="Y8" s="184"/>
      <c r="Z8" s="184"/>
      <c r="AA8" s="184"/>
      <c r="AB8" s="5"/>
      <c r="AC8" s="176">
        <v>1.0</v>
      </c>
      <c r="AD8" s="184"/>
      <c r="AE8" s="184"/>
      <c r="AF8" s="184"/>
      <c r="AG8" s="184"/>
      <c r="AH8" s="184"/>
      <c r="AI8" s="5"/>
      <c r="AJ8" s="184">
        <f t="shared" ref="AJ8:AM8" si="11">ROUND(E8*(5/12)+J8*(5/12)+Q8+V8-AC8,2)</f>
        <v>-0.08</v>
      </c>
      <c r="AK8" s="184">
        <f t="shared" si="11"/>
        <v>0.61</v>
      </c>
      <c r="AL8" s="184">
        <f t="shared" si="11"/>
        <v>0</v>
      </c>
      <c r="AM8" s="184">
        <f t="shared" si="11"/>
        <v>0</v>
      </c>
      <c r="AN8" s="184">
        <f t="shared" ref="AN8:AO8" si="12">N8+Z8-AG8</f>
        <v>1</v>
      </c>
      <c r="AO8" s="184">
        <f t="shared" si="12"/>
        <v>1</v>
      </c>
      <c r="AP8" s="5"/>
      <c r="AQ8" s="176">
        <v>0.537</v>
      </c>
      <c r="AR8" s="176">
        <v>0.146</v>
      </c>
      <c r="AS8" s="176" t="s">
        <v>913</v>
      </c>
      <c r="AT8" s="176" t="s">
        <v>913</v>
      </c>
      <c r="AU8" s="176">
        <v>1.0</v>
      </c>
      <c r="AV8" s="176">
        <v>1.0</v>
      </c>
      <c r="AW8" s="180" t="s">
        <v>2007</v>
      </c>
      <c r="AX8" s="5"/>
      <c r="AY8" s="416"/>
      <c r="BA8" s="81"/>
      <c r="BB8" s="81"/>
      <c r="BC8" s="81"/>
      <c r="BD8" s="81"/>
      <c r="BE8" s="81"/>
      <c r="BF8" s="81"/>
      <c r="BG8" s="81"/>
    </row>
    <row r="9">
      <c r="A9" s="176">
        <v>6.0</v>
      </c>
      <c r="B9" s="414" t="s">
        <v>48</v>
      </c>
      <c r="C9" s="287" t="s">
        <v>41</v>
      </c>
      <c r="D9" s="50"/>
      <c r="E9" s="291"/>
      <c r="F9" s="292"/>
      <c r="G9" s="297"/>
      <c r="H9" s="297"/>
      <c r="I9" s="292">
        <v>3.0</v>
      </c>
      <c r="J9" s="292">
        <v>0.8</v>
      </c>
      <c r="K9" s="292">
        <v>0.2</v>
      </c>
      <c r="L9" s="297"/>
      <c r="M9" s="297"/>
      <c r="N9" s="180">
        <v>1.0</v>
      </c>
      <c r="O9" s="180">
        <v>1.0</v>
      </c>
      <c r="P9" s="5"/>
      <c r="Q9" s="176">
        <f t="shared" ref="Q9:T9" si="13">round(J9/6,2)</f>
        <v>0.13</v>
      </c>
      <c r="R9" s="176">
        <f t="shared" si="13"/>
        <v>0.03</v>
      </c>
      <c r="S9" s="176">
        <f t="shared" si="13"/>
        <v>0</v>
      </c>
      <c r="T9" s="176">
        <f t="shared" si="13"/>
        <v>0</v>
      </c>
      <c r="U9" s="5"/>
      <c r="V9" s="184"/>
      <c r="W9" s="176">
        <v>0.29</v>
      </c>
      <c r="X9" s="184"/>
      <c r="Y9" s="184"/>
      <c r="Z9" s="184"/>
      <c r="AA9" s="184"/>
      <c r="AB9" s="5"/>
      <c r="AC9" s="176">
        <v>0.5</v>
      </c>
      <c r="AD9" s="184"/>
      <c r="AE9" s="184"/>
      <c r="AF9" s="184"/>
      <c r="AG9" s="184"/>
      <c r="AH9" s="184"/>
      <c r="AI9" s="5"/>
      <c r="AJ9" s="184">
        <f t="shared" ref="AJ9:AM9" si="14">ROUND(E9*(5/12)+J9*(5/12)+Q9+V9-AC9,2)</f>
        <v>-0.04</v>
      </c>
      <c r="AK9" s="184">
        <f t="shared" si="14"/>
        <v>0.4</v>
      </c>
      <c r="AL9" s="184">
        <f t="shared" si="14"/>
        <v>0</v>
      </c>
      <c r="AM9" s="184">
        <f t="shared" si="14"/>
        <v>0</v>
      </c>
      <c r="AN9" s="184">
        <f t="shared" ref="AN9:AO9" si="15">N9+Z9-AG9</f>
        <v>1</v>
      </c>
      <c r="AO9" s="184">
        <f t="shared" si="15"/>
        <v>1</v>
      </c>
      <c r="AP9" s="5"/>
      <c r="AQ9" s="176">
        <v>1.0</v>
      </c>
      <c r="AR9" s="176">
        <v>0.106</v>
      </c>
      <c r="AS9" s="176" t="s">
        <v>913</v>
      </c>
      <c r="AT9" s="176" t="s">
        <v>913</v>
      </c>
      <c r="AU9" s="176">
        <v>1.0</v>
      </c>
      <c r="AV9" s="176">
        <v>1.0</v>
      </c>
      <c r="AW9" s="180" t="s">
        <v>2008</v>
      </c>
      <c r="AX9" s="5"/>
      <c r="AY9" s="417"/>
      <c r="BA9" s="81"/>
      <c r="BB9" s="81"/>
      <c r="BC9" s="81"/>
      <c r="BD9" s="81"/>
      <c r="BE9" s="81"/>
      <c r="BF9" s="81"/>
      <c r="BG9" s="81"/>
    </row>
    <row r="10">
      <c r="A10" s="176">
        <v>7.0</v>
      </c>
      <c r="B10" s="414" t="s">
        <v>2009</v>
      </c>
      <c r="C10" s="287" t="s">
        <v>41</v>
      </c>
      <c r="D10" s="50"/>
      <c r="E10" s="291"/>
      <c r="F10" s="292"/>
      <c r="G10" s="292"/>
      <c r="H10" s="292"/>
      <c r="I10" s="292">
        <v>3.67</v>
      </c>
      <c r="J10" s="292">
        <v>0.13</v>
      </c>
      <c r="K10" s="292">
        <v>0.2</v>
      </c>
      <c r="L10" s="292"/>
      <c r="M10" s="292"/>
      <c r="N10" s="180">
        <v>1.0</v>
      </c>
      <c r="O10" s="180">
        <v>1.0</v>
      </c>
      <c r="P10" s="5"/>
      <c r="Q10" s="176">
        <f t="shared" ref="Q10:T10" si="16">round(J10/6,2)</f>
        <v>0.02</v>
      </c>
      <c r="R10" s="176">
        <f t="shared" si="16"/>
        <v>0.03</v>
      </c>
      <c r="S10" s="176">
        <f t="shared" si="16"/>
        <v>0</v>
      </c>
      <c r="T10" s="176">
        <f t="shared" si="16"/>
        <v>0</v>
      </c>
      <c r="U10" s="5"/>
      <c r="V10" s="184"/>
      <c r="W10" s="176">
        <v>0.375</v>
      </c>
      <c r="X10" s="184"/>
      <c r="Y10" s="184"/>
      <c r="Z10" s="184"/>
      <c r="AA10" s="184"/>
      <c r="AB10" s="5"/>
      <c r="AC10" s="184"/>
      <c r="AD10" s="184"/>
      <c r="AE10" s="184"/>
      <c r="AF10" s="184"/>
      <c r="AG10" s="184"/>
      <c r="AH10" s="184"/>
      <c r="AI10" s="5"/>
      <c r="AJ10" s="184">
        <f t="shared" ref="AJ10:AM10" si="17">ROUND(E10*(5/12)+J10*(5/12)+Q10+V10-AC10,2)</f>
        <v>0.07</v>
      </c>
      <c r="AK10" s="184">
        <f t="shared" si="17"/>
        <v>0.49</v>
      </c>
      <c r="AL10" s="184">
        <f t="shared" si="17"/>
        <v>0</v>
      </c>
      <c r="AM10" s="184">
        <f t="shared" si="17"/>
        <v>0</v>
      </c>
      <c r="AN10" s="184">
        <f t="shared" ref="AN10:AO10" si="18">N10+Z10-AG10</f>
        <v>1</v>
      </c>
      <c r="AO10" s="184">
        <f t="shared" si="18"/>
        <v>1</v>
      </c>
      <c r="AP10" s="5"/>
      <c r="AQ10" s="176">
        <v>0.0</v>
      </c>
      <c r="AR10" s="176">
        <v>0.0</v>
      </c>
      <c r="AS10" s="176" t="s">
        <v>913</v>
      </c>
      <c r="AT10" s="176" t="s">
        <v>913</v>
      </c>
      <c r="AU10" s="176">
        <v>1.0</v>
      </c>
      <c r="AV10" s="176">
        <v>1.0</v>
      </c>
      <c r="AW10" s="180" t="s">
        <v>2010</v>
      </c>
      <c r="AX10" s="5"/>
      <c r="AY10" s="418"/>
      <c r="BA10" s="81"/>
      <c r="BB10" s="81"/>
      <c r="BC10" s="81"/>
      <c r="BD10" s="81"/>
      <c r="BE10" s="81"/>
      <c r="BF10" s="81"/>
      <c r="BG10" s="81"/>
    </row>
    <row r="11">
      <c r="A11" s="176">
        <v>8.0</v>
      </c>
      <c r="B11" s="414" t="s">
        <v>47</v>
      </c>
      <c r="C11" s="287" t="s">
        <v>41</v>
      </c>
      <c r="D11" s="50"/>
      <c r="E11" s="291"/>
      <c r="F11" s="297"/>
      <c r="G11" s="297"/>
      <c r="H11" s="292"/>
      <c r="I11" s="292">
        <v>3.0</v>
      </c>
      <c r="J11" s="292">
        <v>0.5</v>
      </c>
      <c r="K11" s="292"/>
      <c r="L11" s="292"/>
      <c r="M11" s="292">
        <v>0.5</v>
      </c>
      <c r="N11" s="180">
        <v>1.0</v>
      </c>
      <c r="O11" s="180">
        <v>1.0</v>
      </c>
      <c r="P11" s="5"/>
      <c r="Q11" s="176">
        <f t="shared" ref="Q11:T11" si="19">round(J11/6,2)</f>
        <v>0.08</v>
      </c>
      <c r="R11" s="176">
        <f t="shared" si="19"/>
        <v>0</v>
      </c>
      <c r="S11" s="176">
        <f t="shared" si="19"/>
        <v>0</v>
      </c>
      <c r="T11" s="176">
        <f t="shared" si="19"/>
        <v>0.08</v>
      </c>
      <c r="U11" s="5"/>
      <c r="V11" s="184"/>
      <c r="W11" s="176">
        <v>0.5</v>
      </c>
      <c r="X11" s="184"/>
      <c r="Y11" s="184"/>
      <c r="Z11" s="184"/>
      <c r="AA11" s="184"/>
      <c r="AB11" s="5"/>
      <c r="AC11" s="176">
        <v>0.25</v>
      </c>
      <c r="AD11" s="184"/>
      <c r="AE11" s="184"/>
      <c r="AF11" s="184"/>
      <c r="AG11" s="184"/>
      <c r="AH11" s="184"/>
      <c r="AI11" s="5"/>
      <c r="AJ11" s="184">
        <f t="shared" ref="AJ11:AM11" si="20">ROUND(E11*(5/12)+J11*(5/12)+Q11+V11-AC11,2)</f>
        <v>0.04</v>
      </c>
      <c r="AK11" s="184">
        <f t="shared" si="20"/>
        <v>0.5</v>
      </c>
      <c r="AL11" s="184">
        <f t="shared" si="20"/>
        <v>0</v>
      </c>
      <c r="AM11" s="184">
        <f t="shared" si="20"/>
        <v>0.29</v>
      </c>
      <c r="AN11" s="184">
        <f t="shared" ref="AN11:AO11" si="21">N11+Z11-AG11</f>
        <v>1</v>
      </c>
      <c r="AO11" s="184">
        <f t="shared" si="21"/>
        <v>1</v>
      </c>
      <c r="AP11" s="5"/>
      <c r="AQ11" s="176">
        <v>0.2</v>
      </c>
      <c r="AR11" s="176">
        <v>0.013</v>
      </c>
      <c r="AS11" s="176" t="s">
        <v>913</v>
      </c>
      <c r="AT11" s="176">
        <v>0.0</v>
      </c>
      <c r="AU11" s="176">
        <v>0.0</v>
      </c>
      <c r="AV11" s="176">
        <v>1.0</v>
      </c>
      <c r="AW11" s="180" t="s">
        <v>2011</v>
      </c>
      <c r="AX11" s="5"/>
      <c r="AY11" s="417"/>
      <c r="BA11" s="81"/>
      <c r="BB11" s="81"/>
      <c r="BC11" s="81"/>
      <c r="BD11" s="81"/>
      <c r="BE11" s="81"/>
      <c r="BF11" s="81"/>
      <c r="BG11" s="81"/>
    </row>
    <row r="12">
      <c r="A12" s="176">
        <v>9.0</v>
      </c>
      <c r="B12" s="414" t="s">
        <v>2012</v>
      </c>
      <c r="C12" s="287" t="s">
        <v>41</v>
      </c>
      <c r="D12" s="50"/>
      <c r="E12" s="291"/>
      <c r="F12" s="292"/>
      <c r="G12" s="297"/>
      <c r="H12" s="297"/>
      <c r="I12" s="292">
        <v>2.0</v>
      </c>
      <c r="J12" s="292">
        <v>1.2</v>
      </c>
      <c r="K12" s="292">
        <v>0.3</v>
      </c>
      <c r="L12" s="297"/>
      <c r="M12" s="297"/>
      <c r="N12" s="180">
        <v>1.0</v>
      </c>
      <c r="O12" s="180">
        <v>1.0</v>
      </c>
      <c r="P12" s="5"/>
      <c r="Q12" s="176">
        <f t="shared" ref="Q12:T12" si="22">round(J12/6,2)</f>
        <v>0.2</v>
      </c>
      <c r="R12" s="176">
        <f t="shared" si="22"/>
        <v>0.05</v>
      </c>
      <c r="S12" s="176">
        <f t="shared" si="22"/>
        <v>0</v>
      </c>
      <c r="T12" s="176">
        <f t="shared" si="22"/>
        <v>0</v>
      </c>
      <c r="U12" s="5"/>
      <c r="V12" s="184"/>
      <c r="W12" s="176"/>
      <c r="X12" s="184"/>
      <c r="Y12" s="184"/>
      <c r="Z12" s="184"/>
      <c r="AA12" s="184"/>
      <c r="AB12" s="5"/>
      <c r="AC12" s="176"/>
      <c r="AD12" s="184"/>
      <c r="AE12" s="176"/>
      <c r="AF12" s="184"/>
      <c r="AG12" s="184"/>
      <c r="AH12" s="184"/>
      <c r="AI12" s="5"/>
      <c r="AJ12" s="184">
        <f t="shared" ref="AJ12:AM12" si="23">ROUND(E12*(5/12)+J12*(5/12)+Q12+V12-AC12,2)</f>
        <v>0.7</v>
      </c>
      <c r="AK12" s="184">
        <f t="shared" si="23"/>
        <v>0.18</v>
      </c>
      <c r="AL12" s="184">
        <f t="shared" si="23"/>
        <v>0</v>
      </c>
      <c r="AM12" s="184">
        <f t="shared" si="23"/>
        <v>0</v>
      </c>
      <c r="AN12" s="184">
        <f t="shared" ref="AN12:AO12" si="24">N12+Z12-AG12</f>
        <v>1</v>
      </c>
      <c r="AO12" s="184">
        <f t="shared" si="24"/>
        <v>1</v>
      </c>
      <c r="AP12" s="5"/>
      <c r="AQ12" s="180">
        <v>1.626</v>
      </c>
      <c r="AR12" s="176">
        <v>0.121</v>
      </c>
      <c r="AS12" s="176">
        <v>0.08</v>
      </c>
      <c r="AT12" s="176" t="s">
        <v>913</v>
      </c>
      <c r="AU12" s="176">
        <v>1.0</v>
      </c>
      <c r="AV12" s="176">
        <v>1.0</v>
      </c>
      <c r="AW12" s="180" t="s">
        <v>2013</v>
      </c>
      <c r="AX12" s="5"/>
      <c r="AY12" s="417"/>
      <c r="BA12" s="81"/>
      <c r="BB12" s="81"/>
      <c r="BC12" s="81"/>
      <c r="BD12" s="81"/>
      <c r="BE12" s="81"/>
      <c r="BF12" s="81"/>
      <c r="BG12" s="81"/>
    </row>
    <row r="13">
      <c r="A13" s="176">
        <v>10.0</v>
      </c>
      <c r="B13" s="414" t="s">
        <v>49</v>
      </c>
      <c r="C13" s="287" t="s">
        <v>41</v>
      </c>
      <c r="D13" s="50"/>
      <c r="E13" s="291"/>
      <c r="F13" s="292"/>
      <c r="G13" s="297"/>
      <c r="H13" s="297"/>
      <c r="I13" s="292">
        <v>2.67</v>
      </c>
      <c r="J13" s="292">
        <v>1.8</v>
      </c>
      <c r="K13" s="292">
        <v>0.2</v>
      </c>
      <c r="L13" s="297"/>
      <c r="M13" s="297"/>
      <c r="N13" s="180">
        <v>1.0</v>
      </c>
      <c r="O13" s="180">
        <v>1.0</v>
      </c>
      <c r="P13" s="5"/>
      <c r="Q13" s="176">
        <f t="shared" ref="Q13:T13" si="25">round(J13/6,2)</f>
        <v>0.3</v>
      </c>
      <c r="R13" s="176">
        <f t="shared" si="25"/>
        <v>0.03</v>
      </c>
      <c r="S13" s="176">
        <f t="shared" si="25"/>
        <v>0</v>
      </c>
      <c r="T13" s="176">
        <f t="shared" si="25"/>
        <v>0</v>
      </c>
      <c r="U13" s="5"/>
      <c r="V13" s="184"/>
      <c r="W13" s="176">
        <v>0.0625</v>
      </c>
      <c r="X13" s="184"/>
      <c r="Y13" s="184"/>
      <c r="Z13" s="184"/>
      <c r="AA13" s="184"/>
      <c r="AB13" s="5"/>
      <c r="AC13" s="176">
        <v>0.125</v>
      </c>
      <c r="AD13" s="184"/>
      <c r="AE13" s="176">
        <v>0.625</v>
      </c>
      <c r="AF13" s="184"/>
      <c r="AG13" s="184"/>
      <c r="AH13" s="184"/>
      <c r="AI13" s="5"/>
      <c r="AJ13" s="184">
        <f t="shared" ref="AJ13:AM13" si="26">ROUND(E13*(5/12)+J13*(5/12)+Q13+V13-AC13,2)</f>
        <v>0.93</v>
      </c>
      <c r="AK13" s="184">
        <f t="shared" si="26"/>
        <v>0.18</v>
      </c>
      <c r="AL13" s="184">
        <f t="shared" si="26"/>
        <v>-0.63</v>
      </c>
      <c r="AM13" s="184">
        <f t="shared" si="26"/>
        <v>0</v>
      </c>
      <c r="AN13" s="184">
        <f t="shared" ref="AN13:AO13" si="27">N13+Z13-AG13</f>
        <v>1</v>
      </c>
      <c r="AO13" s="184">
        <f t="shared" si="27"/>
        <v>1</v>
      </c>
      <c r="AP13" s="5"/>
      <c r="AQ13" s="180">
        <v>1.13</v>
      </c>
      <c r="AR13" s="176">
        <v>0.146</v>
      </c>
      <c r="AS13" s="176" t="s">
        <v>913</v>
      </c>
      <c r="AT13" s="176" t="s">
        <v>913</v>
      </c>
      <c r="AU13" s="176">
        <v>1.0</v>
      </c>
      <c r="AV13" s="176">
        <v>1.0</v>
      </c>
      <c r="AW13" s="180" t="s">
        <v>2014</v>
      </c>
      <c r="AX13" s="5"/>
      <c r="AY13" s="416"/>
      <c r="BA13" s="81"/>
      <c r="BB13" s="81"/>
      <c r="BC13" s="81"/>
      <c r="BD13" s="81"/>
      <c r="BE13" s="81"/>
      <c r="BF13" s="81"/>
      <c r="BG13" s="81"/>
    </row>
    <row r="14">
      <c r="A14" s="176">
        <v>12.0</v>
      </c>
      <c r="B14" s="414" t="s">
        <v>2015</v>
      </c>
      <c r="C14" s="287" t="s">
        <v>41</v>
      </c>
      <c r="D14" s="50"/>
      <c r="E14" s="291"/>
      <c r="F14" s="292"/>
      <c r="G14" s="297"/>
      <c r="H14" s="297"/>
      <c r="I14" s="292">
        <v>3.67</v>
      </c>
      <c r="J14" s="292">
        <v>0.13</v>
      </c>
      <c r="K14" s="292">
        <v>0.2</v>
      </c>
      <c r="L14" s="297"/>
      <c r="M14" s="297"/>
      <c r="N14" s="180">
        <v>1.0</v>
      </c>
      <c r="O14" s="180">
        <v>1.0</v>
      </c>
      <c r="P14" s="5"/>
      <c r="Q14" s="176">
        <f t="shared" ref="Q14:T14" si="28">round(J14/6,2)</f>
        <v>0.02</v>
      </c>
      <c r="R14" s="176">
        <f t="shared" si="28"/>
        <v>0.03</v>
      </c>
      <c r="S14" s="176">
        <f t="shared" si="28"/>
        <v>0</v>
      </c>
      <c r="T14" s="176">
        <f t="shared" si="28"/>
        <v>0</v>
      </c>
      <c r="U14" s="5"/>
      <c r="V14" s="184"/>
      <c r="W14" s="184"/>
      <c r="X14" s="184"/>
      <c r="Y14" s="184"/>
      <c r="Z14" s="184"/>
      <c r="AA14" s="184"/>
      <c r="AB14" s="5"/>
      <c r="AC14" s="184"/>
      <c r="AD14" s="184"/>
      <c r="AE14" s="184"/>
      <c r="AF14" s="184"/>
      <c r="AG14" s="184"/>
      <c r="AH14" s="184"/>
      <c r="AI14" s="5"/>
      <c r="AJ14" s="184">
        <f t="shared" ref="AJ14:AM14" si="29">ROUND(E14*(5/12)+J14*(5/12)+Q14+V14-AC14,2)</f>
        <v>0.07</v>
      </c>
      <c r="AK14" s="184">
        <f t="shared" si="29"/>
        <v>0.11</v>
      </c>
      <c r="AL14" s="184">
        <f t="shared" si="29"/>
        <v>0</v>
      </c>
      <c r="AM14" s="184">
        <f t="shared" si="29"/>
        <v>0</v>
      </c>
      <c r="AN14" s="184">
        <f t="shared" ref="AN14:AO14" si="30">N14+Z14-AG14</f>
        <v>1</v>
      </c>
      <c r="AO14" s="184">
        <f t="shared" si="30"/>
        <v>1</v>
      </c>
      <c r="AP14" s="5"/>
      <c r="AQ14" s="176">
        <v>0.5</v>
      </c>
      <c r="AR14" s="176">
        <v>0.176</v>
      </c>
      <c r="AS14" s="176" t="s">
        <v>913</v>
      </c>
      <c r="AT14" s="176" t="s">
        <v>913</v>
      </c>
      <c r="AU14" s="176">
        <v>1.0</v>
      </c>
      <c r="AV14" s="176">
        <v>1.0</v>
      </c>
      <c r="AW14" s="180" t="s">
        <v>2016</v>
      </c>
      <c r="AX14" s="5"/>
      <c r="AY14" s="417"/>
      <c r="BA14" s="81"/>
      <c r="BB14" s="81"/>
      <c r="BC14" s="81"/>
      <c r="BD14" s="81"/>
      <c r="BE14" s="81"/>
      <c r="BF14" s="81"/>
      <c r="BG14" s="81"/>
    </row>
    <row r="15">
      <c r="A15" s="176">
        <v>13.0</v>
      </c>
      <c r="B15" s="414" t="s">
        <v>2017</v>
      </c>
      <c r="C15" s="287" t="s">
        <v>41</v>
      </c>
      <c r="D15" s="50"/>
      <c r="E15" s="291"/>
      <c r="F15" s="297"/>
      <c r="G15" s="292"/>
      <c r="H15" s="297"/>
      <c r="I15" s="292">
        <v>3.41</v>
      </c>
      <c r="J15" s="292">
        <v>0.09</v>
      </c>
      <c r="K15" s="297"/>
      <c r="L15" s="292">
        <v>0.5</v>
      </c>
      <c r="M15" s="297"/>
      <c r="N15" s="180">
        <v>1.0</v>
      </c>
      <c r="O15" s="180">
        <v>1.0</v>
      </c>
      <c r="P15" s="5"/>
      <c r="Q15" s="176">
        <f t="shared" ref="Q15:T15" si="31">round(J15/6,2)</f>
        <v>0.02</v>
      </c>
      <c r="R15" s="176">
        <f t="shared" si="31"/>
        <v>0</v>
      </c>
      <c r="S15" s="176">
        <f t="shared" si="31"/>
        <v>0.08</v>
      </c>
      <c r="T15" s="176">
        <f t="shared" si="31"/>
        <v>0</v>
      </c>
      <c r="U15" s="5"/>
      <c r="V15" s="176">
        <v>0.625</v>
      </c>
      <c r="W15" s="176"/>
      <c r="X15" s="184"/>
      <c r="Y15" s="184"/>
      <c r="Z15" s="184"/>
      <c r="AA15" s="184"/>
      <c r="AB15" s="5"/>
      <c r="AC15" s="184"/>
      <c r="AD15" s="184"/>
      <c r="AE15" s="184"/>
      <c r="AF15" s="184"/>
      <c r="AG15" s="184"/>
      <c r="AH15" s="184"/>
      <c r="AI15" s="5"/>
      <c r="AJ15" s="184">
        <f t="shared" ref="AJ15:AL15" si="32">ROUND(E15*(5/12)+J15*(2/12)+Q15+V15-AC15,2)</f>
        <v>0.66</v>
      </c>
      <c r="AK15" s="184">
        <f t="shared" si="32"/>
        <v>0</v>
      </c>
      <c r="AL15" s="184">
        <f t="shared" si="32"/>
        <v>0.16</v>
      </c>
      <c r="AM15" s="184">
        <f>ROUND(H15*(5/12)+M15*(5/12)+T15+Y15-AF15,2)</f>
        <v>0</v>
      </c>
      <c r="AN15" s="184">
        <f t="shared" ref="AN15:AO15" si="33">N15*9/12+Z15-AG15</f>
        <v>0.75</v>
      </c>
      <c r="AO15" s="184">
        <f t="shared" si="33"/>
        <v>0.75</v>
      </c>
      <c r="AP15" s="5"/>
      <c r="AQ15" s="176">
        <v>0.167</v>
      </c>
      <c r="AR15" s="176" t="s">
        <v>913</v>
      </c>
      <c r="AS15" s="176">
        <v>0.0</v>
      </c>
      <c r="AT15" s="176" t="s">
        <v>913</v>
      </c>
      <c r="AU15" s="176">
        <v>1.0</v>
      </c>
      <c r="AV15" s="176">
        <v>0.0</v>
      </c>
      <c r="AW15" s="180" t="s">
        <v>2018</v>
      </c>
      <c r="AX15" s="5"/>
      <c r="AY15" s="417"/>
      <c r="BA15" s="81"/>
      <c r="BB15" s="81"/>
      <c r="BC15" s="81"/>
      <c r="BD15" s="81"/>
      <c r="BE15" s="81"/>
      <c r="BF15" s="81"/>
      <c r="BG15" s="81"/>
    </row>
    <row r="16">
      <c r="A16" s="176">
        <v>14.0</v>
      </c>
      <c r="B16" s="414" t="s">
        <v>55</v>
      </c>
      <c r="C16" s="287" t="s">
        <v>41</v>
      </c>
      <c r="D16" s="50"/>
      <c r="E16" s="291"/>
      <c r="F16" s="297"/>
      <c r="G16" s="292"/>
      <c r="H16" s="297"/>
      <c r="I16" s="292">
        <v>3.33</v>
      </c>
      <c r="J16" s="292">
        <v>0.17</v>
      </c>
      <c r="K16" s="297"/>
      <c r="L16" s="292">
        <v>0.5</v>
      </c>
      <c r="M16" s="297"/>
      <c r="N16" s="180">
        <v>1.0</v>
      </c>
      <c r="O16" s="180">
        <v>1.0</v>
      </c>
      <c r="P16" s="5"/>
      <c r="Q16" s="176">
        <f t="shared" ref="Q16:T16" si="34">round(J16/6,2)</f>
        <v>0.03</v>
      </c>
      <c r="R16" s="176">
        <f t="shared" si="34"/>
        <v>0</v>
      </c>
      <c r="S16" s="176">
        <f t="shared" si="34"/>
        <v>0.08</v>
      </c>
      <c r="T16" s="176">
        <f t="shared" si="34"/>
        <v>0</v>
      </c>
      <c r="U16" s="5"/>
      <c r="V16" s="176">
        <v>0.75</v>
      </c>
      <c r="W16" s="184"/>
      <c r="X16" s="176">
        <v>0.5</v>
      </c>
      <c r="Y16" s="184"/>
      <c r="Z16" s="176">
        <v>2.0</v>
      </c>
      <c r="AA16" s="176">
        <v>1.0</v>
      </c>
      <c r="AB16" s="5"/>
      <c r="AC16" s="184"/>
      <c r="AD16" s="184"/>
      <c r="AE16" s="184"/>
      <c r="AF16" s="184"/>
      <c r="AG16" s="184"/>
      <c r="AH16" s="184"/>
      <c r="AI16" s="5"/>
      <c r="AJ16" s="184">
        <f t="shared" ref="AJ16:AM16" si="35">ROUND(E16*(5/12)+J16*(5/12)+Q16+V16-AC16,2)</f>
        <v>0.85</v>
      </c>
      <c r="AK16" s="184">
        <f t="shared" si="35"/>
        <v>0</v>
      </c>
      <c r="AL16" s="184">
        <f t="shared" si="35"/>
        <v>0.79</v>
      </c>
      <c r="AM16" s="184">
        <f t="shared" si="35"/>
        <v>0</v>
      </c>
      <c r="AN16" s="184">
        <f t="shared" ref="AN16:AO16" si="36">N16+Z16-AG16</f>
        <v>3</v>
      </c>
      <c r="AO16" s="184">
        <f t="shared" si="36"/>
        <v>2</v>
      </c>
      <c r="AP16" s="5"/>
      <c r="AQ16" s="176">
        <v>0.0</v>
      </c>
      <c r="AR16" s="176" t="s">
        <v>913</v>
      </c>
      <c r="AS16" s="176">
        <v>0.0</v>
      </c>
      <c r="AT16" s="176" t="s">
        <v>913</v>
      </c>
      <c r="AU16" s="176">
        <v>0.0</v>
      </c>
      <c r="AV16" s="176">
        <v>0.0</v>
      </c>
      <c r="AW16" s="180" t="s">
        <v>2019</v>
      </c>
      <c r="AX16" s="5"/>
      <c r="AY16" s="413"/>
      <c r="BA16" s="81"/>
      <c r="BB16" s="81"/>
      <c r="BC16" s="81"/>
      <c r="BD16" s="81"/>
      <c r="BE16" s="81"/>
      <c r="BF16" s="81"/>
      <c r="BG16" s="81"/>
    </row>
    <row r="17">
      <c r="A17" s="176">
        <v>15.0</v>
      </c>
      <c r="B17" s="414" t="s">
        <v>2020</v>
      </c>
      <c r="C17" s="287" t="s">
        <v>41</v>
      </c>
      <c r="D17" s="50"/>
      <c r="E17" s="291"/>
      <c r="F17" s="297"/>
      <c r="G17" s="297"/>
      <c r="H17" s="292"/>
      <c r="I17" s="292">
        <v>4.0</v>
      </c>
      <c r="J17" s="292">
        <v>1.0</v>
      </c>
      <c r="K17" s="292"/>
      <c r="L17" s="292"/>
      <c r="M17" s="292"/>
      <c r="N17" s="180">
        <v>1.0</v>
      </c>
      <c r="O17" s="180">
        <v>1.0</v>
      </c>
      <c r="P17" s="5"/>
      <c r="Q17" s="176">
        <f t="shared" ref="Q17:T17" si="37">round(J17/6,2)</f>
        <v>0.17</v>
      </c>
      <c r="R17" s="176">
        <f t="shared" si="37"/>
        <v>0</v>
      </c>
      <c r="S17" s="176">
        <f t="shared" si="37"/>
        <v>0</v>
      </c>
      <c r="T17" s="176">
        <f t="shared" si="37"/>
        <v>0</v>
      </c>
      <c r="U17" s="5"/>
      <c r="V17" s="184"/>
      <c r="W17" s="184"/>
      <c r="X17" s="184"/>
      <c r="Y17" s="184"/>
      <c r="Z17" s="184"/>
      <c r="AA17" s="184"/>
      <c r="AB17" s="5"/>
      <c r="AC17" s="176">
        <v>0.5</v>
      </c>
      <c r="AD17" s="184"/>
      <c r="AE17" s="184"/>
      <c r="AF17" s="184"/>
      <c r="AG17" s="184"/>
      <c r="AH17" s="184"/>
      <c r="AI17" s="5"/>
      <c r="AJ17" s="184">
        <f t="shared" ref="AJ17:AM17" si="38">ROUND(E17*(5/12)+J17*(5/12)+Q17+V17-AC17,2)</f>
        <v>0.09</v>
      </c>
      <c r="AK17" s="184">
        <f t="shared" si="38"/>
        <v>0</v>
      </c>
      <c r="AL17" s="184">
        <f t="shared" si="38"/>
        <v>0</v>
      </c>
      <c r="AM17" s="184">
        <f t="shared" si="38"/>
        <v>0</v>
      </c>
      <c r="AN17" s="184">
        <f t="shared" ref="AN17:AO17" si="39">N17+Z17-AG17</f>
        <v>1</v>
      </c>
      <c r="AO17" s="184">
        <f t="shared" si="39"/>
        <v>1</v>
      </c>
      <c r="AP17" s="5"/>
      <c r="AQ17" s="176">
        <v>0.625</v>
      </c>
      <c r="AR17" s="176" t="s">
        <v>913</v>
      </c>
      <c r="AS17" s="176" t="s">
        <v>913</v>
      </c>
      <c r="AT17" s="176" t="s">
        <v>913</v>
      </c>
      <c r="AU17" s="176">
        <v>1.0</v>
      </c>
      <c r="AV17" s="176">
        <v>1.0</v>
      </c>
      <c r="AW17" s="180" t="s">
        <v>2021</v>
      </c>
      <c r="AX17" s="5"/>
      <c r="AY17" s="417"/>
      <c r="BA17" s="81"/>
      <c r="BB17" s="81"/>
      <c r="BC17" s="81"/>
      <c r="BD17" s="81"/>
      <c r="BE17" s="81"/>
      <c r="BF17" s="81"/>
      <c r="BG17" s="81"/>
    </row>
    <row r="18">
      <c r="A18" s="176">
        <v>16.0</v>
      </c>
      <c r="B18" s="414" t="s">
        <v>2022</v>
      </c>
      <c r="C18" s="287" t="s">
        <v>41</v>
      </c>
      <c r="D18" s="50"/>
      <c r="E18" s="291"/>
      <c r="F18" s="297"/>
      <c r="G18" s="297"/>
      <c r="H18" s="292"/>
      <c r="I18" s="292">
        <v>3.0</v>
      </c>
      <c r="J18" s="292">
        <v>0.5</v>
      </c>
      <c r="K18" s="292"/>
      <c r="L18" s="292"/>
      <c r="M18" s="292">
        <v>0.5</v>
      </c>
      <c r="N18" s="180">
        <v>1.0</v>
      </c>
      <c r="O18" s="180">
        <v>1.0</v>
      </c>
      <c r="P18" s="5"/>
      <c r="Q18" s="176">
        <f t="shared" ref="Q18:T18" si="40">round(J18/6,2)</f>
        <v>0.08</v>
      </c>
      <c r="R18" s="176">
        <f t="shared" si="40"/>
        <v>0</v>
      </c>
      <c r="S18" s="176">
        <f t="shared" si="40"/>
        <v>0</v>
      </c>
      <c r="T18" s="176">
        <f t="shared" si="40"/>
        <v>0.08</v>
      </c>
      <c r="U18" s="5"/>
      <c r="V18" s="184"/>
      <c r="W18" s="184"/>
      <c r="X18" s="184"/>
      <c r="Y18" s="184"/>
      <c r="Z18" s="184"/>
      <c r="AA18" s="184"/>
      <c r="AB18" s="5"/>
      <c r="AC18" s="184"/>
      <c r="AD18" s="184"/>
      <c r="AE18" s="184"/>
      <c r="AF18" s="184"/>
      <c r="AG18" s="184"/>
      <c r="AH18" s="184"/>
      <c r="AI18" s="5"/>
      <c r="AJ18" s="184">
        <f t="shared" ref="AJ18:AM18" si="41">ROUND(E18*(5/12)+J18*(5/12)+Q18+V18-AC18,2)</f>
        <v>0.29</v>
      </c>
      <c r="AK18" s="184">
        <f t="shared" si="41"/>
        <v>0</v>
      </c>
      <c r="AL18" s="184">
        <f t="shared" si="41"/>
        <v>0</v>
      </c>
      <c r="AM18" s="184">
        <f t="shared" si="41"/>
        <v>0.29</v>
      </c>
      <c r="AN18" s="184">
        <f t="shared" ref="AN18:AO18" si="42">N18+Z18-AG18</f>
        <v>1</v>
      </c>
      <c r="AO18" s="184">
        <f t="shared" si="42"/>
        <v>1</v>
      </c>
      <c r="AP18" s="5"/>
      <c r="AQ18" s="176">
        <v>0.0</v>
      </c>
      <c r="AR18" s="176" t="s">
        <v>913</v>
      </c>
      <c r="AS18" s="176" t="s">
        <v>913</v>
      </c>
      <c r="AT18" s="176">
        <v>0.0</v>
      </c>
      <c r="AU18" s="176">
        <v>1.0</v>
      </c>
      <c r="AV18" s="176">
        <v>1.0</v>
      </c>
      <c r="AW18" s="180" t="s">
        <v>2023</v>
      </c>
      <c r="AX18" s="5"/>
      <c r="AY18" s="417"/>
      <c r="BA18" s="81"/>
      <c r="BB18" s="81"/>
      <c r="BC18" s="81"/>
      <c r="BD18" s="81"/>
      <c r="BE18" s="81"/>
      <c r="BF18" s="81"/>
      <c r="BG18" s="81"/>
    </row>
    <row r="19">
      <c r="A19" s="176">
        <v>17.0</v>
      </c>
      <c r="B19" s="414" t="s">
        <v>1620</v>
      </c>
      <c r="C19" s="287" t="s">
        <v>41</v>
      </c>
      <c r="D19" s="50"/>
      <c r="E19" s="291"/>
      <c r="F19" s="297"/>
      <c r="G19" s="297"/>
      <c r="H19" s="297"/>
      <c r="I19" s="292">
        <v>3.0</v>
      </c>
      <c r="J19" s="292">
        <v>1.0</v>
      </c>
      <c r="K19" s="297"/>
      <c r="L19" s="297"/>
      <c r="M19" s="297"/>
      <c r="N19" s="180">
        <v>1.0</v>
      </c>
      <c r="O19" s="180">
        <v>1.0</v>
      </c>
      <c r="P19" s="5"/>
      <c r="Q19" s="176">
        <f t="shared" ref="Q19:T19" si="43">round(J19/6,2)</f>
        <v>0.17</v>
      </c>
      <c r="R19" s="176">
        <f t="shared" si="43"/>
        <v>0</v>
      </c>
      <c r="S19" s="176">
        <f t="shared" si="43"/>
        <v>0</v>
      </c>
      <c r="T19" s="176">
        <f t="shared" si="43"/>
        <v>0</v>
      </c>
      <c r="U19" s="5"/>
      <c r="V19" s="184"/>
      <c r="W19" s="184"/>
      <c r="X19" s="184"/>
      <c r="Y19" s="184"/>
      <c r="Z19" s="184"/>
      <c r="AA19" s="184"/>
      <c r="AB19" s="5"/>
      <c r="AC19" s="176">
        <v>0.125</v>
      </c>
      <c r="AD19" s="184"/>
      <c r="AE19" s="184"/>
      <c r="AF19" s="184"/>
      <c r="AG19" s="184"/>
      <c r="AH19" s="184"/>
      <c r="AI19" s="5"/>
      <c r="AJ19" s="184">
        <f t="shared" ref="AJ19:AM19" si="44">ROUND(E19*(5/12)+J19*(5/12)+Q19+V19-AC19,2)</f>
        <v>0.46</v>
      </c>
      <c r="AK19" s="184">
        <f t="shared" si="44"/>
        <v>0</v>
      </c>
      <c r="AL19" s="184">
        <f t="shared" si="44"/>
        <v>0</v>
      </c>
      <c r="AM19" s="184">
        <f t="shared" si="44"/>
        <v>0</v>
      </c>
      <c r="AN19" s="184">
        <f t="shared" ref="AN19:AO19" si="45">N19+Z19-AG19</f>
        <v>1</v>
      </c>
      <c r="AO19" s="184">
        <f t="shared" si="45"/>
        <v>1</v>
      </c>
      <c r="AP19" s="5"/>
      <c r="AQ19" s="176">
        <v>1.0</v>
      </c>
      <c r="AR19" s="176" t="s">
        <v>913</v>
      </c>
      <c r="AS19" s="176" t="s">
        <v>913</v>
      </c>
      <c r="AT19" s="176" t="s">
        <v>913</v>
      </c>
      <c r="AU19" s="176">
        <v>1.0</v>
      </c>
      <c r="AV19" s="176">
        <v>1.0</v>
      </c>
      <c r="AW19" s="180" t="s">
        <v>2024</v>
      </c>
      <c r="AX19" s="5"/>
      <c r="AY19" s="417"/>
      <c r="BA19" s="81"/>
      <c r="BB19" s="81"/>
      <c r="BC19" s="81"/>
      <c r="BD19" s="81"/>
      <c r="BE19" s="81"/>
      <c r="BF19" s="81"/>
      <c r="BG19" s="81"/>
    </row>
    <row r="20">
      <c r="A20" s="176">
        <v>18.0</v>
      </c>
      <c r="B20" s="414" t="s">
        <v>57</v>
      </c>
      <c r="C20" s="287" t="s">
        <v>41</v>
      </c>
      <c r="D20" s="50"/>
      <c r="E20" s="314"/>
      <c r="F20" s="297"/>
      <c r="G20" s="297"/>
      <c r="H20" s="297"/>
      <c r="I20" s="292">
        <v>4.0</v>
      </c>
      <c r="J20" s="297"/>
      <c r="K20" s="297"/>
      <c r="L20" s="297"/>
      <c r="M20" s="297"/>
      <c r="N20" s="180">
        <v>1.0</v>
      </c>
      <c r="O20" s="180">
        <v>1.0</v>
      </c>
      <c r="P20" s="5"/>
      <c r="Q20" s="176">
        <f t="shared" ref="Q20:T20" si="46">round(J20/6,2)</f>
        <v>0</v>
      </c>
      <c r="R20" s="176">
        <f t="shared" si="46"/>
        <v>0</v>
      </c>
      <c r="S20" s="176">
        <f t="shared" si="46"/>
        <v>0</v>
      </c>
      <c r="T20" s="176">
        <f t="shared" si="46"/>
        <v>0</v>
      </c>
      <c r="U20" s="5"/>
      <c r="V20" s="184"/>
      <c r="W20" s="184"/>
      <c r="X20" s="184"/>
      <c r="Y20" s="184"/>
      <c r="Z20" s="184"/>
      <c r="AA20" s="184"/>
      <c r="AB20" s="5"/>
      <c r="AC20" s="184"/>
      <c r="AD20" s="184"/>
      <c r="AE20" s="184"/>
      <c r="AF20" s="184"/>
      <c r="AG20" s="184"/>
      <c r="AH20" s="184"/>
      <c r="AI20" s="5"/>
      <c r="AJ20" s="184">
        <f t="shared" ref="AJ20:AM20" si="47">ROUND(E20*(5/12)+J20*(5/12)+Q20+V20-AC20,2)</f>
        <v>0</v>
      </c>
      <c r="AK20" s="184">
        <f t="shared" si="47"/>
        <v>0</v>
      </c>
      <c r="AL20" s="184">
        <f t="shared" si="47"/>
        <v>0</v>
      </c>
      <c r="AM20" s="184">
        <f t="shared" si="47"/>
        <v>0</v>
      </c>
      <c r="AN20" s="184">
        <f t="shared" ref="AN20:AO20" si="48">N20+Z20-AG20</f>
        <v>1</v>
      </c>
      <c r="AO20" s="184">
        <f t="shared" si="48"/>
        <v>1</v>
      </c>
      <c r="AP20" s="5"/>
      <c r="AQ20" s="176">
        <v>0.0</v>
      </c>
      <c r="AR20" s="176" t="s">
        <v>913</v>
      </c>
      <c r="AS20" s="176" t="s">
        <v>913</v>
      </c>
      <c r="AT20" s="176" t="s">
        <v>913</v>
      </c>
      <c r="AU20" s="176">
        <v>0.5</v>
      </c>
      <c r="AV20" s="176">
        <v>1.0</v>
      </c>
      <c r="AW20" s="180" t="s">
        <v>2025</v>
      </c>
      <c r="AX20" s="5"/>
      <c r="AY20" s="416"/>
      <c r="BA20" s="81"/>
      <c r="BB20" s="81"/>
      <c r="BC20" s="81"/>
      <c r="BD20" s="81"/>
      <c r="BE20" s="81"/>
      <c r="BF20" s="81"/>
      <c r="BG20" s="81"/>
    </row>
    <row r="21">
      <c r="A21" s="176">
        <v>20.0</v>
      </c>
      <c r="B21" s="414" t="s">
        <v>1623</v>
      </c>
      <c r="C21" s="287" t="s">
        <v>41</v>
      </c>
      <c r="D21" s="50"/>
      <c r="E21" s="291"/>
      <c r="F21" s="297"/>
      <c r="G21" s="297"/>
      <c r="H21" s="297"/>
      <c r="I21" s="292">
        <v>4.0</v>
      </c>
      <c r="J21" s="297"/>
      <c r="K21" s="297"/>
      <c r="L21" s="297"/>
      <c r="M21" s="297"/>
      <c r="N21" s="180">
        <v>1.0</v>
      </c>
      <c r="O21" s="180">
        <v>1.0</v>
      </c>
      <c r="P21" s="5"/>
      <c r="Q21" s="176">
        <f t="shared" ref="Q21:T21" si="49">round(J21/6,2)</f>
        <v>0</v>
      </c>
      <c r="R21" s="176">
        <f t="shared" si="49"/>
        <v>0</v>
      </c>
      <c r="S21" s="176">
        <f t="shared" si="49"/>
        <v>0</v>
      </c>
      <c r="T21" s="176">
        <f t="shared" si="49"/>
        <v>0</v>
      </c>
      <c r="U21" s="5"/>
      <c r="V21" s="184"/>
      <c r="W21" s="184"/>
      <c r="X21" s="184"/>
      <c r="Y21" s="184"/>
      <c r="Z21" s="184"/>
      <c r="AA21" s="184"/>
      <c r="AB21" s="5"/>
      <c r="AC21" s="184"/>
      <c r="AD21" s="184"/>
      <c r="AE21" s="184"/>
      <c r="AF21" s="184"/>
      <c r="AG21" s="184"/>
      <c r="AH21" s="301"/>
      <c r="AI21" s="5"/>
      <c r="AJ21" s="184">
        <f t="shared" ref="AJ21:AJ38" si="53">ROUND(E21*(5/12)+J21*(5/12)+Q21+V21-AC21,2)</f>
        <v>0</v>
      </c>
      <c r="AK21" s="184">
        <f t="shared" ref="AK21:AM21" si="50">ROUND(F21*(5/12)+K21*(5/12)+R21+W21-BB21,2)</f>
        <v>0</v>
      </c>
      <c r="AL21" s="184">
        <f t="shared" si="50"/>
        <v>0</v>
      </c>
      <c r="AM21" s="184">
        <f t="shared" si="50"/>
        <v>0</v>
      </c>
      <c r="AN21" s="184">
        <f t="shared" ref="AN21:AO21" si="51">N21+Z21-AG21</f>
        <v>1</v>
      </c>
      <c r="AO21" s="184">
        <f t="shared" si="51"/>
        <v>1</v>
      </c>
      <c r="AP21" s="5"/>
      <c r="AQ21" s="176">
        <v>0.5</v>
      </c>
      <c r="AR21" s="176" t="s">
        <v>913</v>
      </c>
      <c r="AS21" s="176" t="s">
        <v>913</v>
      </c>
      <c r="AT21" s="176" t="s">
        <v>913</v>
      </c>
      <c r="AU21" s="176">
        <v>1.0</v>
      </c>
      <c r="AV21" s="176">
        <v>1.0</v>
      </c>
      <c r="AW21" s="191" t="s">
        <v>2026</v>
      </c>
      <c r="AX21" s="5"/>
      <c r="AY21" s="416"/>
      <c r="BA21" s="419">
        <v>0.42</v>
      </c>
      <c r="BB21" s="420"/>
      <c r="BC21" s="420"/>
      <c r="BD21" s="420"/>
      <c r="BE21" s="419">
        <v>0.67</v>
      </c>
      <c r="BF21" s="421"/>
      <c r="BG21" s="422" t="s">
        <v>1683</v>
      </c>
    </row>
    <row r="22">
      <c r="A22" s="176">
        <v>22.0</v>
      </c>
      <c r="B22" s="414" t="s">
        <v>58</v>
      </c>
      <c r="C22" s="287" t="s">
        <v>41</v>
      </c>
      <c r="D22" s="50"/>
      <c r="E22" s="291"/>
      <c r="F22" s="297"/>
      <c r="G22" s="297"/>
      <c r="H22" s="297"/>
      <c r="I22" s="292">
        <v>4.0</v>
      </c>
      <c r="J22" s="297"/>
      <c r="K22" s="297"/>
      <c r="L22" s="297"/>
      <c r="M22" s="297"/>
      <c r="N22" s="180">
        <v>1.0</v>
      </c>
      <c r="O22" s="180">
        <v>1.0</v>
      </c>
      <c r="P22" s="5"/>
      <c r="Q22" s="176">
        <f t="shared" ref="Q22:T22" si="52">round(J22/6,2)</f>
        <v>0</v>
      </c>
      <c r="R22" s="176">
        <f t="shared" si="52"/>
        <v>0</v>
      </c>
      <c r="S22" s="176">
        <f t="shared" si="52"/>
        <v>0</v>
      </c>
      <c r="T22" s="176">
        <f t="shared" si="52"/>
        <v>0</v>
      </c>
      <c r="U22" s="5"/>
      <c r="V22" s="184"/>
      <c r="W22" s="184"/>
      <c r="X22" s="184"/>
      <c r="Y22" s="184"/>
      <c r="Z22" s="184"/>
      <c r="AA22" s="184"/>
      <c r="AB22" s="5"/>
      <c r="AC22" s="176">
        <v>0.125</v>
      </c>
      <c r="AD22" s="184"/>
      <c r="AE22" s="184"/>
      <c r="AF22" s="184"/>
      <c r="AG22" s="184"/>
      <c r="AH22" s="184"/>
      <c r="AI22" s="5"/>
      <c r="AJ22" s="184">
        <f t="shared" si="53"/>
        <v>-0.13</v>
      </c>
      <c r="AK22" s="184">
        <f t="shared" ref="AK22:AM22" si="54">ROUND(F22*(5/12)+K22*(5/12)+R22+W22-AD22,2)</f>
        <v>0</v>
      </c>
      <c r="AL22" s="184">
        <f t="shared" si="54"/>
        <v>0</v>
      </c>
      <c r="AM22" s="184">
        <f t="shared" si="54"/>
        <v>0</v>
      </c>
      <c r="AN22" s="184">
        <f t="shared" ref="AN22:AO22" si="55">N22+Z22-AG22</f>
        <v>1</v>
      </c>
      <c r="AO22" s="184">
        <f t="shared" si="55"/>
        <v>1</v>
      </c>
      <c r="AP22" s="5"/>
      <c r="AQ22" s="176">
        <v>0.0</v>
      </c>
      <c r="AR22" s="176" t="s">
        <v>913</v>
      </c>
      <c r="AS22" s="176" t="s">
        <v>913</v>
      </c>
      <c r="AT22" s="176" t="s">
        <v>913</v>
      </c>
      <c r="AU22" s="176">
        <v>1.0</v>
      </c>
      <c r="AV22" s="176">
        <v>1.0</v>
      </c>
      <c r="AW22" s="180" t="s">
        <v>2027</v>
      </c>
      <c r="AX22" s="5"/>
      <c r="AY22" s="417"/>
      <c r="BA22" s="81"/>
      <c r="BB22" s="81"/>
      <c r="BC22" s="81"/>
      <c r="BD22" s="81"/>
      <c r="BE22" s="81"/>
      <c r="BF22" s="81"/>
      <c r="BG22" s="81"/>
    </row>
    <row r="23">
      <c r="A23" s="176">
        <v>23.0</v>
      </c>
      <c r="B23" s="414" t="s">
        <v>59</v>
      </c>
      <c r="C23" s="287" t="s">
        <v>41</v>
      </c>
      <c r="D23" s="50"/>
      <c r="E23" s="291"/>
      <c r="F23" s="297"/>
      <c r="G23" s="297"/>
      <c r="H23" s="297"/>
      <c r="I23" s="292">
        <v>4.0</v>
      </c>
      <c r="J23" s="297"/>
      <c r="K23" s="297"/>
      <c r="L23" s="297"/>
      <c r="M23" s="297"/>
      <c r="N23" s="180">
        <v>1.0</v>
      </c>
      <c r="O23" s="180">
        <v>1.0</v>
      </c>
      <c r="P23" s="5"/>
      <c r="Q23" s="176">
        <f t="shared" ref="Q23:T23" si="56">round(J23/6,2)</f>
        <v>0</v>
      </c>
      <c r="R23" s="176">
        <f t="shared" si="56"/>
        <v>0</v>
      </c>
      <c r="S23" s="176">
        <f t="shared" si="56"/>
        <v>0</v>
      </c>
      <c r="T23" s="176">
        <f t="shared" si="56"/>
        <v>0</v>
      </c>
      <c r="U23" s="5"/>
      <c r="V23" s="184"/>
      <c r="W23" s="184"/>
      <c r="X23" s="184"/>
      <c r="Y23" s="184"/>
      <c r="Z23" s="184"/>
      <c r="AA23" s="184"/>
      <c r="AB23" s="5"/>
      <c r="AC23" s="184"/>
      <c r="AD23" s="184"/>
      <c r="AE23" s="184"/>
      <c r="AF23" s="184"/>
      <c r="AG23" s="184"/>
      <c r="AH23" s="184"/>
      <c r="AI23" s="5"/>
      <c r="AJ23" s="184">
        <f t="shared" si="53"/>
        <v>0</v>
      </c>
      <c r="AK23" s="184">
        <f t="shared" ref="AK23:AM23" si="57">ROUND(F23*(5/12)+K23*(5/12)+R23+W23-AD23,2)</f>
        <v>0</v>
      </c>
      <c r="AL23" s="184">
        <f t="shared" si="57"/>
        <v>0</v>
      </c>
      <c r="AM23" s="184">
        <f t="shared" si="57"/>
        <v>0</v>
      </c>
      <c r="AN23" s="184">
        <f t="shared" ref="AN23:AO23" si="58">N23+Z23-AG23</f>
        <v>1</v>
      </c>
      <c r="AO23" s="184">
        <f t="shared" si="58"/>
        <v>1</v>
      </c>
      <c r="AP23" s="5"/>
      <c r="AQ23" s="176">
        <v>0.0</v>
      </c>
      <c r="AR23" s="176" t="s">
        <v>913</v>
      </c>
      <c r="AS23" s="176" t="s">
        <v>913</v>
      </c>
      <c r="AT23" s="176" t="s">
        <v>913</v>
      </c>
      <c r="AU23" s="176">
        <v>1.0</v>
      </c>
      <c r="AV23" s="176">
        <v>1.0</v>
      </c>
      <c r="AW23" s="180" t="s">
        <v>2028</v>
      </c>
      <c r="AX23" s="5"/>
      <c r="AY23" s="418"/>
      <c r="BA23" s="81"/>
      <c r="BB23" s="81"/>
      <c r="BC23" s="81"/>
      <c r="BD23" s="81"/>
      <c r="BE23" s="81"/>
      <c r="BF23" s="81"/>
      <c r="BG23" s="81"/>
    </row>
    <row r="24">
      <c r="A24" s="176">
        <v>24.0</v>
      </c>
      <c r="B24" s="414" t="s">
        <v>60</v>
      </c>
      <c r="C24" s="287" t="s">
        <v>41</v>
      </c>
      <c r="D24" s="50"/>
      <c r="E24" s="291"/>
      <c r="F24" s="297"/>
      <c r="G24" s="297"/>
      <c r="H24" s="297"/>
      <c r="I24" s="292">
        <v>4.0</v>
      </c>
      <c r="J24" s="297"/>
      <c r="K24" s="297"/>
      <c r="L24" s="297"/>
      <c r="M24" s="297"/>
      <c r="N24" s="180">
        <v>1.0</v>
      </c>
      <c r="O24" s="180">
        <v>1.0</v>
      </c>
      <c r="P24" s="5"/>
      <c r="Q24" s="176">
        <f t="shared" ref="Q24:T24" si="59">round(J24/6,2)</f>
        <v>0</v>
      </c>
      <c r="R24" s="176">
        <f t="shared" si="59"/>
        <v>0</v>
      </c>
      <c r="S24" s="176">
        <f t="shared" si="59"/>
        <v>0</v>
      </c>
      <c r="T24" s="176">
        <f t="shared" si="59"/>
        <v>0</v>
      </c>
      <c r="U24" s="5"/>
      <c r="V24" s="184"/>
      <c r="W24" s="184"/>
      <c r="X24" s="184"/>
      <c r="Y24" s="184"/>
      <c r="Z24" s="184"/>
      <c r="AA24" s="184"/>
      <c r="AB24" s="5"/>
      <c r="AC24" s="184"/>
      <c r="AD24" s="184"/>
      <c r="AE24" s="184"/>
      <c r="AF24" s="184"/>
      <c r="AG24" s="184"/>
      <c r="AH24" s="184"/>
      <c r="AI24" s="5"/>
      <c r="AJ24" s="184">
        <f t="shared" si="53"/>
        <v>0</v>
      </c>
      <c r="AK24" s="184">
        <f t="shared" ref="AK24:AM24" si="60">ROUND(F24*(5/12)+K24*(5/12)+R24+W24-AD24,2)</f>
        <v>0</v>
      </c>
      <c r="AL24" s="184">
        <f t="shared" si="60"/>
        <v>0</v>
      </c>
      <c r="AM24" s="184">
        <f t="shared" si="60"/>
        <v>0</v>
      </c>
      <c r="AN24" s="184">
        <f t="shared" ref="AN24:AO24" si="61">N24+Z24-AG24</f>
        <v>1</v>
      </c>
      <c r="AO24" s="184">
        <f t="shared" si="61"/>
        <v>1</v>
      </c>
      <c r="AP24" s="5"/>
      <c r="AQ24" s="176">
        <v>0.2</v>
      </c>
      <c r="AR24" s="176" t="s">
        <v>913</v>
      </c>
      <c r="AS24" s="176" t="s">
        <v>913</v>
      </c>
      <c r="AT24" s="176" t="s">
        <v>913</v>
      </c>
      <c r="AU24" s="176">
        <v>1.0</v>
      </c>
      <c r="AV24" s="176">
        <v>1.0</v>
      </c>
      <c r="AW24" s="95" t="s">
        <v>2029</v>
      </c>
      <c r="AX24" s="5"/>
      <c r="AY24" s="417"/>
      <c r="BA24" s="81"/>
      <c r="BB24" s="81"/>
      <c r="BC24" s="81"/>
      <c r="BD24" s="81"/>
      <c r="BE24" s="81"/>
      <c r="BF24" s="81"/>
      <c r="BG24" s="81"/>
    </row>
    <row r="25">
      <c r="A25" s="176">
        <v>25.0</v>
      </c>
      <c r="B25" s="414" t="s">
        <v>61</v>
      </c>
      <c r="C25" s="287" t="s">
        <v>41</v>
      </c>
      <c r="D25" s="50"/>
      <c r="E25" s="291"/>
      <c r="F25" s="297"/>
      <c r="G25" s="297"/>
      <c r="H25" s="297"/>
      <c r="I25" s="292">
        <v>3.0</v>
      </c>
      <c r="J25" s="292">
        <v>2.0</v>
      </c>
      <c r="K25" s="297"/>
      <c r="L25" s="297"/>
      <c r="M25" s="297"/>
      <c r="N25" s="180">
        <v>1.0</v>
      </c>
      <c r="O25" s="180">
        <v>1.0</v>
      </c>
      <c r="P25" s="5"/>
      <c r="Q25" s="176">
        <f t="shared" ref="Q25:T25" si="62">round(J25/6,2)</f>
        <v>0.33</v>
      </c>
      <c r="R25" s="176">
        <f t="shared" si="62"/>
        <v>0</v>
      </c>
      <c r="S25" s="176">
        <f t="shared" si="62"/>
        <v>0</v>
      </c>
      <c r="T25" s="176">
        <f t="shared" si="62"/>
        <v>0</v>
      </c>
      <c r="U25" s="5"/>
      <c r="V25" s="184"/>
      <c r="W25" s="184"/>
      <c r="X25" s="184"/>
      <c r="Y25" s="184"/>
      <c r="Z25" s="184"/>
      <c r="AA25" s="184"/>
      <c r="AB25" s="5"/>
      <c r="AC25" s="184"/>
      <c r="AD25" s="184"/>
      <c r="AE25" s="184"/>
      <c r="AF25" s="184"/>
      <c r="AG25" s="184"/>
      <c r="AH25" s="184"/>
      <c r="AI25" s="5"/>
      <c r="AJ25" s="184">
        <f t="shared" si="53"/>
        <v>1.16</v>
      </c>
      <c r="AK25" s="184">
        <f t="shared" ref="AK25:AM25" si="63">ROUND(F25*(5/12)+K25*(5/12)+R25+W25-AD25,2)</f>
        <v>0</v>
      </c>
      <c r="AL25" s="184">
        <f t="shared" si="63"/>
        <v>0</v>
      </c>
      <c r="AM25" s="184">
        <f t="shared" si="63"/>
        <v>0</v>
      </c>
      <c r="AN25" s="184">
        <f t="shared" ref="AN25:AO25" si="64">N25+Z25-AG25</f>
        <v>1</v>
      </c>
      <c r="AO25" s="184">
        <f t="shared" si="64"/>
        <v>1</v>
      </c>
      <c r="AP25" s="5"/>
      <c r="AQ25" s="176">
        <v>1.5</v>
      </c>
      <c r="AR25" s="176" t="s">
        <v>913</v>
      </c>
      <c r="AS25" s="176" t="s">
        <v>913</v>
      </c>
      <c r="AT25" s="176" t="s">
        <v>913</v>
      </c>
      <c r="AU25" s="176">
        <v>1.0</v>
      </c>
      <c r="AV25" s="176">
        <v>1.0</v>
      </c>
      <c r="AW25" s="95" t="s">
        <v>2030</v>
      </c>
      <c r="AX25" s="5"/>
      <c r="AY25" s="417"/>
      <c r="BA25" s="81"/>
      <c r="BB25" s="81"/>
      <c r="BC25" s="81"/>
      <c r="BD25" s="81"/>
      <c r="BE25" s="81"/>
      <c r="BF25" s="81"/>
      <c r="BG25" s="81"/>
    </row>
    <row r="26">
      <c r="A26" s="176">
        <v>26.0</v>
      </c>
      <c r="B26" s="414" t="s">
        <v>62</v>
      </c>
      <c r="C26" s="287" t="s">
        <v>41</v>
      </c>
      <c r="D26" s="50"/>
      <c r="E26" s="291"/>
      <c r="F26" s="297"/>
      <c r="G26" s="297"/>
      <c r="H26" s="292"/>
      <c r="I26" s="292">
        <v>2.33</v>
      </c>
      <c r="J26" s="292">
        <v>1.17</v>
      </c>
      <c r="K26" s="292"/>
      <c r="L26" s="292"/>
      <c r="M26" s="292">
        <v>0.5</v>
      </c>
      <c r="N26" s="180">
        <v>1.0</v>
      </c>
      <c r="O26" s="180">
        <v>1.0</v>
      </c>
      <c r="P26" s="5"/>
      <c r="Q26" s="176">
        <f t="shared" ref="Q26:T26" si="65">round(J26/6,2)</f>
        <v>0.2</v>
      </c>
      <c r="R26" s="176">
        <f t="shared" si="65"/>
        <v>0</v>
      </c>
      <c r="S26" s="176">
        <f t="shared" si="65"/>
        <v>0</v>
      </c>
      <c r="T26" s="176">
        <f t="shared" si="65"/>
        <v>0.08</v>
      </c>
      <c r="U26" s="5"/>
      <c r="V26" s="184"/>
      <c r="W26" s="184"/>
      <c r="X26" s="184"/>
      <c r="Y26" s="184"/>
      <c r="Z26" s="184"/>
      <c r="AA26" s="184"/>
      <c r="AB26" s="5"/>
      <c r="AC26" s="184"/>
      <c r="AD26" s="184"/>
      <c r="AE26" s="184"/>
      <c r="AF26" s="184"/>
      <c r="AG26" s="184"/>
      <c r="AH26" s="184"/>
      <c r="AI26" s="5"/>
      <c r="AJ26" s="184">
        <f t="shared" si="53"/>
        <v>0.69</v>
      </c>
      <c r="AK26" s="184">
        <f t="shared" ref="AK26:AM26" si="66">ROUND(F26*(5/12)+K26*(5/12)+R26+W26-AD26,2)</f>
        <v>0</v>
      </c>
      <c r="AL26" s="184">
        <f t="shared" si="66"/>
        <v>0</v>
      </c>
      <c r="AM26" s="184">
        <f t="shared" si="66"/>
        <v>0.29</v>
      </c>
      <c r="AN26" s="184">
        <f t="shared" ref="AN26:AO26" si="67">N26+Z26-AG26</f>
        <v>1</v>
      </c>
      <c r="AO26" s="184">
        <f t="shared" si="67"/>
        <v>1</v>
      </c>
      <c r="AP26" s="5"/>
      <c r="AQ26" s="176">
        <v>0.167</v>
      </c>
      <c r="AR26" s="176" t="s">
        <v>913</v>
      </c>
      <c r="AS26" s="176">
        <v>0.0</v>
      </c>
      <c r="AT26" s="176">
        <v>0.0</v>
      </c>
      <c r="AU26" s="176">
        <v>1.0</v>
      </c>
      <c r="AV26" s="176">
        <v>1.0</v>
      </c>
      <c r="AW26" s="180" t="s">
        <v>2031</v>
      </c>
      <c r="AX26" s="5"/>
      <c r="AY26" s="418"/>
      <c r="BA26" s="81"/>
      <c r="BB26" s="81"/>
      <c r="BC26" s="81"/>
      <c r="BD26" s="81"/>
      <c r="BE26" s="81"/>
      <c r="BF26" s="81"/>
      <c r="BG26" s="81"/>
    </row>
    <row r="27">
      <c r="A27" s="176">
        <v>27.0</v>
      </c>
      <c r="B27" s="414" t="s">
        <v>64</v>
      </c>
      <c r="C27" s="287" t="s">
        <v>41</v>
      </c>
      <c r="D27" s="50"/>
      <c r="E27" s="291"/>
      <c r="F27" s="297"/>
      <c r="G27" s="297"/>
      <c r="H27" s="292"/>
      <c r="I27" s="292">
        <v>3.0</v>
      </c>
      <c r="J27" s="292">
        <v>0.5</v>
      </c>
      <c r="K27" s="292"/>
      <c r="L27" s="292"/>
      <c r="M27" s="292">
        <v>0.5</v>
      </c>
      <c r="N27" s="180">
        <v>1.0</v>
      </c>
      <c r="O27" s="180">
        <v>1.0</v>
      </c>
      <c r="P27" s="5"/>
      <c r="Q27" s="176">
        <f t="shared" ref="Q27:T27" si="68">round(J27/6,2)</f>
        <v>0.08</v>
      </c>
      <c r="R27" s="176">
        <f t="shared" si="68"/>
        <v>0</v>
      </c>
      <c r="S27" s="176">
        <f t="shared" si="68"/>
        <v>0</v>
      </c>
      <c r="T27" s="176">
        <f t="shared" si="68"/>
        <v>0.08</v>
      </c>
      <c r="U27" s="5"/>
      <c r="V27" s="184"/>
      <c r="W27" s="184"/>
      <c r="X27" s="184"/>
      <c r="Y27" s="184"/>
      <c r="Z27" s="184"/>
      <c r="AA27" s="184"/>
      <c r="AB27" s="5"/>
      <c r="AC27" s="184"/>
      <c r="AD27" s="184"/>
      <c r="AE27" s="184"/>
      <c r="AF27" s="184"/>
      <c r="AG27" s="184"/>
      <c r="AH27" s="184"/>
      <c r="AI27" s="5"/>
      <c r="AJ27" s="184">
        <f t="shared" si="53"/>
        <v>0.29</v>
      </c>
      <c r="AK27" s="184">
        <f t="shared" ref="AK27:AM27" si="69">ROUND(F27*(5/12)+K27*(5/12)+R27+W27-AD27,2)</f>
        <v>0</v>
      </c>
      <c r="AL27" s="184">
        <f t="shared" si="69"/>
        <v>0</v>
      </c>
      <c r="AM27" s="184">
        <f t="shared" si="69"/>
        <v>0.29</v>
      </c>
      <c r="AN27" s="184">
        <f t="shared" ref="AN27:AO27" si="70">N27+Z27-AG27</f>
        <v>1</v>
      </c>
      <c r="AO27" s="184">
        <f t="shared" si="70"/>
        <v>1</v>
      </c>
      <c r="AP27" s="5"/>
      <c r="AQ27" s="176">
        <v>1.0</v>
      </c>
      <c r="AR27" s="176" t="s">
        <v>913</v>
      </c>
      <c r="AS27" s="176" t="s">
        <v>913</v>
      </c>
      <c r="AT27" s="176">
        <v>0.66</v>
      </c>
      <c r="AU27" s="176">
        <v>1.0</v>
      </c>
      <c r="AV27" s="176">
        <v>1.0</v>
      </c>
      <c r="AW27" s="95" t="s">
        <v>2032</v>
      </c>
      <c r="AX27" s="5"/>
      <c r="AY27" s="416"/>
      <c r="BA27" s="81"/>
      <c r="BB27" s="81"/>
      <c r="BC27" s="81"/>
      <c r="BD27" s="81"/>
      <c r="BE27" s="81"/>
      <c r="BF27" s="81"/>
      <c r="BG27" s="81"/>
    </row>
    <row r="28">
      <c r="A28" s="176">
        <v>28.0</v>
      </c>
      <c r="B28" s="414" t="s">
        <v>1632</v>
      </c>
      <c r="C28" s="287" t="s">
        <v>41</v>
      </c>
      <c r="D28" s="50"/>
      <c r="E28" s="291"/>
      <c r="F28" s="297"/>
      <c r="G28" s="297"/>
      <c r="H28" s="297"/>
      <c r="I28" s="292">
        <v>3.0</v>
      </c>
      <c r="J28" s="292">
        <v>1.0</v>
      </c>
      <c r="K28" s="297"/>
      <c r="L28" s="297"/>
      <c r="M28" s="297"/>
      <c r="N28" s="180">
        <v>1.0</v>
      </c>
      <c r="O28" s="180">
        <v>1.0</v>
      </c>
      <c r="P28" s="5"/>
      <c r="Q28" s="176">
        <f t="shared" ref="Q28:T28" si="71">round(J28/6,2)</f>
        <v>0.17</v>
      </c>
      <c r="R28" s="176">
        <f t="shared" si="71"/>
        <v>0</v>
      </c>
      <c r="S28" s="176">
        <f t="shared" si="71"/>
        <v>0</v>
      </c>
      <c r="T28" s="176">
        <f t="shared" si="71"/>
        <v>0</v>
      </c>
      <c r="U28" s="5"/>
      <c r="V28" s="184"/>
      <c r="W28" s="184"/>
      <c r="X28" s="184"/>
      <c r="Y28" s="184"/>
      <c r="Z28" s="184"/>
      <c r="AA28" s="184"/>
      <c r="AB28" s="5"/>
      <c r="AC28" s="184"/>
      <c r="AD28" s="184"/>
      <c r="AE28" s="184"/>
      <c r="AF28" s="184"/>
      <c r="AG28" s="184"/>
      <c r="AH28" s="184"/>
      <c r="AI28" s="5"/>
      <c r="AJ28" s="184">
        <f t="shared" si="53"/>
        <v>0.59</v>
      </c>
      <c r="AK28" s="184">
        <f t="shared" ref="AK28:AM28" si="72">ROUND(F28*(5/12)+K28*(5/12)+R28+W28-AD28,2)</f>
        <v>0</v>
      </c>
      <c r="AL28" s="184">
        <f t="shared" si="72"/>
        <v>0</v>
      </c>
      <c r="AM28" s="184">
        <f t="shared" si="72"/>
        <v>0</v>
      </c>
      <c r="AN28" s="184">
        <f t="shared" ref="AN28:AO28" si="73">N28+Z28-AG28</f>
        <v>1</v>
      </c>
      <c r="AO28" s="184">
        <f t="shared" si="73"/>
        <v>1</v>
      </c>
      <c r="AP28" s="5"/>
      <c r="AQ28" s="176">
        <v>0.77</v>
      </c>
      <c r="AR28" s="176" t="s">
        <v>913</v>
      </c>
      <c r="AS28" s="176" t="s">
        <v>913</v>
      </c>
      <c r="AT28" s="176" t="s">
        <v>913</v>
      </c>
      <c r="AU28" s="176">
        <v>1.0</v>
      </c>
      <c r="AV28" s="176">
        <v>1.0</v>
      </c>
      <c r="AW28" s="180" t="s">
        <v>2033</v>
      </c>
      <c r="AX28" s="5"/>
      <c r="AY28" s="416"/>
      <c r="BA28" s="81"/>
      <c r="BB28" s="81"/>
      <c r="BC28" s="81"/>
      <c r="BD28" s="81"/>
      <c r="BE28" s="81"/>
      <c r="BF28" s="81"/>
      <c r="BG28" s="81"/>
    </row>
    <row r="29">
      <c r="A29" s="176">
        <v>29.0</v>
      </c>
      <c r="B29" s="423" t="s">
        <v>65</v>
      </c>
      <c r="C29" s="287" t="s">
        <v>41</v>
      </c>
      <c r="D29" s="50"/>
      <c r="E29" s="291"/>
      <c r="F29" s="297"/>
      <c r="G29" s="297"/>
      <c r="H29" s="297"/>
      <c r="I29" s="292">
        <v>4.0</v>
      </c>
      <c r="J29" s="297"/>
      <c r="K29" s="297"/>
      <c r="L29" s="297"/>
      <c r="M29" s="297"/>
      <c r="N29" s="180">
        <v>1.0</v>
      </c>
      <c r="O29" s="180">
        <v>1.0</v>
      </c>
      <c r="P29" s="5"/>
      <c r="Q29" s="176">
        <f t="shared" ref="Q29:T29" si="74">round(J29/6,2)</f>
        <v>0</v>
      </c>
      <c r="R29" s="176">
        <f t="shared" si="74"/>
        <v>0</v>
      </c>
      <c r="S29" s="176">
        <f t="shared" si="74"/>
        <v>0</v>
      </c>
      <c r="T29" s="176">
        <f t="shared" si="74"/>
        <v>0</v>
      </c>
      <c r="U29" s="5"/>
      <c r="V29" s="184"/>
      <c r="W29" s="184"/>
      <c r="X29" s="184"/>
      <c r="Y29" s="184"/>
      <c r="Z29" s="184"/>
      <c r="AA29" s="184"/>
      <c r="AB29" s="5"/>
      <c r="AC29" s="176">
        <v>0.125</v>
      </c>
      <c r="AD29" s="184"/>
      <c r="AE29" s="184"/>
      <c r="AF29" s="184"/>
      <c r="AG29" s="184"/>
      <c r="AH29" s="184"/>
      <c r="AI29" s="5"/>
      <c r="AJ29" s="184">
        <f t="shared" si="53"/>
        <v>-0.13</v>
      </c>
      <c r="AK29" s="184">
        <f t="shared" ref="AK29:AM29" si="75">ROUND(F29*(5/12)+K29*(5/12)+R29+W29-AD29,2)</f>
        <v>0</v>
      </c>
      <c r="AL29" s="184">
        <f t="shared" si="75"/>
        <v>0</v>
      </c>
      <c r="AM29" s="184">
        <f t="shared" si="75"/>
        <v>0</v>
      </c>
      <c r="AN29" s="184">
        <f t="shared" ref="AN29:AO29" si="76">N29+Z29-AG29</f>
        <v>1</v>
      </c>
      <c r="AO29" s="184">
        <f t="shared" si="76"/>
        <v>1</v>
      </c>
      <c r="AP29" s="5"/>
      <c r="AQ29" s="176">
        <v>0.0</v>
      </c>
      <c r="AR29" s="176" t="s">
        <v>913</v>
      </c>
      <c r="AS29" s="176" t="s">
        <v>913</v>
      </c>
      <c r="AT29" s="176" t="s">
        <v>913</v>
      </c>
      <c r="AU29" s="176">
        <v>1.0</v>
      </c>
      <c r="AV29" s="176">
        <v>1.0</v>
      </c>
      <c r="AW29" s="424" t="s">
        <v>2034</v>
      </c>
      <c r="AX29" s="5"/>
      <c r="AY29" s="417"/>
      <c r="BA29" s="81"/>
      <c r="BB29" s="81"/>
      <c r="BC29" s="81"/>
      <c r="BD29" s="81"/>
      <c r="BE29" s="81"/>
      <c r="BF29" s="81"/>
      <c r="BG29" s="81"/>
    </row>
    <row r="30">
      <c r="A30" s="176">
        <v>30.0</v>
      </c>
      <c r="B30" s="423" t="s">
        <v>66</v>
      </c>
      <c r="C30" s="287" t="s">
        <v>41</v>
      </c>
      <c r="D30" s="50"/>
      <c r="E30" s="291"/>
      <c r="F30" s="297"/>
      <c r="G30" s="297"/>
      <c r="H30" s="297"/>
      <c r="I30" s="292">
        <v>4.0</v>
      </c>
      <c r="J30" s="292">
        <v>1.0</v>
      </c>
      <c r="K30" s="297"/>
      <c r="L30" s="297"/>
      <c r="M30" s="297"/>
      <c r="N30" s="180">
        <v>1.0</v>
      </c>
      <c r="O30" s="180">
        <v>1.0</v>
      </c>
      <c r="P30" s="5"/>
      <c r="Q30" s="176">
        <f t="shared" ref="Q30:T30" si="77">round(J30/6,2)</f>
        <v>0.17</v>
      </c>
      <c r="R30" s="176">
        <f t="shared" si="77"/>
        <v>0</v>
      </c>
      <c r="S30" s="176">
        <f t="shared" si="77"/>
        <v>0</v>
      </c>
      <c r="T30" s="176">
        <f t="shared" si="77"/>
        <v>0</v>
      </c>
      <c r="U30" s="5"/>
      <c r="V30" s="176">
        <v>0.625</v>
      </c>
      <c r="W30" s="184"/>
      <c r="X30" s="184"/>
      <c r="Y30" s="184"/>
      <c r="Z30" s="176">
        <v>1.0</v>
      </c>
      <c r="AA30" s="184"/>
      <c r="AB30" s="5"/>
      <c r="AC30" s="184"/>
      <c r="AD30" s="184"/>
      <c r="AE30" s="184"/>
      <c r="AF30" s="184"/>
      <c r="AG30" s="184"/>
      <c r="AH30" s="184"/>
      <c r="AI30" s="5"/>
      <c r="AJ30" s="184">
        <f t="shared" si="53"/>
        <v>1.21</v>
      </c>
      <c r="AK30" s="184">
        <f t="shared" ref="AK30:AM30" si="78">ROUND(F30*(5/12)+K30*(5/12)+R30+W30-AD30,2)</f>
        <v>0</v>
      </c>
      <c r="AL30" s="184">
        <f t="shared" si="78"/>
        <v>0</v>
      </c>
      <c r="AM30" s="184">
        <f t="shared" si="78"/>
        <v>0</v>
      </c>
      <c r="AN30" s="184">
        <f t="shared" ref="AN30:AO30" si="79">N30+Z30-AG30</f>
        <v>2</v>
      </c>
      <c r="AO30" s="184">
        <f t="shared" si="79"/>
        <v>1</v>
      </c>
      <c r="AP30" s="5"/>
      <c r="AQ30" s="176">
        <v>1.25</v>
      </c>
      <c r="AR30" s="176" t="s">
        <v>913</v>
      </c>
      <c r="AS30" s="176">
        <v>0.0</v>
      </c>
      <c r="AT30" s="176" t="s">
        <v>913</v>
      </c>
      <c r="AU30" s="176">
        <v>2.0</v>
      </c>
      <c r="AV30" s="176">
        <v>1.0</v>
      </c>
      <c r="AW30" s="180" t="s">
        <v>2035</v>
      </c>
      <c r="AX30" s="5"/>
      <c r="AY30" s="417"/>
      <c r="BA30" s="81"/>
      <c r="BB30" s="81"/>
      <c r="BC30" s="81"/>
      <c r="BD30" s="81"/>
      <c r="BE30" s="81"/>
      <c r="BF30" s="81"/>
      <c r="BG30" s="81"/>
    </row>
    <row r="31">
      <c r="A31" s="176">
        <v>31.0</v>
      </c>
      <c r="B31" s="423" t="s">
        <v>1637</v>
      </c>
      <c r="C31" s="287" t="s">
        <v>41</v>
      </c>
      <c r="D31" s="50"/>
      <c r="E31" s="291"/>
      <c r="F31" s="297"/>
      <c r="G31" s="297"/>
      <c r="H31" s="297"/>
      <c r="I31" s="292">
        <v>3.67</v>
      </c>
      <c r="J31" s="292">
        <v>0.33</v>
      </c>
      <c r="K31" s="297"/>
      <c r="L31" s="297"/>
      <c r="M31" s="297"/>
      <c r="N31" s="180">
        <v>1.0</v>
      </c>
      <c r="O31" s="180">
        <v>1.0</v>
      </c>
      <c r="P31" s="5"/>
      <c r="Q31" s="176">
        <f t="shared" ref="Q31:T31" si="80">round(J31/6,2)</f>
        <v>0.06</v>
      </c>
      <c r="R31" s="176">
        <f t="shared" si="80"/>
        <v>0</v>
      </c>
      <c r="S31" s="176">
        <f t="shared" si="80"/>
        <v>0</v>
      </c>
      <c r="T31" s="176">
        <f t="shared" si="80"/>
        <v>0</v>
      </c>
      <c r="U31" s="5"/>
      <c r="V31" s="184"/>
      <c r="W31" s="184"/>
      <c r="X31" s="184"/>
      <c r="Y31" s="184"/>
      <c r="Z31" s="184"/>
      <c r="AA31" s="184"/>
      <c r="AB31" s="5"/>
      <c r="AC31" s="184"/>
      <c r="AD31" s="184"/>
      <c r="AE31" s="184"/>
      <c r="AF31" s="184"/>
      <c r="AG31" s="184"/>
      <c r="AH31" s="176">
        <v>0.2</v>
      </c>
      <c r="AI31" s="5"/>
      <c r="AJ31" s="184">
        <f t="shared" si="53"/>
        <v>0.2</v>
      </c>
      <c r="AK31" s="184">
        <f t="shared" ref="AK31:AM31" si="81">ROUND(F31*(5/12)+K31*(5/12)+R31+W31-AD31,2)</f>
        <v>0</v>
      </c>
      <c r="AL31" s="184">
        <f t="shared" si="81"/>
        <v>0</v>
      </c>
      <c r="AM31" s="184">
        <f t="shared" si="81"/>
        <v>0</v>
      </c>
      <c r="AN31" s="184">
        <f t="shared" ref="AN31:AO31" si="82">N31+Z31-AG31</f>
        <v>1</v>
      </c>
      <c r="AO31" s="184">
        <f t="shared" si="82"/>
        <v>0.8</v>
      </c>
      <c r="AP31" s="5"/>
      <c r="AQ31" s="176">
        <v>0.5</v>
      </c>
      <c r="AR31" s="176" t="s">
        <v>913</v>
      </c>
      <c r="AS31" s="176" t="s">
        <v>913</v>
      </c>
      <c r="AT31" s="176" t="s">
        <v>913</v>
      </c>
      <c r="AU31" s="176">
        <v>1.0</v>
      </c>
      <c r="AV31" s="176">
        <v>1.0</v>
      </c>
      <c r="AW31" s="180" t="s">
        <v>2036</v>
      </c>
      <c r="AX31" s="5"/>
      <c r="AY31" s="417"/>
      <c r="BA31" s="81"/>
      <c r="BB31" s="81"/>
      <c r="BC31" s="81"/>
      <c r="BD31" s="81"/>
      <c r="BE31" s="81"/>
      <c r="BF31" s="81"/>
      <c r="BG31" s="81"/>
    </row>
    <row r="32">
      <c r="A32" s="176">
        <v>32.0</v>
      </c>
      <c r="B32" s="423" t="s">
        <v>1640</v>
      </c>
      <c r="C32" s="287" t="s">
        <v>41</v>
      </c>
      <c r="D32" s="50"/>
      <c r="E32" s="291"/>
      <c r="F32" s="292"/>
      <c r="G32" s="297"/>
      <c r="H32" s="297"/>
      <c r="I32" s="292">
        <v>1.0</v>
      </c>
      <c r="J32" s="292">
        <v>2.7</v>
      </c>
      <c r="K32" s="292">
        <v>0.3</v>
      </c>
      <c r="L32" s="297"/>
      <c r="M32" s="297"/>
      <c r="N32" s="180">
        <v>1.0</v>
      </c>
      <c r="O32" s="180">
        <v>1.0</v>
      </c>
      <c r="P32" s="5"/>
      <c r="Q32" s="176">
        <f t="shared" ref="Q32:T32" si="83">round(J32/6,2)</f>
        <v>0.45</v>
      </c>
      <c r="R32" s="176">
        <f t="shared" si="83"/>
        <v>0.05</v>
      </c>
      <c r="S32" s="176">
        <f t="shared" si="83"/>
        <v>0</v>
      </c>
      <c r="T32" s="176">
        <f t="shared" si="83"/>
        <v>0</v>
      </c>
      <c r="U32" s="5"/>
      <c r="V32" s="184"/>
      <c r="W32" s="184"/>
      <c r="X32" s="184"/>
      <c r="Y32" s="184"/>
      <c r="Z32" s="184"/>
      <c r="AA32" s="184"/>
      <c r="AB32" s="5"/>
      <c r="AC32" s="184"/>
      <c r="AD32" s="184"/>
      <c r="AE32" s="184"/>
      <c r="AF32" s="184"/>
      <c r="AG32" s="184"/>
      <c r="AH32" s="184"/>
      <c r="AI32" s="5"/>
      <c r="AJ32" s="184">
        <f t="shared" si="53"/>
        <v>1.58</v>
      </c>
      <c r="AK32" s="184">
        <f t="shared" ref="AK32:AM32" si="84">ROUND(F32*(5/12)+K32*(5/12)+R32+W32-AD32,2)</f>
        <v>0.18</v>
      </c>
      <c r="AL32" s="184">
        <f t="shared" si="84"/>
        <v>0</v>
      </c>
      <c r="AM32" s="184">
        <f t="shared" si="84"/>
        <v>0</v>
      </c>
      <c r="AN32" s="184">
        <f t="shared" ref="AN32:AO32" si="85">N32+Z32-AG32</f>
        <v>1</v>
      </c>
      <c r="AO32" s="184">
        <f t="shared" si="85"/>
        <v>1</v>
      </c>
      <c r="AP32" s="5"/>
      <c r="AQ32" s="180">
        <v>2.459</v>
      </c>
      <c r="AR32" s="176">
        <v>0.12</v>
      </c>
      <c r="AS32" s="176" t="s">
        <v>913</v>
      </c>
      <c r="AT32" s="176" t="s">
        <v>913</v>
      </c>
      <c r="AU32" s="176">
        <v>1.0</v>
      </c>
      <c r="AV32" s="176">
        <v>1.0</v>
      </c>
      <c r="AW32" s="180" t="s">
        <v>2037</v>
      </c>
      <c r="AX32" s="5"/>
      <c r="AY32" s="418"/>
      <c r="AZ32" s="27"/>
      <c r="BA32" s="311"/>
      <c r="BB32" s="311"/>
      <c r="BC32" s="311"/>
      <c r="BD32" s="311"/>
      <c r="BE32" s="311"/>
      <c r="BF32" s="311"/>
      <c r="BG32" s="311"/>
      <c r="BH32" s="27"/>
    </row>
    <row r="33">
      <c r="A33" s="176">
        <v>33.0</v>
      </c>
      <c r="B33" s="423" t="s">
        <v>68</v>
      </c>
      <c r="C33" s="287" t="s">
        <v>41</v>
      </c>
      <c r="D33" s="50"/>
      <c r="E33" s="314"/>
      <c r="F33" s="297"/>
      <c r="G33" s="297"/>
      <c r="H33" s="297"/>
      <c r="I33" s="292">
        <v>4.0</v>
      </c>
      <c r="J33" s="297"/>
      <c r="K33" s="297"/>
      <c r="L33" s="297"/>
      <c r="M33" s="297"/>
      <c r="N33" s="180">
        <v>1.0</v>
      </c>
      <c r="O33" s="180">
        <v>1.0</v>
      </c>
      <c r="P33" s="5"/>
      <c r="Q33" s="176">
        <f t="shared" ref="Q33:T33" si="86">round(J33/6,2)</f>
        <v>0</v>
      </c>
      <c r="R33" s="176">
        <f t="shared" si="86"/>
        <v>0</v>
      </c>
      <c r="S33" s="176">
        <f t="shared" si="86"/>
        <v>0</v>
      </c>
      <c r="T33" s="176">
        <f t="shared" si="86"/>
        <v>0</v>
      </c>
      <c r="U33" s="5"/>
      <c r="V33" s="176">
        <v>0.25</v>
      </c>
      <c r="W33" s="184"/>
      <c r="X33" s="184"/>
      <c r="Y33" s="184"/>
      <c r="Z33" s="176">
        <v>1.0</v>
      </c>
      <c r="AA33" s="184"/>
      <c r="AB33" s="5"/>
      <c r="AC33" s="184"/>
      <c r="AD33" s="184"/>
      <c r="AE33" s="184"/>
      <c r="AF33" s="184"/>
      <c r="AG33" s="184"/>
      <c r="AH33" s="184"/>
      <c r="AI33" s="5"/>
      <c r="AJ33" s="184">
        <f t="shared" si="53"/>
        <v>0.25</v>
      </c>
      <c r="AK33" s="184">
        <f t="shared" ref="AK33:AM33" si="87">ROUND(F33*(5/12)+K33*(5/12)+R33+W33-AD33,2)</f>
        <v>0</v>
      </c>
      <c r="AL33" s="184">
        <f t="shared" si="87"/>
        <v>0</v>
      </c>
      <c r="AM33" s="184">
        <f t="shared" si="87"/>
        <v>0</v>
      </c>
      <c r="AN33" s="184">
        <f t="shared" ref="AN33:AO33" si="88">N33+Z33-AG33</f>
        <v>2</v>
      </c>
      <c r="AO33" s="184">
        <f t="shared" si="88"/>
        <v>1</v>
      </c>
      <c r="AP33" s="5"/>
      <c r="AQ33" s="176">
        <v>0.0</v>
      </c>
      <c r="AR33" s="176" t="s">
        <v>913</v>
      </c>
      <c r="AS33" s="176" t="s">
        <v>913</v>
      </c>
      <c r="AT33" s="176" t="s">
        <v>913</v>
      </c>
      <c r="AU33" s="176">
        <v>0.0</v>
      </c>
      <c r="AV33" s="176">
        <v>1.0</v>
      </c>
      <c r="AW33" s="180" t="s">
        <v>2038</v>
      </c>
      <c r="AX33" s="5"/>
      <c r="AY33" s="416"/>
      <c r="BA33" s="81"/>
      <c r="BB33" s="81"/>
      <c r="BC33" s="81"/>
      <c r="BD33" s="81"/>
      <c r="BE33" s="81"/>
      <c r="BF33" s="81"/>
      <c r="BG33" s="81"/>
    </row>
    <row r="34">
      <c r="A34" s="176">
        <v>34.0</v>
      </c>
      <c r="B34" s="423" t="s">
        <v>69</v>
      </c>
      <c r="C34" s="287" t="s">
        <v>41</v>
      </c>
      <c r="D34" s="50"/>
      <c r="E34" s="291"/>
      <c r="F34" s="292"/>
      <c r="G34" s="297"/>
      <c r="H34" s="297"/>
      <c r="I34" s="292">
        <v>2.0</v>
      </c>
      <c r="J34" s="292">
        <v>1.8</v>
      </c>
      <c r="K34" s="292">
        <v>0.2</v>
      </c>
      <c r="L34" s="297"/>
      <c r="M34" s="297"/>
      <c r="N34" s="180">
        <v>1.0</v>
      </c>
      <c r="O34" s="180">
        <v>1.0</v>
      </c>
      <c r="P34" s="5"/>
      <c r="Q34" s="176">
        <f t="shared" ref="Q34:T34" si="89">round(J34/6,2)</f>
        <v>0.3</v>
      </c>
      <c r="R34" s="176">
        <f t="shared" si="89"/>
        <v>0.03</v>
      </c>
      <c r="S34" s="176">
        <f t="shared" si="89"/>
        <v>0</v>
      </c>
      <c r="T34" s="176">
        <f t="shared" si="89"/>
        <v>0</v>
      </c>
      <c r="U34" s="5"/>
      <c r="V34" s="184"/>
      <c r="W34" s="184"/>
      <c r="X34" s="184"/>
      <c r="Y34" s="184"/>
      <c r="Z34" s="184"/>
      <c r="AA34" s="184"/>
      <c r="AB34" s="5"/>
      <c r="AC34" s="176">
        <v>0.125</v>
      </c>
      <c r="AD34" s="184"/>
      <c r="AE34" s="184"/>
      <c r="AF34" s="184"/>
      <c r="AG34" s="184"/>
      <c r="AH34" s="184"/>
      <c r="AI34" s="5"/>
      <c r="AJ34" s="184">
        <f t="shared" si="53"/>
        <v>0.93</v>
      </c>
      <c r="AK34" s="184">
        <f t="shared" ref="AK34:AM34" si="90">ROUND(F34*(5/12)+K34*(5/12)+R34+W34-AD34,2)</f>
        <v>0.11</v>
      </c>
      <c r="AL34" s="184">
        <f t="shared" si="90"/>
        <v>0</v>
      </c>
      <c r="AM34" s="184">
        <f t="shared" si="90"/>
        <v>0</v>
      </c>
      <c r="AN34" s="184">
        <f t="shared" ref="AN34:AO34" si="91">N34+Z34-AG34</f>
        <v>1</v>
      </c>
      <c r="AO34" s="184">
        <f t="shared" si="91"/>
        <v>1</v>
      </c>
      <c r="AP34" s="5"/>
      <c r="AQ34" s="176">
        <v>1.0</v>
      </c>
      <c r="AR34" s="176">
        <v>0.0</v>
      </c>
      <c r="AS34" s="176" t="s">
        <v>913</v>
      </c>
      <c r="AT34" s="176" t="s">
        <v>913</v>
      </c>
      <c r="AU34" s="176">
        <v>1.0</v>
      </c>
      <c r="AV34" s="176">
        <v>1.0</v>
      </c>
      <c r="AW34" s="180" t="s">
        <v>2039</v>
      </c>
      <c r="AX34" s="5"/>
      <c r="AY34" s="417"/>
      <c r="BA34" s="81"/>
      <c r="BB34" s="81"/>
      <c r="BC34" s="81"/>
      <c r="BD34" s="81"/>
      <c r="BE34" s="81"/>
      <c r="BF34" s="81"/>
      <c r="BG34" s="81"/>
    </row>
    <row r="35">
      <c r="A35" s="176">
        <v>36.0</v>
      </c>
      <c r="B35" s="423" t="s">
        <v>70</v>
      </c>
      <c r="C35" s="287" t="s">
        <v>41</v>
      </c>
      <c r="D35" s="50"/>
      <c r="E35" s="291"/>
      <c r="F35" s="297"/>
      <c r="G35" s="292"/>
      <c r="H35" s="297"/>
      <c r="I35" s="292">
        <v>1.0</v>
      </c>
      <c r="J35" s="292">
        <v>2.0</v>
      </c>
      <c r="K35" s="297"/>
      <c r="L35" s="292">
        <v>1.0</v>
      </c>
      <c r="M35" s="297"/>
      <c r="N35" s="180">
        <v>1.0</v>
      </c>
      <c r="O35" s="180">
        <v>1.0</v>
      </c>
      <c r="P35" s="5"/>
      <c r="Q35" s="176">
        <f t="shared" ref="Q35:T35" si="92">round(J35/6,2)</f>
        <v>0.33</v>
      </c>
      <c r="R35" s="176">
        <f t="shared" si="92"/>
        <v>0</v>
      </c>
      <c r="S35" s="176">
        <f t="shared" si="92"/>
        <v>0.17</v>
      </c>
      <c r="T35" s="176">
        <f t="shared" si="92"/>
        <v>0</v>
      </c>
      <c r="U35" s="5"/>
      <c r="V35" s="176"/>
      <c r="W35" s="184"/>
      <c r="X35" s="184"/>
      <c r="Y35" s="184"/>
      <c r="Z35" s="184"/>
      <c r="AA35" s="184"/>
      <c r="AB35" s="5"/>
      <c r="AC35" s="176">
        <v>1.0</v>
      </c>
      <c r="AD35" s="184"/>
      <c r="AE35" s="184"/>
      <c r="AF35" s="184"/>
      <c r="AG35" s="184"/>
      <c r="AH35" s="184"/>
      <c r="AI35" s="5"/>
      <c r="AJ35" s="184">
        <f t="shared" si="53"/>
        <v>0.16</v>
      </c>
      <c r="AK35" s="184">
        <f t="shared" ref="AK35:AM35" si="93">ROUND(F35*(5/12)+K35*(5/12)+R35+W35-AD35,2)</f>
        <v>0</v>
      </c>
      <c r="AL35" s="184">
        <f t="shared" si="93"/>
        <v>0.59</v>
      </c>
      <c r="AM35" s="184">
        <f t="shared" si="93"/>
        <v>0</v>
      </c>
      <c r="AN35" s="184">
        <f t="shared" ref="AN35:AO35" si="94">N35+Z35-AG35</f>
        <v>1</v>
      </c>
      <c r="AO35" s="184">
        <f t="shared" si="94"/>
        <v>1</v>
      </c>
      <c r="AP35" s="5"/>
      <c r="AQ35" s="176">
        <v>0.7</v>
      </c>
      <c r="AR35" s="176" t="s">
        <v>913</v>
      </c>
      <c r="AS35" s="176">
        <v>1.0</v>
      </c>
      <c r="AT35" s="176" t="s">
        <v>913</v>
      </c>
      <c r="AU35" s="176">
        <v>1.0</v>
      </c>
      <c r="AV35" s="176">
        <v>1.0</v>
      </c>
      <c r="AW35" s="180" t="s">
        <v>2040</v>
      </c>
      <c r="AX35" s="5"/>
      <c r="AY35" s="425"/>
      <c r="BA35" s="81"/>
      <c r="BB35" s="81"/>
      <c r="BC35" s="81"/>
      <c r="BD35" s="81"/>
      <c r="BE35" s="81"/>
      <c r="BF35" s="81"/>
      <c r="BG35" s="81"/>
    </row>
    <row r="36">
      <c r="A36" s="176">
        <v>37.0</v>
      </c>
      <c r="B36" s="423" t="s">
        <v>71</v>
      </c>
      <c r="C36" s="287" t="s">
        <v>41</v>
      </c>
      <c r="D36" s="50"/>
      <c r="E36" s="291"/>
      <c r="F36" s="292"/>
      <c r="G36" s="297"/>
      <c r="H36" s="297"/>
      <c r="I36" s="292">
        <v>1.67</v>
      </c>
      <c r="J36" s="292">
        <v>2.13</v>
      </c>
      <c r="K36" s="292">
        <v>0.2</v>
      </c>
      <c r="L36" s="297"/>
      <c r="M36" s="297"/>
      <c r="N36" s="180">
        <v>1.0</v>
      </c>
      <c r="O36" s="180">
        <v>1.0</v>
      </c>
      <c r="P36" s="5"/>
      <c r="Q36" s="176">
        <f t="shared" ref="Q36:T36" si="95">round(J36/6,2)</f>
        <v>0.36</v>
      </c>
      <c r="R36" s="176">
        <f t="shared" si="95"/>
        <v>0.03</v>
      </c>
      <c r="S36" s="176">
        <f t="shared" si="95"/>
        <v>0</v>
      </c>
      <c r="T36" s="176">
        <f t="shared" si="95"/>
        <v>0</v>
      </c>
      <c r="U36" s="5"/>
      <c r="V36" s="184"/>
      <c r="W36" s="184"/>
      <c r="X36" s="184"/>
      <c r="Y36" s="184"/>
      <c r="Z36" s="184"/>
      <c r="AA36" s="184"/>
      <c r="AB36" s="5"/>
      <c r="AC36" s="184"/>
      <c r="AD36" s="184"/>
      <c r="AE36" s="184"/>
      <c r="AF36" s="184"/>
      <c r="AG36" s="184"/>
      <c r="AH36" s="184"/>
      <c r="AI36" s="5"/>
      <c r="AJ36" s="184">
        <f t="shared" si="53"/>
        <v>1.25</v>
      </c>
      <c r="AK36" s="184">
        <f t="shared" ref="AK36:AM36" si="96">ROUND(F36*(5/12)+K36*(5/12)+R36+W36-AD36,2)</f>
        <v>0.11</v>
      </c>
      <c r="AL36" s="184">
        <f t="shared" si="96"/>
        <v>0</v>
      </c>
      <c r="AM36" s="184">
        <f t="shared" si="96"/>
        <v>0</v>
      </c>
      <c r="AN36" s="184">
        <f t="shared" ref="AN36:AO36" si="97">N36+Z36-AG36</f>
        <v>1</v>
      </c>
      <c r="AO36" s="184">
        <f t="shared" si="97"/>
        <v>1</v>
      </c>
      <c r="AP36" s="5"/>
      <c r="AQ36" s="176">
        <v>1.7</v>
      </c>
      <c r="AR36" s="176">
        <v>0.121</v>
      </c>
      <c r="AS36" s="176" t="s">
        <v>913</v>
      </c>
      <c r="AT36" s="176" t="s">
        <v>913</v>
      </c>
      <c r="AU36" s="176">
        <v>1.0</v>
      </c>
      <c r="AV36" s="176">
        <v>1.0</v>
      </c>
      <c r="AW36" s="180" t="s">
        <v>2041</v>
      </c>
      <c r="AX36" s="5"/>
      <c r="AY36" s="417"/>
      <c r="BA36" s="81"/>
      <c r="BB36" s="81"/>
      <c r="BC36" s="81"/>
      <c r="BD36" s="81"/>
      <c r="BE36" s="81"/>
      <c r="BF36" s="81"/>
      <c r="BG36" s="81"/>
    </row>
    <row r="37">
      <c r="A37" s="176">
        <v>39.0</v>
      </c>
      <c r="B37" s="423" t="s">
        <v>72</v>
      </c>
      <c r="C37" s="287" t="s">
        <v>41</v>
      </c>
      <c r="D37" s="50"/>
      <c r="E37" s="291"/>
      <c r="F37" s="292"/>
      <c r="G37" s="297"/>
      <c r="H37" s="297"/>
      <c r="I37" s="292">
        <v>3.0</v>
      </c>
      <c r="J37" s="292">
        <v>0.8</v>
      </c>
      <c r="K37" s="292">
        <v>0.2</v>
      </c>
      <c r="L37" s="297"/>
      <c r="M37" s="297"/>
      <c r="N37" s="180">
        <v>1.0</v>
      </c>
      <c r="O37" s="180">
        <v>1.0</v>
      </c>
      <c r="P37" s="5"/>
      <c r="Q37" s="176">
        <f t="shared" ref="Q37:T37" si="98">round(J37/6,2)</f>
        <v>0.13</v>
      </c>
      <c r="R37" s="176">
        <f t="shared" si="98"/>
        <v>0.03</v>
      </c>
      <c r="S37" s="176">
        <f t="shared" si="98"/>
        <v>0</v>
      </c>
      <c r="T37" s="176">
        <f t="shared" si="98"/>
        <v>0</v>
      </c>
      <c r="U37" s="5"/>
      <c r="V37" s="184"/>
      <c r="W37" s="184"/>
      <c r="X37" s="184"/>
      <c r="Y37" s="184"/>
      <c r="Z37" s="184"/>
      <c r="AA37" s="184"/>
      <c r="AB37" s="5"/>
      <c r="AC37" s="184"/>
      <c r="AD37" s="184"/>
      <c r="AE37" s="184"/>
      <c r="AF37" s="184"/>
      <c r="AG37" s="184"/>
      <c r="AH37" s="184"/>
      <c r="AI37" s="5"/>
      <c r="AJ37" s="184">
        <f t="shared" si="53"/>
        <v>0.46</v>
      </c>
      <c r="AK37" s="184">
        <f t="shared" ref="AK37:AM37" si="99">ROUND(F37*(5/12)+K37*(5/12)+R37+W37-AD37,2)</f>
        <v>0.11</v>
      </c>
      <c r="AL37" s="184">
        <f t="shared" si="99"/>
        <v>0</v>
      </c>
      <c r="AM37" s="184">
        <f t="shared" si="99"/>
        <v>0</v>
      </c>
      <c r="AN37" s="184">
        <f t="shared" ref="AN37:AO37" si="100">N37+Z37-AG37</f>
        <v>1</v>
      </c>
      <c r="AO37" s="184">
        <f t="shared" si="100"/>
        <v>1</v>
      </c>
      <c r="AP37" s="5"/>
      <c r="AQ37" s="176">
        <v>0.0</v>
      </c>
      <c r="AR37" s="176">
        <v>0.244</v>
      </c>
      <c r="AS37" s="176" t="s">
        <v>913</v>
      </c>
      <c r="AT37" s="176" t="s">
        <v>913</v>
      </c>
      <c r="AU37" s="176">
        <v>1.0</v>
      </c>
      <c r="AV37" s="176">
        <v>1.0</v>
      </c>
      <c r="AW37" s="180" t="s">
        <v>2042</v>
      </c>
      <c r="AX37" s="5"/>
      <c r="AY37" s="417"/>
      <c r="BA37" s="81"/>
      <c r="BB37" s="81"/>
      <c r="BC37" s="81"/>
      <c r="BD37" s="81"/>
      <c r="BE37" s="81"/>
      <c r="BF37" s="81"/>
      <c r="BG37" s="81"/>
    </row>
    <row r="38">
      <c r="A38" s="176">
        <v>41.0</v>
      </c>
      <c r="B38" s="423" t="s">
        <v>1235</v>
      </c>
      <c r="C38" s="287" t="s">
        <v>41</v>
      </c>
      <c r="D38" s="50"/>
      <c r="E38" s="314"/>
      <c r="F38" s="314"/>
      <c r="G38" s="314"/>
      <c r="H38" s="314"/>
      <c r="I38" s="291">
        <v>4.0</v>
      </c>
      <c r="J38" s="314"/>
      <c r="K38" s="314"/>
      <c r="L38" s="314"/>
      <c r="M38" s="314"/>
      <c r="N38" s="180">
        <v>1.0</v>
      </c>
      <c r="O38" s="180">
        <v>1.0</v>
      </c>
      <c r="P38" s="5"/>
      <c r="Q38" s="176">
        <f t="shared" ref="Q38:T38" si="101">round(J38/6,2)</f>
        <v>0</v>
      </c>
      <c r="R38" s="176">
        <f t="shared" si="101"/>
        <v>0</v>
      </c>
      <c r="S38" s="176">
        <f t="shared" si="101"/>
        <v>0</v>
      </c>
      <c r="T38" s="176">
        <f t="shared" si="101"/>
        <v>0</v>
      </c>
      <c r="U38" s="5"/>
      <c r="V38" s="184"/>
      <c r="W38" s="184"/>
      <c r="X38" s="184"/>
      <c r="Y38" s="184"/>
      <c r="Z38" s="184"/>
      <c r="AA38" s="184"/>
      <c r="AB38" s="5"/>
      <c r="AC38" s="184"/>
      <c r="AD38" s="184"/>
      <c r="AE38" s="184"/>
      <c r="AF38" s="184"/>
      <c r="AG38" s="184"/>
      <c r="AH38" s="184"/>
      <c r="AI38" s="5"/>
      <c r="AJ38" s="184">
        <f t="shared" si="53"/>
        <v>0</v>
      </c>
      <c r="AK38" s="184">
        <f t="shared" ref="AK38:AM38" si="102">ROUND(F38*(5/12)+K38*(5/12)+R38+W38-AD38,2)</f>
        <v>0</v>
      </c>
      <c r="AL38" s="184">
        <f t="shared" si="102"/>
        <v>0</v>
      </c>
      <c r="AM38" s="184">
        <f t="shared" si="102"/>
        <v>0</v>
      </c>
      <c r="AN38" s="184">
        <f t="shared" ref="AN38:AO38" si="103">N38+Z38-AG38</f>
        <v>1</v>
      </c>
      <c r="AO38" s="184">
        <f t="shared" si="103"/>
        <v>1</v>
      </c>
      <c r="AP38" s="5"/>
      <c r="AQ38" s="176" t="s">
        <v>913</v>
      </c>
      <c r="AR38" s="176" t="s">
        <v>913</v>
      </c>
      <c r="AS38" s="176" t="s">
        <v>913</v>
      </c>
      <c r="AT38" s="176" t="s">
        <v>913</v>
      </c>
      <c r="AU38" s="176">
        <v>1.0</v>
      </c>
      <c r="AV38" s="176">
        <v>1.0</v>
      </c>
      <c r="AW38" s="180"/>
      <c r="AX38" s="5"/>
      <c r="AY38" s="417"/>
      <c r="BA38" s="81"/>
      <c r="BB38" s="81"/>
      <c r="BC38" s="81"/>
      <c r="BD38" s="81"/>
      <c r="BE38" s="81"/>
      <c r="BF38" s="81"/>
      <c r="BG38" s="81"/>
    </row>
    <row r="39">
      <c r="A39" s="176">
        <v>42.0</v>
      </c>
      <c r="B39" s="423" t="s">
        <v>1658</v>
      </c>
      <c r="C39" s="287" t="s">
        <v>41</v>
      </c>
      <c r="D39" s="50"/>
      <c r="E39" s="291"/>
      <c r="F39" s="291"/>
      <c r="G39" s="314"/>
      <c r="H39" s="314"/>
      <c r="I39" s="291">
        <v>3.0</v>
      </c>
      <c r="J39" s="291">
        <v>0.8</v>
      </c>
      <c r="K39" s="291">
        <v>0.2</v>
      </c>
      <c r="L39" s="314"/>
      <c r="M39" s="314"/>
      <c r="N39" s="180">
        <f t="shared" ref="N39:O39" si="104">8/12</f>
        <v>0.6666666667</v>
      </c>
      <c r="O39" s="180">
        <f t="shared" si="104"/>
        <v>0.6666666667</v>
      </c>
      <c r="P39" s="5"/>
      <c r="Q39" s="176">
        <f t="shared" ref="Q39:T39" si="105">round(J39/6,2)</f>
        <v>0.13</v>
      </c>
      <c r="R39" s="176">
        <f t="shared" si="105"/>
        <v>0.03</v>
      </c>
      <c r="S39" s="176">
        <f t="shared" si="105"/>
        <v>0</v>
      </c>
      <c r="T39" s="176">
        <f t="shared" si="105"/>
        <v>0</v>
      </c>
      <c r="U39" s="5"/>
      <c r="V39" s="184"/>
      <c r="W39" s="184"/>
      <c r="X39" s="184"/>
      <c r="Y39" s="184"/>
      <c r="Z39" s="184"/>
      <c r="AA39" s="184"/>
      <c r="AB39" s="5"/>
      <c r="AC39" s="184"/>
      <c r="AD39" s="184"/>
      <c r="AE39" s="184"/>
      <c r="AF39" s="184"/>
      <c r="AG39" s="184"/>
      <c r="AH39" s="184"/>
      <c r="AI39" s="5"/>
      <c r="AJ39" s="184">
        <f t="shared" ref="AJ39:AK39" si="106">ROUND(E39*(3/12)+J39*(5/12)+Q39+V39-AC39,2)</f>
        <v>0.46</v>
      </c>
      <c r="AK39" s="184">
        <f t="shared" si="106"/>
        <v>0.11</v>
      </c>
      <c r="AL39" s="184">
        <f t="shared" ref="AL39:AM39" si="107">ROUND(G39*(5/12)+L39*(5/12)+S39+X39-AE39,2)</f>
        <v>0</v>
      </c>
      <c r="AM39" s="184">
        <f t="shared" si="107"/>
        <v>0</v>
      </c>
      <c r="AN39" s="184">
        <f t="shared" ref="AN39:AO39" si="108">N39+Z39-AG39</f>
        <v>0.6666666667</v>
      </c>
      <c r="AO39" s="184">
        <f t="shared" si="108"/>
        <v>0.6666666667</v>
      </c>
      <c r="AP39" s="5"/>
      <c r="AQ39" s="176">
        <v>0.5</v>
      </c>
      <c r="AR39" s="176">
        <v>0.133</v>
      </c>
      <c r="AS39" s="176" t="s">
        <v>913</v>
      </c>
      <c r="AT39" s="176" t="s">
        <v>913</v>
      </c>
      <c r="AU39" s="176">
        <v>1.0</v>
      </c>
      <c r="AV39" s="176">
        <v>1.0</v>
      </c>
      <c r="AW39" s="180" t="s">
        <v>2043</v>
      </c>
      <c r="AX39" s="5"/>
      <c r="AY39" s="417"/>
      <c r="BA39" s="81"/>
      <c r="BB39" s="81"/>
      <c r="BC39" s="81"/>
      <c r="BD39" s="81"/>
      <c r="BE39" s="81"/>
      <c r="BF39" s="81"/>
      <c r="BG39" s="81"/>
    </row>
    <row r="40">
      <c r="A40" s="176">
        <v>43.0</v>
      </c>
      <c r="B40" s="414" t="s">
        <v>1212</v>
      </c>
      <c r="C40" s="287" t="s">
        <v>41</v>
      </c>
      <c r="D40" s="179"/>
      <c r="E40" s="292"/>
      <c r="F40" s="292"/>
      <c r="G40" s="292"/>
      <c r="H40" s="297"/>
      <c r="I40" s="292">
        <v>4.0</v>
      </c>
      <c r="J40" s="297"/>
      <c r="K40" s="297"/>
      <c r="L40" s="297"/>
      <c r="M40" s="297"/>
      <c r="N40" s="180">
        <v>1.0</v>
      </c>
      <c r="O40" s="180">
        <v>1.0</v>
      </c>
      <c r="P40" s="5"/>
      <c r="Q40" s="176">
        <f t="shared" ref="Q40:T40" si="109">round(J40/6,2)</f>
        <v>0</v>
      </c>
      <c r="R40" s="176">
        <f t="shared" si="109"/>
        <v>0</v>
      </c>
      <c r="S40" s="176">
        <f t="shared" si="109"/>
        <v>0</v>
      </c>
      <c r="T40" s="176">
        <f t="shared" si="109"/>
        <v>0</v>
      </c>
      <c r="U40" s="5"/>
      <c r="V40" s="184"/>
      <c r="W40" s="176"/>
      <c r="X40" s="184"/>
      <c r="Y40" s="184"/>
      <c r="Z40" s="184"/>
      <c r="AA40" s="184"/>
      <c r="AB40" s="5"/>
      <c r="AC40" s="184"/>
      <c r="AD40" s="184"/>
      <c r="AE40" s="184"/>
      <c r="AF40" s="184"/>
      <c r="AG40" s="184"/>
      <c r="AH40" s="184"/>
      <c r="AI40" s="5"/>
      <c r="AJ40" s="184">
        <f t="shared" ref="AJ40:AM40" si="110">ROUND(E40*(5/12)+J40*(5/12)+Q40+V40-AC40,2)</f>
        <v>0</v>
      </c>
      <c r="AK40" s="184">
        <f t="shared" si="110"/>
        <v>0</v>
      </c>
      <c r="AL40" s="184">
        <f t="shared" si="110"/>
        <v>0</v>
      </c>
      <c r="AM40" s="184">
        <f t="shared" si="110"/>
        <v>0</v>
      </c>
      <c r="AN40" s="184">
        <f t="shared" ref="AN40:AO40" si="111">N40+Z40-AG40</f>
        <v>1</v>
      </c>
      <c r="AO40" s="184">
        <f t="shared" si="111"/>
        <v>1</v>
      </c>
      <c r="AP40" s="5"/>
      <c r="AQ40" s="176">
        <v>1.125</v>
      </c>
      <c r="AR40" s="176" t="s">
        <v>913</v>
      </c>
      <c r="AS40" s="176" t="s">
        <v>913</v>
      </c>
      <c r="AT40" s="176" t="s">
        <v>913</v>
      </c>
      <c r="AU40" s="176">
        <v>1.0</v>
      </c>
      <c r="AV40" s="176">
        <v>1.0</v>
      </c>
      <c r="AW40" s="180" t="s">
        <v>2044</v>
      </c>
      <c r="AX40" s="5"/>
      <c r="AY40" s="417"/>
      <c r="BA40" s="81"/>
      <c r="BB40" s="81"/>
      <c r="BC40" s="81"/>
      <c r="BD40" s="81"/>
      <c r="BE40" s="81"/>
      <c r="BF40" s="81"/>
      <c r="BG40" s="81"/>
    </row>
    <row r="41">
      <c r="A41" s="176">
        <v>44.0</v>
      </c>
      <c r="B41" s="414" t="s">
        <v>1669</v>
      </c>
      <c r="C41" s="287" t="s">
        <v>93</v>
      </c>
      <c r="D41" s="179"/>
      <c r="E41" s="289"/>
      <c r="F41" s="289"/>
      <c r="G41" s="289"/>
      <c r="H41" s="344"/>
      <c r="I41" s="289">
        <v>0.0</v>
      </c>
      <c r="J41" s="289">
        <v>0.5</v>
      </c>
      <c r="K41" s="289">
        <v>0.5</v>
      </c>
      <c r="L41" s="289">
        <v>1.0</v>
      </c>
      <c r="M41" s="344"/>
      <c r="N41" s="180">
        <v>1.0</v>
      </c>
      <c r="O41" s="180">
        <v>1.0</v>
      </c>
      <c r="P41" s="5"/>
      <c r="Q41" s="176">
        <f t="shared" ref="Q41:T41" si="112">round(J41/6,2)</f>
        <v>0.08</v>
      </c>
      <c r="R41" s="176">
        <f t="shared" si="112"/>
        <v>0.08</v>
      </c>
      <c r="S41" s="176">
        <f t="shared" si="112"/>
        <v>0.17</v>
      </c>
      <c r="T41" s="176">
        <f t="shared" si="112"/>
        <v>0</v>
      </c>
      <c r="U41" s="5"/>
      <c r="V41" s="184"/>
      <c r="W41" s="176">
        <v>1.0</v>
      </c>
      <c r="X41" s="184"/>
      <c r="Y41" s="184"/>
      <c r="Z41" s="184"/>
      <c r="AA41" s="184"/>
      <c r="AB41" s="5"/>
      <c r="AC41" s="184"/>
      <c r="AD41" s="184"/>
      <c r="AE41" s="184"/>
      <c r="AF41" s="184"/>
      <c r="AG41" s="184"/>
      <c r="AH41" s="184"/>
      <c r="AI41" s="5"/>
      <c r="AJ41" s="184">
        <f t="shared" ref="AJ41:AM41" si="113">ROUND(E41*(5/12)+J41*(5/12)+Q41+V41-AC41,2)</f>
        <v>0.29</v>
      </c>
      <c r="AK41" s="184">
        <f t="shared" si="113"/>
        <v>1.29</v>
      </c>
      <c r="AL41" s="184">
        <f t="shared" si="113"/>
        <v>0.59</v>
      </c>
      <c r="AM41" s="184">
        <f t="shared" si="113"/>
        <v>0</v>
      </c>
      <c r="AN41" s="184">
        <f t="shared" ref="AN41:AO41" si="114">N41+Z41-AG41</f>
        <v>1</v>
      </c>
      <c r="AO41" s="184">
        <f t="shared" si="114"/>
        <v>1</v>
      </c>
      <c r="AP41" s="5"/>
      <c r="AQ41" s="176">
        <v>0.233</v>
      </c>
      <c r="AR41" s="176">
        <v>0.0</v>
      </c>
      <c r="AS41" s="176">
        <v>1.0</v>
      </c>
      <c r="AT41" s="176" t="s">
        <v>913</v>
      </c>
      <c r="AU41" s="176">
        <v>1.0</v>
      </c>
      <c r="AV41" s="176">
        <v>1.0</v>
      </c>
      <c r="AW41" s="180" t="s">
        <v>2045</v>
      </c>
      <c r="AX41" s="5"/>
      <c r="AY41" s="418"/>
      <c r="BA41" s="81"/>
      <c r="BB41" s="81"/>
      <c r="BC41" s="81"/>
      <c r="BD41" s="81"/>
      <c r="BE41" s="81"/>
      <c r="BF41" s="81"/>
      <c r="BG41" s="81"/>
    </row>
    <row r="42">
      <c r="A42" s="176">
        <v>46.0</v>
      </c>
      <c r="B42" s="423" t="s">
        <v>1671</v>
      </c>
      <c r="C42" s="287" t="s">
        <v>93</v>
      </c>
      <c r="D42" s="50"/>
      <c r="E42" s="291"/>
      <c r="F42" s="292"/>
      <c r="G42" s="297"/>
      <c r="H42" s="297"/>
      <c r="I42" s="292">
        <v>2.0</v>
      </c>
      <c r="J42" s="292">
        <v>1.5</v>
      </c>
      <c r="K42" s="292">
        <v>0.5</v>
      </c>
      <c r="L42" s="297"/>
      <c r="M42" s="297"/>
      <c r="N42" s="180">
        <v>1.0</v>
      </c>
      <c r="O42" s="180">
        <v>1.0</v>
      </c>
      <c r="P42" s="5"/>
      <c r="Q42" s="176">
        <f t="shared" ref="Q42:T42" si="115">round(J42/6,2)</f>
        <v>0.25</v>
      </c>
      <c r="R42" s="176">
        <f t="shared" si="115"/>
        <v>0.08</v>
      </c>
      <c r="S42" s="176">
        <f t="shared" si="115"/>
        <v>0</v>
      </c>
      <c r="T42" s="176">
        <f t="shared" si="115"/>
        <v>0</v>
      </c>
      <c r="U42" s="5"/>
      <c r="V42" s="184"/>
      <c r="W42" s="184"/>
      <c r="X42" s="184"/>
      <c r="Y42" s="184"/>
      <c r="Z42" s="184"/>
      <c r="AA42" s="184"/>
      <c r="AB42" s="5"/>
      <c r="AC42" s="184"/>
      <c r="AD42" s="184"/>
      <c r="AE42" s="184"/>
      <c r="AF42" s="184"/>
      <c r="AG42" s="184"/>
      <c r="AH42" s="176">
        <v>0.25</v>
      </c>
      <c r="AI42" s="5"/>
      <c r="AJ42" s="184">
        <f t="shared" ref="AJ42:AM42" si="116">ROUND(E42*(5/12)+J42*(5/12)+Q42+V42-AC42,2)</f>
        <v>0.88</v>
      </c>
      <c r="AK42" s="184">
        <f t="shared" si="116"/>
        <v>0.29</v>
      </c>
      <c r="AL42" s="184">
        <f t="shared" si="116"/>
        <v>0</v>
      </c>
      <c r="AM42" s="184">
        <f t="shared" si="116"/>
        <v>0</v>
      </c>
      <c r="AN42" s="184">
        <f t="shared" ref="AN42:AO42" si="117">N42+Z42-AG42</f>
        <v>1</v>
      </c>
      <c r="AO42" s="184">
        <f t="shared" si="117"/>
        <v>0.75</v>
      </c>
      <c r="AP42" s="5"/>
      <c r="AQ42" s="176">
        <v>2.0</v>
      </c>
      <c r="AR42" s="176">
        <v>0.0</v>
      </c>
      <c r="AS42" s="176" t="s">
        <v>913</v>
      </c>
      <c r="AT42" s="176" t="s">
        <v>913</v>
      </c>
      <c r="AU42" s="176">
        <v>1.0</v>
      </c>
      <c r="AV42" s="176">
        <v>1.0</v>
      </c>
      <c r="AW42" s="180" t="s">
        <v>2046</v>
      </c>
      <c r="AX42" s="5"/>
      <c r="AY42" s="417"/>
      <c r="BA42" s="81"/>
      <c r="BB42" s="81"/>
      <c r="BC42" s="81"/>
      <c r="BD42" s="81"/>
      <c r="BE42" s="81"/>
      <c r="BF42" s="81"/>
      <c r="BG42" s="81"/>
    </row>
    <row r="43">
      <c r="A43" s="176">
        <v>47.0</v>
      </c>
      <c r="B43" s="423" t="s">
        <v>2047</v>
      </c>
      <c r="C43" s="287" t="s">
        <v>93</v>
      </c>
      <c r="D43" s="50"/>
      <c r="E43" s="291"/>
      <c r="F43" s="292"/>
      <c r="G43" s="292"/>
      <c r="H43" s="292"/>
      <c r="I43" s="292">
        <v>1.0</v>
      </c>
      <c r="J43" s="292">
        <v>1.0</v>
      </c>
      <c r="K43" s="292">
        <v>0.5</v>
      </c>
      <c r="L43" s="292">
        <v>1.0</v>
      </c>
      <c r="M43" s="292">
        <v>0.5</v>
      </c>
      <c r="N43" s="180">
        <v>1.0</v>
      </c>
      <c r="O43" s="180">
        <v>1.0</v>
      </c>
      <c r="P43" s="5"/>
      <c r="Q43" s="176">
        <f t="shared" ref="Q43:T43" si="118">round(J43/6,2)</f>
        <v>0.17</v>
      </c>
      <c r="R43" s="176">
        <f t="shared" si="118"/>
        <v>0.08</v>
      </c>
      <c r="S43" s="176">
        <f t="shared" si="118"/>
        <v>0.17</v>
      </c>
      <c r="T43" s="176">
        <f t="shared" si="118"/>
        <v>0.08</v>
      </c>
      <c r="U43" s="5"/>
      <c r="V43" s="184"/>
      <c r="W43" s="176">
        <v>0.8</v>
      </c>
      <c r="X43" s="184"/>
      <c r="Y43" s="184"/>
      <c r="Z43" s="184"/>
      <c r="AA43" s="184"/>
      <c r="AB43" s="5"/>
      <c r="AC43" s="184"/>
      <c r="AD43" s="184"/>
      <c r="AE43" s="184"/>
      <c r="AF43" s="184"/>
      <c r="AG43" s="184"/>
      <c r="AH43" s="184"/>
      <c r="AI43" s="5"/>
      <c r="AJ43" s="184">
        <f t="shared" ref="AJ43:AM43" si="119">ROUND(E43*(5/12)+J43*(5/12)+Q43+V43-AC43,2)</f>
        <v>0.59</v>
      </c>
      <c r="AK43" s="184">
        <f t="shared" si="119"/>
        <v>1.09</v>
      </c>
      <c r="AL43" s="184">
        <f t="shared" si="119"/>
        <v>0.59</v>
      </c>
      <c r="AM43" s="184">
        <f t="shared" si="119"/>
        <v>0.29</v>
      </c>
      <c r="AN43" s="184">
        <f t="shared" ref="AN43:AO43" si="120">N43+Z43-AG43</f>
        <v>1</v>
      </c>
      <c r="AO43" s="184">
        <f t="shared" si="120"/>
        <v>1</v>
      </c>
      <c r="AP43" s="5"/>
      <c r="AQ43" s="176">
        <v>0.0</v>
      </c>
      <c r="AR43" s="176">
        <v>0.262</v>
      </c>
      <c r="AS43" s="176">
        <v>1.0</v>
      </c>
      <c r="AT43" s="176">
        <v>0.33</v>
      </c>
      <c r="AU43" s="176">
        <v>1.0</v>
      </c>
      <c r="AV43" s="176">
        <v>1.0</v>
      </c>
      <c r="AW43" s="180" t="s">
        <v>2048</v>
      </c>
      <c r="AX43" s="5"/>
      <c r="AY43" s="417"/>
      <c r="BA43" s="81"/>
      <c r="BB43" s="81"/>
      <c r="BC43" s="81"/>
      <c r="BD43" s="81"/>
      <c r="BE43" s="81"/>
      <c r="BF43" s="81"/>
      <c r="BG43" s="81"/>
    </row>
    <row r="44">
      <c r="A44" s="176">
        <v>48.0</v>
      </c>
      <c r="B44" s="423" t="s">
        <v>1255</v>
      </c>
      <c r="C44" s="287" t="s">
        <v>93</v>
      </c>
      <c r="D44" s="50"/>
      <c r="E44" s="291"/>
      <c r="F44" s="292"/>
      <c r="G44" s="297"/>
      <c r="H44" s="297"/>
      <c r="I44" s="292">
        <v>3.0</v>
      </c>
      <c r="J44" s="292">
        <v>0.75</v>
      </c>
      <c r="K44" s="292">
        <v>0.25</v>
      </c>
      <c r="L44" s="297"/>
      <c r="M44" s="297"/>
      <c r="N44" s="180">
        <v>1.0</v>
      </c>
      <c r="O44" s="180">
        <v>1.0</v>
      </c>
      <c r="P44" s="5"/>
      <c r="Q44" s="176">
        <f t="shared" ref="Q44:T44" si="121">round(J44/6,2)</f>
        <v>0.13</v>
      </c>
      <c r="R44" s="176">
        <f t="shared" si="121"/>
        <v>0.04</v>
      </c>
      <c r="S44" s="176">
        <f t="shared" si="121"/>
        <v>0</v>
      </c>
      <c r="T44" s="176">
        <f t="shared" si="121"/>
        <v>0</v>
      </c>
      <c r="U44" s="5"/>
      <c r="V44" s="184"/>
      <c r="W44" s="184"/>
      <c r="X44" s="184"/>
      <c r="Y44" s="184"/>
      <c r="Z44" s="184"/>
      <c r="AA44" s="184"/>
      <c r="AB44" s="5"/>
      <c r="AC44" s="184"/>
      <c r="AD44" s="184"/>
      <c r="AE44" s="184"/>
      <c r="AF44" s="184"/>
      <c r="AG44" s="184"/>
      <c r="AH44" s="184"/>
      <c r="AI44" s="5"/>
      <c r="AJ44" s="184">
        <f t="shared" ref="AJ44:AM44" si="122">ROUND(E44*(5/12)+J44*(5/12)+Q44+V44-AC44,2)</f>
        <v>0.44</v>
      </c>
      <c r="AK44" s="184">
        <f t="shared" si="122"/>
        <v>0.14</v>
      </c>
      <c r="AL44" s="184">
        <f t="shared" si="122"/>
        <v>0</v>
      </c>
      <c r="AM44" s="184">
        <f t="shared" si="122"/>
        <v>0</v>
      </c>
      <c r="AN44" s="184">
        <f t="shared" ref="AN44:AO44" si="123">N44+Z44-AG44</f>
        <v>1</v>
      </c>
      <c r="AO44" s="184">
        <f t="shared" si="123"/>
        <v>1</v>
      </c>
      <c r="AP44" s="5"/>
      <c r="AQ44" s="176">
        <v>0.1</v>
      </c>
      <c r="AR44" s="184"/>
      <c r="AS44" s="176" t="s">
        <v>913</v>
      </c>
      <c r="AT44" s="176" t="s">
        <v>913</v>
      </c>
      <c r="AU44" s="184"/>
      <c r="AV44" s="176">
        <v>1.0</v>
      </c>
      <c r="AW44" s="180" t="s">
        <v>2049</v>
      </c>
      <c r="AX44" s="5"/>
      <c r="AY44" s="416"/>
      <c r="BA44" s="81"/>
      <c r="BB44" s="81"/>
      <c r="BC44" s="81"/>
      <c r="BD44" s="81"/>
      <c r="BE44" s="81"/>
      <c r="BF44" s="81"/>
      <c r="BG44" s="81"/>
    </row>
    <row r="45">
      <c r="A45" s="176">
        <v>51.0</v>
      </c>
      <c r="B45" s="423" t="s">
        <v>1675</v>
      </c>
      <c r="C45" s="287" t="s">
        <v>93</v>
      </c>
      <c r="D45" s="50"/>
      <c r="E45" s="291"/>
      <c r="F45" s="292"/>
      <c r="G45" s="292"/>
      <c r="H45" s="292"/>
      <c r="I45" s="292">
        <v>2.0</v>
      </c>
      <c r="J45" s="292">
        <v>1.0</v>
      </c>
      <c r="K45" s="292">
        <v>0.25</v>
      </c>
      <c r="L45" s="292">
        <v>0.75</v>
      </c>
      <c r="M45" s="293"/>
      <c r="N45" s="180">
        <v>1.0</v>
      </c>
      <c r="O45" s="180">
        <v>1.0</v>
      </c>
      <c r="P45" s="5"/>
      <c r="Q45" s="176">
        <f t="shared" ref="Q45:T45" si="124">round(J45/6,2)</f>
        <v>0.17</v>
      </c>
      <c r="R45" s="176">
        <f t="shared" si="124"/>
        <v>0.04</v>
      </c>
      <c r="S45" s="176">
        <f t="shared" si="124"/>
        <v>0.13</v>
      </c>
      <c r="T45" s="176">
        <f t="shared" si="124"/>
        <v>0</v>
      </c>
      <c r="U45" s="5"/>
      <c r="V45" s="184"/>
      <c r="W45" s="176">
        <v>0.26</v>
      </c>
      <c r="X45" s="184"/>
      <c r="Y45" s="184"/>
      <c r="Z45" s="184"/>
      <c r="AA45" s="184"/>
      <c r="AB45" s="5"/>
      <c r="AC45" s="184"/>
      <c r="AD45" s="184"/>
      <c r="AE45" s="176">
        <v>0.33</v>
      </c>
      <c r="AF45" s="184"/>
      <c r="AG45" s="184"/>
      <c r="AH45" s="184"/>
      <c r="AI45" s="5"/>
      <c r="AJ45" s="184">
        <f t="shared" ref="AJ45:AM45" si="125">ROUND(E45*(5/12)+J45*(5/12)+Q45+V45-AC45,2)</f>
        <v>0.59</v>
      </c>
      <c r="AK45" s="184">
        <f t="shared" si="125"/>
        <v>0.4</v>
      </c>
      <c r="AL45" s="184">
        <f t="shared" si="125"/>
        <v>0.11</v>
      </c>
      <c r="AM45" s="184">
        <f t="shared" si="125"/>
        <v>0</v>
      </c>
      <c r="AN45" s="184">
        <f t="shared" ref="AN45:AO45" si="126">N45+Z45-AG45</f>
        <v>1</v>
      </c>
      <c r="AO45" s="184">
        <f t="shared" si="126"/>
        <v>1</v>
      </c>
      <c r="AP45" s="5"/>
      <c r="AQ45" s="176">
        <v>1.0</v>
      </c>
      <c r="AR45" s="176">
        <v>0.213</v>
      </c>
      <c r="AS45" s="176">
        <v>1.0</v>
      </c>
      <c r="AT45" s="176">
        <v>0.0</v>
      </c>
      <c r="AU45" s="176">
        <v>1.0</v>
      </c>
      <c r="AV45" s="176">
        <v>1.0</v>
      </c>
      <c r="AW45" s="180" t="s">
        <v>2050</v>
      </c>
      <c r="AX45" s="5"/>
      <c r="AY45" s="416"/>
      <c r="BA45" s="81"/>
      <c r="BB45" s="81"/>
      <c r="BC45" s="81"/>
      <c r="BD45" s="81"/>
      <c r="BE45" s="81"/>
      <c r="BF45" s="81"/>
      <c r="BG45" s="81"/>
    </row>
    <row r="46">
      <c r="A46" s="176">
        <v>52.0</v>
      </c>
      <c r="B46" s="423" t="s">
        <v>1677</v>
      </c>
      <c r="C46" s="287" t="s">
        <v>93</v>
      </c>
      <c r="D46" s="50"/>
      <c r="E46" s="291"/>
      <c r="F46" s="314"/>
      <c r="G46" s="291"/>
      <c r="H46" s="291"/>
      <c r="I46" s="291">
        <v>1.0</v>
      </c>
      <c r="J46" s="291">
        <v>1.0</v>
      </c>
      <c r="K46" s="426"/>
      <c r="L46" s="291">
        <v>1.0</v>
      </c>
      <c r="M46" s="291">
        <v>1.0</v>
      </c>
      <c r="N46" s="180">
        <v>1.0</v>
      </c>
      <c r="O46" s="180">
        <v>1.0</v>
      </c>
      <c r="P46" s="5"/>
      <c r="Q46" s="176">
        <f t="shared" ref="Q46:T46" si="127">round(J46/6,2)</f>
        <v>0.17</v>
      </c>
      <c r="R46" s="176">
        <f t="shared" si="127"/>
        <v>0</v>
      </c>
      <c r="S46" s="176">
        <f t="shared" si="127"/>
        <v>0.17</v>
      </c>
      <c r="T46" s="176">
        <f t="shared" si="127"/>
        <v>0.17</v>
      </c>
      <c r="U46" s="5"/>
      <c r="V46" s="184"/>
      <c r="W46" s="176">
        <v>0.3</v>
      </c>
      <c r="X46" s="184"/>
      <c r="Y46" s="184"/>
      <c r="Z46" s="184"/>
      <c r="AA46" s="184"/>
      <c r="AB46" s="5"/>
      <c r="AC46" s="184"/>
      <c r="AD46" s="184"/>
      <c r="AE46" s="184"/>
      <c r="AF46" s="184"/>
      <c r="AG46" s="184"/>
      <c r="AH46" s="184"/>
      <c r="AI46" s="5"/>
      <c r="AJ46" s="184">
        <f t="shared" ref="AJ46:AM46" si="128">ROUND(E46*(5/12)+J46*(5/12)+Q46+V46-AC46,2)</f>
        <v>0.59</v>
      </c>
      <c r="AK46" s="184">
        <f t="shared" si="128"/>
        <v>0.3</v>
      </c>
      <c r="AL46" s="184">
        <f t="shared" si="128"/>
        <v>0.59</v>
      </c>
      <c r="AM46" s="184">
        <f t="shared" si="128"/>
        <v>0.59</v>
      </c>
      <c r="AN46" s="184">
        <f t="shared" ref="AN46:AO46" si="129">N46+Z46-AG46</f>
        <v>1</v>
      </c>
      <c r="AO46" s="184">
        <f t="shared" si="129"/>
        <v>1</v>
      </c>
      <c r="AP46" s="5"/>
      <c r="AQ46" s="176">
        <v>1.5</v>
      </c>
      <c r="AR46" s="176">
        <v>0.37</v>
      </c>
      <c r="AS46" s="176">
        <v>1.165</v>
      </c>
      <c r="AT46" s="176">
        <v>0.825</v>
      </c>
      <c r="AU46" s="176">
        <v>1.0</v>
      </c>
      <c r="AV46" s="176">
        <v>1.0</v>
      </c>
      <c r="AW46" s="180" t="s">
        <v>2051</v>
      </c>
      <c r="AX46" s="5"/>
      <c r="AY46" s="418"/>
      <c r="BA46" s="81"/>
      <c r="BB46" s="81"/>
      <c r="BC46" s="81"/>
      <c r="BD46" s="81"/>
      <c r="BE46" s="81"/>
      <c r="BF46" s="81"/>
      <c r="BG46" s="81"/>
    </row>
    <row r="47">
      <c r="A47" s="176">
        <v>53.0</v>
      </c>
      <c r="B47" s="423" t="s">
        <v>1339</v>
      </c>
      <c r="C47" s="287" t="s">
        <v>93</v>
      </c>
      <c r="D47" s="179"/>
      <c r="E47" s="292"/>
      <c r="F47" s="292"/>
      <c r="G47" s="297"/>
      <c r="H47" s="297"/>
      <c r="I47" s="427">
        <v>2.0</v>
      </c>
      <c r="J47" s="427">
        <v>1.75</v>
      </c>
      <c r="K47" s="427">
        <v>0.25</v>
      </c>
      <c r="L47" s="297"/>
      <c r="M47" s="297"/>
      <c r="N47" s="180">
        <v>1.0</v>
      </c>
      <c r="O47" s="180">
        <v>1.0</v>
      </c>
      <c r="P47" s="5"/>
      <c r="Q47" s="176">
        <f t="shared" ref="Q47:T47" si="130">round(J47/6,2)</f>
        <v>0.29</v>
      </c>
      <c r="R47" s="176">
        <f t="shared" si="130"/>
        <v>0.04</v>
      </c>
      <c r="S47" s="176">
        <f t="shared" si="130"/>
        <v>0</v>
      </c>
      <c r="T47" s="176">
        <f t="shared" si="130"/>
        <v>0</v>
      </c>
      <c r="U47" s="5"/>
      <c r="V47" s="184"/>
      <c r="W47" s="184"/>
      <c r="X47" s="184"/>
      <c r="Y47" s="184"/>
      <c r="Z47" s="184"/>
      <c r="AA47" s="184"/>
      <c r="AB47" s="5"/>
      <c r="AC47" s="184"/>
      <c r="AD47" s="184"/>
      <c r="AE47" s="184"/>
      <c r="AF47" s="184"/>
      <c r="AG47" s="184"/>
      <c r="AH47" s="184"/>
      <c r="AI47" s="5"/>
      <c r="AJ47" s="184">
        <f t="shared" ref="AJ47:AM47" si="131">ROUND(E47*(5/12)+J47*(5/12)+Q47+V47-AC47,2)</f>
        <v>1.02</v>
      </c>
      <c r="AK47" s="184">
        <f t="shared" si="131"/>
        <v>0.14</v>
      </c>
      <c r="AL47" s="184">
        <f t="shared" si="131"/>
        <v>0</v>
      </c>
      <c r="AM47" s="184">
        <f t="shared" si="131"/>
        <v>0</v>
      </c>
      <c r="AN47" s="184">
        <f t="shared" ref="AN47:AO47" si="132">N47+Z47-AG47</f>
        <v>1</v>
      </c>
      <c r="AO47" s="184">
        <f t="shared" si="132"/>
        <v>1</v>
      </c>
      <c r="AP47" s="5"/>
      <c r="AQ47" s="176">
        <v>1.25</v>
      </c>
      <c r="AR47" s="176">
        <v>0.0</v>
      </c>
      <c r="AS47" s="176" t="s">
        <v>913</v>
      </c>
      <c r="AT47" s="176" t="s">
        <v>913</v>
      </c>
      <c r="AU47" s="176">
        <v>1.0</v>
      </c>
      <c r="AV47" s="176">
        <v>1.0</v>
      </c>
      <c r="AW47" s="180" t="s">
        <v>2052</v>
      </c>
      <c r="AX47" s="5"/>
      <c r="AY47" s="418"/>
      <c r="BA47" s="81"/>
      <c r="BB47" s="81"/>
      <c r="BC47" s="81"/>
      <c r="BD47" s="81"/>
      <c r="BE47" s="81"/>
      <c r="BF47" s="81"/>
      <c r="BG47" s="81"/>
    </row>
    <row r="48">
      <c r="A48" s="176">
        <v>54.0</v>
      </c>
      <c r="B48" s="423" t="s">
        <v>1684</v>
      </c>
      <c r="C48" s="287" t="s">
        <v>93</v>
      </c>
      <c r="D48" s="179"/>
      <c r="E48" s="292"/>
      <c r="F48" s="292"/>
      <c r="G48" s="297"/>
      <c r="H48" s="297"/>
      <c r="I48" s="427">
        <v>3.0</v>
      </c>
      <c r="J48" s="427">
        <v>0.75</v>
      </c>
      <c r="K48" s="427">
        <v>0.25</v>
      </c>
      <c r="L48" s="297"/>
      <c r="M48" s="297"/>
      <c r="N48" s="180">
        <v>1.0</v>
      </c>
      <c r="O48" s="180">
        <v>1.0</v>
      </c>
      <c r="P48" s="5"/>
      <c r="Q48" s="176">
        <f t="shared" ref="Q48:T48" si="133">round(J48/6,2)</f>
        <v>0.13</v>
      </c>
      <c r="R48" s="176">
        <f t="shared" si="133"/>
        <v>0.04</v>
      </c>
      <c r="S48" s="176">
        <f t="shared" si="133"/>
        <v>0</v>
      </c>
      <c r="T48" s="176">
        <f t="shared" si="133"/>
        <v>0</v>
      </c>
      <c r="U48" s="5"/>
      <c r="V48" s="184"/>
      <c r="W48" s="184"/>
      <c r="X48" s="184"/>
      <c r="Y48" s="184"/>
      <c r="Z48" s="184"/>
      <c r="AA48" s="184"/>
      <c r="AB48" s="5"/>
      <c r="AC48" s="184"/>
      <c r="AD48" s="184"/>
      <c r="AE48" s="184"/>
      <c r="AF48" s="184"/>
      <c r="AG48" s="184"/>
      <c r="AH48" s="184"/>
      <c r="AI48" s="5"/>
      <c r="AJ48" s="184">
        <f t="shared" ref="AJ48:AM48" si="134">ROUND(E48*(5/12)+J48*(5/12)+Q48+V48-AC48,2)</f>
        <v>0.44</v>
      </c>
      <c r="AK48" s="184">
        <f t="shared" si="134"/>
        <v>0.14</v>
      </c>
      <c r="AL48" s="184">
        <f t="shared" si="134"/>
        <v>0</v>
      </c>
      <c r="AM48" s="184">
        <f t="shared" si="134"/>
        <v>0</v>
      </c>
      <c r="AN48" s="184">
        <f t="shared" ref="AN48:AO48" si="135">N48+Z48-AG48</f>
        <v>1</v>
      </c>
      <c r="AO48" s="184">
        <f t="shared" si="135"/>
        <v>1</v>
      </c>
      <c r="AP48" s="5"/>
      <c r="AQ48" s="176">
        <v>0.733</v>
      </c>
      <c r="AR48" s="176">
        <v>0.0</v>
      </c>
      <c r="AS48" s="176" t="s">
        <v>913</v>
      </c>
      <c r="AT48" s="176" t="s">
        <v>913</v>
      </c>
      <c r="AU48" s="176">
        <v>1.0</v>
      </c>
      <c r="AV48" s="176">
        <v>1.0</v>
      </c>
      <c r="AW48" s="180" t="s">
        <v>2053</v>
      </c>
      <c r="AX48" s="5"/>
      <c r="AY48" s="417"/>
      <c r="BA48" s="81"/>
      <c r="BB48" s="81"/>
      <c r="BC48" s="81"/>
      <c r="BD48" s="81"/>
      <c r="BE48" s="81"/>
      <c r="BF48" s="81"/>
      <c r="BG48" s="81"/>
    </row>
    <row r="49">
      <c r="A49" s="176">
        <v>56.0</v>
      </c>
      <c r="B49" s="414" t="s">
        <v>95</v>
      </c>
      <c r="C49" s="287" t="s">
        <v>93</v>
      </c>
      <c r="D49" s="179"/>
      <c r="E49" s="292"/>
      <c r="F49" s="297"/>
      <c r="G49" s="297"/>
      <c r="H49" s="297"/>
      <c r="I49" s="427">
        <v>3.0</v>
      </c>
      <c r="J49" s="427">
        <v>1.0</v>
      </c>
      <c r="K49" s="297"/>
      <c r="L49" s="297"/>
      <c r="M49" s="297"/>
      <c r="N49" s="180">
        <v>1.0</v>
      </c>
      <c r="O49" s="180">
        <v>1.0</v>
      </c>
      <c r="P49" s="5"/>
      <c r="Q49" s="176">
        <f t="shared" ref="Q49:T49" si="136">round(J49/6,2)</f>
        <v>0.17</v>
      </c>
      <c r="R49" s="176">
        <f t="shared" si="136"/>
        <v>0</v>
      </c>
      <c r="S49" s="176">
        <f t="shared" si="136"/>
        <v>0</v>
      </c>
      <c r="T49" s="176">
        <f t="shared" si="136"/>
        <v>0</v>
      </c>
      <c r="U49" s="5"/>
      <c r="V49" s="184"/>
      <c r="W49" s="184"/>
      <c r="X49" s="184"/>
      <c r="Y49" s="184"/>
      <c r="Z49" s="184"/>
      <c r="AA49" s="184"/>
      <c r="AB49" s="5"/>
      <c r="AC49" s="176">
        <v>0.5</v>
      </c>
      <c r="AD49" s="184"/>
      <c r="AE49" s="184"/>
      <c r="AF49" s="184"/>
      <c r="AG49" s="184"/>
      <c r="AH49" s="184"/>
      <c r="AI49" s="5"/>
      <c r="AJ49" s="184">
        <f t="shared" ref="AJ49:AM49" si="137">ROUND(E49*(5/12)+J49*(5/12)+Q49+V49-AC49,2)</f>
        <v>0.09</v>
      </c>
      <c r="AK49" s="184">
        <f t="shared" si="137"/>
        <v>0</v>
      </c>
      <c r="AL49" s="184">
        <f t="shared" si="137"/>
        <v>0</v>
      </c>
      <c r="AM49" s="184">
        <f t="shared" si="137"/>
        <v>0</v>
      </c>
      <c r="AN49" s="184">
        <f t="shared" ref="AN49:AO49" si="138">N49+Z49-AG49</f>
        <v>1</v>
      </c>
      <c r="AO49" s="184">
        <f t="shared" si="138"/>
        <v>1</v>
      </c>
      <c r="AP49" s="5"/>
      <c r="AQ49" s="176">
        <v>1.233</v>
      </c>
      <c r="AR49" s="176" t="s">
        <v>913</v>
      </c>
      <c r="AS49" s="176" t="s">
        <v>913</v>
      </c>
      <c r="AT49" s="176" t="s">
        <v>913</v>
      </c>
      <c r="AU49" s="176">
        <v>1.0</v>
      </c>
      <c r="AV49" s="176">
        <v>1.0</v>
      </c>
      <c r="AW49" s="180" t="s">
        <v>2054</v>
      </c>
      <c r="AX49" s="5"/>
      <c r="AY49" s="417"/>
      <c r="BA49" s="81"/>
      <c r="BB49" s="81"/>
      <c r="BC49" s="81"/>
      <c r="BD49" s="81"/>
      <c r="BE49" s="81"/>
      <c r="BF49" s="81"/>
      <c r="BG49" s="81"/>
    </row>
    <row r="50">
      <c r="A50" s="176">
        <v>57.0</v>
      </c>
      <c r="B50" s="423" t="s">
        <v>96</v>
      </c>
      <c r="C50" s="287" t="s">
        <v>93</v>
      </c>
      <c r="D50" s="179"/>
      <c r="E50" s="297"/>
      <c r="F50" s="297"/>
      <c r="G50" s="297"/>
      <c r="H50" s="297"/>
      <c r="I50" s="427">
        <v>3.0</v>
      </c>
      <c r="J50" s="427">
        <v>1.0</v>
      </c>
      <c r="K50" s="297"/>
      <c r="L50" s="297"/>
      <c r="M50" s="297"/>
      <c r="N50" s="180">
        <v>1.0</v>
      </c>
      <c r="O50" s="180">
        <v>1.0</v>
      </c>
      <c r="P50" s="5"/>
      <c r="Q50" s="176">
        <f t="shared" ref="Q50:T50" si="139">round(J50/6,2)</f>
        <v>0.17</v>
      </c>
      <c r="R50" s="176">
        <f t="shared" si="139"/>
        <v>0</v>
      </c>
      <c r="S50" s="176">
        <f t="shared" si="139"/>
        <v>0</v>
      </c>
      <c r="T50" s="176">
        <f t="shared" si="139"/>
        <v>0</v>
      </c>
      <c r="U50" s="5"/>
      <c r="V50" s="184"/>
      <c r="W50" s="184"/>
      <c r="X50" s="184"/>
      <c r="Y50" s="184"/>
      <c r="Z50" s="184"/>
      <c r="AA50" s="184"/>
      <c r="AB50" s="5"/>
      <c r="AC50" s="184"/>
      <c r="AD50" s="184"/>
      <c r="AE50" s="184"/>
      <c r="AF50" s="184"/>
      <c r="AG50" s="184"/>
      <c r="AH50" s="184"/>
      <c r="AI50" s="5"/>
      <c r="AJ50" s="184">
        <f t="shared" ref="AJ50:AJ86" si="143">ROUND(E50*(5/12)+J50*(5/12)+Q50+V50-AC50,2)</f>
        <v>0.59</v>
      </c>
      <c r="AK50" s="184">
        <f t="shared" ref="AK50:AK86" si="144">ROUND(F50*(5/12)+K50*(5/12)+R50+W50-AD50,3)</f>
        <v>0</v>
      </c>
      <c r="AL50" s="184">
        <f t="shared" ref="AL50:AM50" si="140">ROUND(G50*(5/12)+L50*(5/12)+S50+X50-AE50,2)</f>
        <v>0</v>
      </c>
      <c r="AM50" s="184">
        <f t="shared" si="140"/>
        <v>0</v>
      </c>
      <c r="AN50" s="184">
        <f t="shared" ref="AN50:AO50" si="141">N50+Z50-AG50</f>
        <v>1</v>
      </c>
      <c r="AO50" s="184">
        <f t="shared" si="141"/>
        <v>1</v>
      </c>
      <c r="AP50" s="5"/>
      <c r="AQ50" s="176">
        <v>0.883</v>
      </c>
      <c r="AR50" s="176" t="s">
        <v>913</v>
      </c>
      <c r="AS50" s="176" t="s">
        <v>913</v>
      </c>
      <c r="AT50" s="176" t="s">
        <v>913</v>
      </c>
      <c r="AU50" s="176">
        <v>1.0</v>
      </c>
      <c r="AV50" s="176">
        <v>1.0</v>
      </c>
      <c r="AW50" s="180" t="s">
        <v>2055</v>
      </c>
      <c r="AX50" s="5"/>
      <c r="AY50" s="418"/>
      <c r="BA50" s="81"/>
      <c r="BB50" s="81"/>
      <c r="BC50" s="81"/>
      <c r="BD50" s="81"/>
      <c r="BE50" s="81"/>
      <c r="BF50" s="81"/>
      <c r="BG50" s="81"/>
    </row>
    <row r="51">
      <c r="A51" s="176">
        <v>58.0</v>
      </c>
      <c r="B51" s="423" t="s">
        <v>1688</v>
      </c>
      <c r="C51" s="287" t="s">
        <v>93</v>
      </c>
      <c r="D51" s="50"/>
      <c r="E51" s="291"/>
      <c r="F51" s="297"/>
      <c r="G51" s="297"/>
      <c r="H51" s="297"/>
      <c r="I51" s="427">
        <v>3.0</v>
      </c>
      <c r="J51" s="427">
        <v>1.0</v>
      </c>
      <c r="K51" s="297"/>
      <c r="L51" s="297"/>
      <c r="M51" s="297"/>
      <c r="N51" s="180">
        <v>1.0</v>
      </c>
      <c r="O51" s="180">
        <v>1.0</v>
      </c>
      <c r="P51" s="5"/>
      <c r="Q51" s="176">
        <f t="shared" ref="Q51:T51" si="142">round(J51/6,2)</f>
        <v>0.17</v>
      </c>
      <c r="R51" s="176">
        <f t="shared" si="142"/>
        <v>0</v>
      </c>
      <c r="S51" s="176">
        <f t="shared" si="142"/>
        <v>0</v>
      </c>
      <c r="T51" s="176">
        <f t="shared" si="142"/>
        <v>0</v>
      </c>
      <c r="U51" s="5"/>
      <c r="V51" s="184"/>
      <c r="W51" s="176">
        <v>0.5</v>
      </c>
      <c r="X51" s="184"/>
      <c r="Y51" s="184"/>
      <c r="Z51" s="184"/>
      <c r="AA51" s="176">
        <v>1.0</v>
      </c>
      <c r="AB51" s="5"/>
      <c r="AC51" s="184"/>
      <c r="AD51" s="184"/>
      <c r="AE51" s="184"/>
      <c r="AF51" s="184"/>
      <c r="AG51" s="184"/>
      <c r="AH51" s="184"/>
      <c r="AI51" s="5"/>
      <c r="AJ51" s="184">
        <f t="shared" si="143"/>
        <v>0.59</v>
      </c>
      <c r="AK51" s="184">
        <f t="shared" si="144"/>
        <v>0.5</v>
      </c>
      <c r="AL51" s="184">
        <f t="shared" ref="AL51:AM51" si="145">ROUND(G51*(5/12)+L51*(5/12)+S51+X51-AE51,2)</f>
        <v>0</v>
      </c>
      <c r="AM51" s="184">
        <f t="shared" si="145"/>
        <v>0</v>
      </c>
      <c r="AN51" s="184">
        <f t="shared" ref="AN51:AO51" si="146">N51+Z51-AG51</f>
        <v>1</v>
      </c>
      <c r="AO51" s="184">
        <f t="shared" si="146"/>
        <v>2</v>
      </c>
      <c r="AP51" s="5"/>
      <c r="AQ51" s="176">
        <v>0.0</v>
      </c>
      <c r="AR51" s="176">
        <v>0.0</v>
      </c>
      <c r="AS51" s="176" t="s">
        <v>913</v>
      </c>
      <c r="AT51" s="176" t="s">
        <v>913</v>
      </c>
      <c r="AU51" s="176">
        <v>0.0</v>
      </c>
      <c r="AV51" s="176">
        <v>0.0</v>
      </c>
      <c r="AW51" s="180" t="s">
        <v>2056</v>
      </c>
      <c r="AX51" s="5"/>
      <c r="AY51" s="417"/>
      <c r="BA51" s="81"/>
      <c r="BB51" s="81"/>
      <c r="BC51" s="81"/>
      <c r="BD51" s="81"/>
      <c r="BE51" s="81"/>
      <c r="BF51" s="81"/>
      <c r="BG51" s="81"/>
    </row>
    <row r="52">
      <c r="A52" s="176">
        <v>59.0</v>
      </c>
      <c r="B52" s="423" t="s">
        <v>101</v>
      </c>
      <c r="C52" s="287" t="s">
        <v>93</v>
      </c>
      <c r="D52" s="179"/>
      <c r="E52" s="297"/>
      <c r="F52" s="297"/>
      <c r="G52" s="297"/>
      <c r="H52" s="297"/>
      <c r="I52" s="292">
        <v>3.0</v>
      </c>
      <c r="J52" s="292">
        <v>1.0</v>
      </c>
      <c r="K52" s="297"/>
      <c r="L52" s="297"/>
      <c r="M52" s="297"/>
      <c r="N52" s="180">
        <v>1.0</v>
      </c>
      <c r="O52" s="180">
        <v>1.0</v>
      </c>
      <c r="P52" s="5"/>
      <c r="Q52" s="176">
        <f t="shared" ref="Q52:T52" si="147">round(J52/6,2)</f>
        <v>0.17</v>
      </c>
      <c r="R52" s="176">
        <f t="shared" si="147"/>
        <v>0</v>
      </c>
      <c r="S52" s="176">
        <f t="shared" si="147"/>
        <v>0</v>
      </c>
      <c r="T52" s="176">
        <f t="shared" si="147"/>
        <v>0</v>
      </c>
      <c r="U52" s="5"/>
      <c r="V52" s="184"/>
      <c r="W52" s="184"/>
      <c r="X52" s="184"/>
      <c r="Y52" s="184"/>
      <c r="Z52" s="184"/>
      <c r="AA52" s="184"/>
      <c r="AB52" s="5"/>
      <c r="AC52" s="184"/>
      <c r="AD52" s="184"/>
      <c r="AE52" s="184"/>
      <c r="AF52" s="184"/>
      <c r="AG52" s="184"/>
      <c r="AH52" s="184"/>
      <c r="AI52" s="5"/>
      <c r="AJ52" s="184">
        <f t="shared" si="143"/>
        <v>0.59</v>
      </c>
      <c r="AK52" s="184">
        <f t="shared" si="144"/>
        <v>0</v>
      </c>
      <c r="AL52" s="184">
        <f t="shared" ref="AL52:AM52" si="148">ROUND(G52*(5/12)+L52*(5/12)+S52+X52-AE52,2)</f>
        <v>0</v>
      </c>
      <c r="AM52" s="184">
        <f t="shared" si="148"/>
        <v>0</v>
      </c>
      <c r="AN52" s="184">
        <f t="shared" ref="AN52:AO52" si="149">N52+Z52-AG52</f>
        <v>1</v>
      </c>
      <c r="AO52" s="184">
        <f t="shared" si="149"/>
        <v>1</v>
      </c>
      <c r="AP52" s="5"/>
      <c r="AQ52" s="176">
        <v>1.0</v>
      </c>
      <c r="AR52" s="176" t="s">
        <v>913</v>
      </c>
      <c r="AS52" s="176" t="s">
        <v>913</v>
      </c>
      <c r="AT52" s="176" t="s">
        <v>913</v>
      </c>
      <c r="AU52" s="176">
        <v>1.0</v>
      </c>
      <c r="AV52" s="176">
        <v>1.0</v>
      </c>
      <c r="AW52" s="180" t="s">
        <v>2057</v>
      </c>
      <c r="AX52" s="5"/>
      <c r="AY52" s="428"/>
      <c r="BA52" s="81"/>
      <c r="BB52" s="81"/>
      <c r="BC52" s="81"/>
      <c r="BD52" s="81"/>
      <c r="BE52" s="81"/>
      <c r="BF52" s="81"/>
      <c r="BG52" s="81"/>
    </row>
    <row r="53">
      <c r="A53" s="176">
        <v>60.0</v>
      </c>
      <c r="B53" s="423" t="s">
        <v>1691</v>
      </c>
      <c r="C53" s="287" t="s">
        <v>93</v>
      </c>
      <c r="D53" s="179"/>
      <c r="E53" s="292"/>
      <c r="F53" s="297"/>
      <c r="G53" s="297"/>
      <c r="H53" s="297"/>
      <c r="I53" s="427">
        <v>3.0</v>
      </c>
      <c r="J53" s="427">
        <v>1.0</v>
      </c>
      <c r="K53" s="297"/>
      <c r="L53" s="297"/>
      <c r="M53" s="297"/>
      <c r="N53" s="180">
        <v>1.0</v>
      </c>
      <c r="O53" s="180">
        <v>1.0</v>
      </c>
      <c r="P53" s="5"/>
      <c r="Q53" s="176">
        <f t="shared" ref="Q53:T53" si="150">round(J53/6,2)</f>
        <v>0.17</v>
      </c>
      <c r="R53" s="176">
        <f t="shared" si="150"/>
        <v>0</v>
      </c>
      <c r="S53" s="176">
        <f t="shared" si="150"/>
        <v>0</v>
      </c>
      <c r="T53" s="176">
        <f t="shared" si="150"/>
        <v>0</v>
      </c>
      <c r="U53" s="5"/>
      <c r="V53" s="184"/>
      <c r="W53" s="184"/>
      <c r="X53" s="184"/>
      <c r="Y53" s="184"/>
      <c r="Z53" s="184"/>
      <c r="AA53" s="184"/>
      <c r="AB53" s="5"/>
      <c r="AC53" s="176">
        <v>0.5</v>
      </c>
      <c r="AD53" s="184"/>
      <c r="AE53" s="184"/>
      <c r="AF53" s="184"/>
      <c r="AG53" s="184"/>
      <c r="AH53" s="184"/>
      <c r="AI53" s="5"/>
      <c r="AJ53" s="184">
        <f t="shared" si="143"/>
        <v>0.09</v>
      </c>
      <c r="AK53" s="184">
        <f t="shared" si="144"/>
        <v>0</v>
      </c>
      <c r="AL53" s="184">
        <f t="shared" ref="AL53:AM53" si="151">ROUND(G53*(5/12)+L53*(5/12)+S53+X53-AE53,2)</f>
        <v>0</v>
      </c>
      <c r="AM53" s="184">
        <f t="shared" si="151"/>
        <v>0</v>
      </c>
      <c r="AN53" s="184">
        <f t="shared" ref="AN53:AO53" si="152">N53+Z53-AG53</f>
        <v>1</v>
      </c>
      <c r="AO53" s="184">
        <f t="shared" si="152"/>
        <v>1</v>
      </c>
      <c r="AP53" s="5"/>
      <c r="AQ53" s="176">
        <v>1.0</v>
      </c>
      <c r="AR53" s="176" t="s">
        <v>913</v>
      </c>
      <c r="AS53" s="176" t="s">
        <v>913</v>
      </c>
      <c r="AT53" s="176" t="s">
        <v>913</v>
      </c>
      <c r="AU53" s="176">
        <v>1.0</v>
      </c>
      <c r="AV53" s="176">
        <v>1.0</v>
      </c>
      <c r="AW53" s="180" t="s">
        <v>2058</v>
      </c>
      <c r="AX53" s="5"/>
      <c r="AY53" s="417"/>
      <c r="BA53" s="81"/>
      <c r="BB53" s="81"/>
      <c r="BC53" s="81"/>
      <c r="BD53" s="81"/>
      <c r="BE53" s="81"/>
      <c r="BF53" s="81"/>
      <c r="BG53" s="81"/>
    </row>
    <row r="54">
      <c r="A54" s="176">
        <v>61.0</v>
      </c>
      <c r="B54" s="423" t="s">
        <v>2059</v>
      </c>
      <c r="C54" s="287" t="s">
        <v>93</v>
      </c>
      <c r="D54" s="179"/>
      <c r="E54" s="297"/>
      <c r="F54" s="297"/>
      <c r="G54" s="297"/>
      <c r="H54" s="297"/>
      <c r="I54" s="292">
        <v>4.0</v>
      </c>
      <c r="J54" s="292">
        <v>0.0</v>
      </c>
      <c r="K54" s="297"/>
      <c r="L54" s="297"/>
      <c r="M54" s="297"/>
      <c r="N54" s="180">
        <v>1.0</v>
      </c>
      <c r="O54" s="180">
        <v>1.0</v>
      </c>
      <c r="P54" s="5"/>
      <c r="Q54" s="176">
        <f t="shared" ref="Q54:T54" si="153">round(J54/6,2)</f>
        <v>0</v>
      </c>
      <c r="R54" s="176">
        <f t="shared" si="153"/>
        <v>0</v>
      </c>
      <c r="S54" s="176">
        <f t="shared" si="153"/>
        <v>0</v>
      </c>
      <c r="T54" s="176">
        <f t="shared" si="153"/>
        <v>0</v>
      </c>
      <c r="U54" s="5"/>
      <c r="V54" s="184"/>
      <c r="W54" s="184"/>
      <c r="X54" s="184"/>
      <c r="Y54" s="184"/>
      <c r="Z54" s="176">
        <v>1.0</v>
      </c>
      <c r="AA54" s="184"/>
      <c r="AB54" s="5"/>
      <c r="AC54" s="184"/>
      <c r="AD54" s="184"/>
      <c r="AE54" s="184"/>
      <c r="AF54" s="184"/>
      <c r="AG54" s="184"/>
      <c r="AH54" s="184"/>
      <c r="AI54" s="5"/>
      <c r="AJ54" s="184">
        <f t="shared" si="143"/>
        <v>0</v>
      </c>
      <c r="AK54" s="184">
        <f t="shared" si="144"/>
        <v>0</v>
      </c>
      <c r="AL54" s="184">
        <f t="shared" ref="AL54:AM54" si="154">ROUND(G54*(5/12)+L54*(5/12)+S54+X54-AE54,2)</f>
        <v>0</v>
      </c>
      <c r="AM54" s="184">
        <f t="shared" si="154"/>
        <v>0</v>
      </c>
      <c r="AN54" s="184">
        <f t="shared" ref="AN54:AO54" si="155">N54+Z54-AG54</f>
        <v>2</v>
      </c>
      <c r="AO54" s="184">
        <f t="shared" si="155"/>
        <v>1</v>
      </c>
      <c r="AP54" s="5"/>
      <c r="AQ54" s="176" t="s">
        <v>913</v>
      </c>
      <c r="AR54" s="176" t="s">
        <v>913</v>
      </c>
      <c r="AS54" s="176" t="s">
        <v>913</v>
      </c>
      <c r="AT54" s="176" t="s">
        <v>913</v>
      </c>
      <c r="AU54" s="176">
        <v>0.0</v>
      </c>
      <c r="AV54" s="176">
        <v>0.0</v>
      </c>
      <c r="AW54" s="180" t="s">
        <v>2060</v>
      </c>
      <c r="AX54" s="5"/>
      <c r="AY54" s="413"/>
      <c r="BA54" s="81"/>
      <c r="BB54" s="81"/>
      <c r="BC54" s="81"/>
      <c r="BD54" s="81"/>
      <c r="BE54" s="81"/>
      <c r="BF54" s="81"/>
      <c r="BG54" s="81"/>
    </row>
    <row r="55">
      <c r="A55" s="176">
        <v>62.0</v>
      </c>
      <c r="B55" s="414" t="s">
        <v>1693</v>
      </c>
      <c r="C55" s="287" t="s">
        <v>93</v>
      </c>
      <c r="D55" s="179"/>
      <c r="E55" s="297"/>
      <c r="F55" s="297"/>
      <c r="G55" s="297"/>
      <c r="H55" s="297"/>
      <c r="I55" s="292">
        <v>4.0</v>
      </c>
      <c r="J55" s="292">
        <v>0.0</v>
      </c>
      <c r="K55" s="297"/>
      <c r="L55" s="297"/>
      <c r="M55" s="297"/>
      <c r="N55" s="180">
        <v>1.0</v>
      </c>
      <c r="O55" s="180">
        <v>1.0</v>
      </c>
      <c r="P55" s="5"/>
      <c r="Q55" s="176">
        <f t="shared" ref="Q55:T55" si="156">round(J55/6,2)</f>
        <v>0</v>
      </c>
      <c r="R55" s="176">
        <f t="shared" si="156"/>
        <v>0</v>
      </c>
      <c r="S55" s="176">
        <f t="shared" si="156"/>
        <v>0</v>
      </c>
      <c r="T55" s="176">
        <f t="shared" si="156"/>
        <v>0</v>
      </c>
      <c r="U55" s="5"/>
      <c r="V55" s="184"/>
      <c r="W55" s="184"/>
      <c r="X55" s="184"/>
      <c r="Y55" s="184"/>
      <c r="Z55" s="184"/>
      <c r="AA55" s="184"/>
      <c r="AB55" s="5"/>
      <c r="AC55" s="184"/>
      <c r="AD55" s="184"/>
      <c r="AE55" s="184"/>
      <c r="AF55" s="184"/>
      <c r="AG55" s="184"/>
      <c r="AH55" s="184"/>
      <c r="AI55" s="5"/>
      <c r="AJ55" s="184">
        <f t="shared" si="143"/>
        <v>0</v>
      </c>
      <c r="AK55" s="184">
        <f t="shared" si="144"/>
        <v>0</v>
      </c>
      <c r="AL55" s="184">
        <f t="shared" ref="AL55:AM55" si="157">ROUND(G55*(5/12)+L55*(5/12)+S55+X55-AE55,2)</f>
        <v>0</v>
      </c>
      <c r="AM55" s="184">
        <f t="shared" si="157"/>
        <v>0</v>
      </c>
      <c r="AN55" s="184">
        <f t="shared" ref="AN55:AO55" si="158">N55+Z55-AG55</f>
        <v>1</v>
      </c>
      <c r="AO55" s="184">
        <f t="shared" si="158"/>
        <v>1</v>
      </c>
      <c r="AP55" s="5"/>
      <c r="AQ55" s="176">
        <v>0.0</v>
      </c>
      <c r="AR55" s="176" t="s">
        <v>913</v>
      </c>
      <c r="AS55" s="176" t="s">
        <v>913</v>
      </c>
      <c r="AT55" s="176" t="s">
        <v>913</v>
      </c>
      <c r="AU55" s="176">
        <v>1.0</v>
      </c>
      <c r="AV55" s="176">
        <v>1.0</v>
      </c>
      <c r="AW55" s="180" t="s">
        <v>2061</v>
      </c>
      <c r="AX55" s="5"/>
      <c r="AY55" s="418"/>
      <c r="AZ55" s="27"/>
      <c r="BA55" s="311"/>
      <c r="BB55" s="311"/>
      <c r="BC55" s="311"/>
      <c r="BD55" s="311"/>
      <c r="BE55" s="311"/>
      <c r="BF55" s="311"/>
      <c r="BG55" s="311"/>
      <c r="BH55" s="298" t="s">
        <v>2062</v>
      </c>
    </row>
    <row r="56">
      <c r="A56" s="176">
        <v>64.0</v>
      </c>
      <c r="B56" s="423" t="s">
        <v>102</v>
      </c>
      <c r="C56" s="287" t="s">
        <v>93</v>
      </c>
      <c r="D56" s="179"/>
      <c r="E56" s="297"/>
      <c r="F56" s="297"/>
      <c r="G56" s="297"/>
      <c r="H56" s="297"/>
      <c r="I56" s="427">
        <v>4.0</v>
      </c>
      <c r="J56" s="297"/>
      <c r="K56" s="297"/>
      <c r="L56" s="297"/>
      <c r="M56" s="297"/>
      <c r="N56" s="180">
        <v>1.0</v>
      </c>
      <c r="O56" s="180">
        <v>1.0</v>
      </c>
      <c r="P56" s="5"/>
      <c r="Q56" s="176">
        <f t="shared" ref="Q56:T56" si="159">round(J56/6,2)</f>
        <v>0</v>
      </c>
      <c r="R56" s="176">
        <f t="shared" si="159"/>
        <v>0</v>
      </c>
      <c r="S56" s="176">
        <f t="shared" si="159"/>
        <v>0</v>
      </c>
      <c r="T56" s="176">
        <f t="shared" si="159"/>
        <v>0</v>
      </c>
      <c r="U56" s="5"/>
      <c r="V56" s="184"/>
      <c r="W56" s="184"/>
      <c r="X56" s="184"/>
      <c r="Y56" s="184"/>
      <c r="Z56" s="184"/>
      <c r="AA56" s="184"/>
      <c r="AB56" s="5"/>
      <c r="AC56" s="184"/>
      <c r="AD56" s="184"/>
      <c r="AE56" s="184"/>
      <c r="AF56" s="184"/>
      <c r="AG56" s="184"/>
      <c r="AH56" s="184"/>
      <c r="AI56" s="5"/>
      <c r="AJ56" s="184">
        <f t="shared" si="143"/>
        <v>0</v>
      </c>
      <c r="AK56" s="184">
        <f t="shared" si="144"/>
        <v>0</v>
      </c>
      <c r="AL56" s="184">
        <f t="shared" ref="AL56:AM56" si="160">ROUND(G56*(5/12)+L56*(5/12)+S56+X56-AE56,2)</f>
        <v>0</v>
      </c>
      <c r="AM56" s="184">
        <f t="shared" si="160"/>
        <v>0</v>
      </c>
      <c r="AN56" s="184">
        <f t="shared" ref="AN56:AO56" si="161">N56+Z56-AG56</f>
        <v>1</v>
      </c>
      <c r="AO56" s="184">
        <f t="shared" si="161"/>
        <v>1</v>
      </c>
      <c r="AP56" s="5"/>
      <c r="AQ56" s="176" t="s">
        <v>913</v>
      </c>
      <c r="AR56" s="176" t="s">
        <v>913</v>
      </c>
      <c r="AS56" s="176" t="s">
        <v>913</v>
      </c>
      <c r="AT56" s="176" t="s">
        <v>913</v>
      </c>
      <c r="AU56" s="176">
        <v>1.0</v>
      </c>
      <c r="AV56" s="176">
        <v>1.0</v>
      </c>
      <c r="AW56" s="354"/>
      <c r="AX56" s="5"/>
      <c r="AY56" s="416"/>
      <c r="BA56" s="81"/>
      <c r="BB56" s="81"/>
      <c r="BC56" s="81"/>
      <c r="BD56" s="81"/>
      <c r="BE56" s="81"/>
      <c r="BF56" s="81"/>
      <c r="BG56" s="81"/>
    </row>
    <row r="57">
      <c r="A57" s="176">
        <v>65.0</v>
      </c>
      <c r="B57" s="423" t="s">
        <v>103</v>
      </c>
      <c r="C57" s="287" t="s">
        <v>93</v>
      </c>
      <c r="D57" s="179"/>
      <c r="E57" s="297"/>
      <c r="F57" s="297"/>
      <c r="G57" s="297"/>
      <c r="H57" s="297"/>
      <c r="I57" s="427">
        <v>4.0</v>
      </c>
      <c r="J57" s="297"/>
      <c r="K57" s="297"/>
      <c r="L57" s="297"/>
      <c r="M57" s="297"/>
      <c r="N57" s="180">
        <v>1.0</v>
      </c>
      <c r="O57" s="180">
        <v>1.0</v>
      </c>
      <c r="P57" s="5"/>
      <c r="Q57" s="176">
        <f t="shared" ref="Q57:T57" si="162">round(J57/6,2)</f>
        <v>0</v>
      </c>
      <c r="R57" s="176">
        <f t="shared" si="162"/>
        <v>0</v>
      </c>
      <c r="S57" s="176">
        <f t="shared" si="162"/>
        <v>0</v>
      </c>
      <c r="T57" s="176">
        <f t="shared" si="162"/>
        <v>0</v>
      </c>
      <c r="U57" s="5"/>
      <c r="V57" s="184"/>
      <c r="W57" s="184"/>
      <c r="X57" s="184"/>
      <c r="Y57" s="184"/>
      <c r="Z57" s="184"/>
      <c r="AA57" s="184"/>
      <c r="AB57" s="5"/>
      <c r="AC57" s="176">
        <v>0.5</v>
      </c>
      <c r="AD57" s="184"/>
      <c r="AE57" s="184"/>
      <c r="AF57" s="184"/>
      <c r="AG57" s="184"/>
      <c r="AH57" s="184"/>
      <c r="AI57" s="5"/>
      <c r="AJ57" s="184">
        <f t="shared" si="143"/>
        <v>-0.5</v>
      </c>
      <c r="AK57" s="184">
        <f t="shared" si="144"/>
        <v>0</v>
      </c>
      <c r="AL57" s="184">
        <f t="shared" ref="AL57:AM57" si="163">ROUND(G57*(5/12)+L57*(5/12)+S57+X57-AE57,2)</f>
        <v>0</v>
      </c>
      <c r="AM57" s="184">
        <f t="shared" si="163"/>
        <v>0</v>
      </c>
      <c r="AN57" s="184">
        <f t="shared" ref="AN57:AO57" si="164">N57+Z57-AG57</f>
        <v>1</v>
      </c>
      <c r="AO57" s="184">
        <f t="shared" si="164"/>
        <v>1</v>
      </c>
      <c r="AP57" s="5"/>
      <c r="AQ57" s="176">
        <v>0.0</v>
      </c>
      <c r="AR57" s="176" t="s">
        <v>913</v>
      </c>
      <c r="AS57" s="176" t="s">
        <v>913</v>
      </c>
      <c r="AT57" s="176" t="s">
        <v>913</v>
      </c>
      <c r="AU57" s="176">
        <v>1.0</v>
      </c>
      <c r="AV57" s="176">
        <v>1.0</v>
      </c>
      <c r="AW57" s="180" t="s">
        <v>2063</v>
      </c>
      <c r="AX57" s="5"/>
      <c r="AY57" s="418"/>
      <c r="BA57" s="81"/>
      <c r="BB57" s="81"/>
      <c r="BC57" s="81"/>
      <c r="BD57" s="81"/>
      <c r="BE57" s="81"/>
      <c r="BF57" s="81"/>
      <c r="BG57" s="81"/>
    </row>
    <row r="58">
      <c r="A58" s="176">
        <v>67.0</v>
      </c>
      <c r="B58" s="423" t="s">
        <v>2064</v>
      </c>
      <c r="C58" s="287" t="s">
        <v>93</v>
      </c>
      <c r="D58" s="179"/>
      <c r="E58" s="292"/>
      <c r="F58" s="297"/>
      <c r="G58" s="297"/>
      <c r="H58" s="297"/>
      <c r="I58" s="427">
        <v>4.0</v>
      </c>
      <c r="J58" s="297"/>
      <c r="K58" s="297"/>
      <c r="L58" s="297"/>
      <c r="M58" s="297"/>
      <c r="N58" s="180">
        <v>1.0</v>
      </c>
      <c r="O58" s="180">
        <v>1.0</v>
      </c>
      <c r="P58" s="5"/>
      <c r="Q58" s="176">
        <f t="shared" ref="Q58:T58" si="165">round(J58/6,2)</f>
        <v>0</v>
      </c>
      <c r="R58" s="176">
        <f t="shared" si="165"/>
        <v>0</v>
      </c>
      <c r="S58" s="176">
        <f t="shared" si="165"/>
        <v>0</v>
      </c>
      <c r="T58" s="176">
        <f t="shared" si="165"/>
        <v>0</v>
      </c>
      <c r="U58" s="5"/>
      <c r="V58" s="184"/>
      <c r="W58" s="184"/>
      <c r="X58" s="184"/>
      <c r="Y58" s="184"/>
      <c r="Z58" s="184"/>
      <c r="AA58" s="184"/>
      <c r="AB58" s="5"/>
      <c r="AC58" s="184"/>
      <c r="AD58" s="184"/>
      <c r="AE58" s="184"/>
      <c r="AF58" s="184"/>
      <c r="AG58" s="184"/>
      <c r="AH58" s="184"/>
      <c r="AI58" s="5"/>
      <c r="AJ58" s="184">
        <f t="shared" si="143"/>
        <v>0</v>
      </c>
      <c r="AK58" s="184">
        <f t="shared" si="144"/>
        <v>0</v>
      </c>
      <c r="AL58" s="184">
        <f t="shared" ref="AL58:AM58" si="166">ROUND(G58*(5/12)+L58*(5/12)+S58+X58-AE58,2)</f>
        <v>0</v>
      </c>
      <c r="AM58" s="184">
        <f t="shared" si="166"/>
        <v>0</v>
      </c>
      <c r="AN58" s="184">
        <f t="shared" ref="AN58:AO58" si="167">N58+Z58-AG58</f>
        <v>1</v>
      </c>
      <c r="AO58" s="184">
        <f t="shared" si="167"/>
        <v>1</v>
      </c>
      <c r="AP58" s="5"/>
      <c r="AQ58" s="176">
        <v>0.883</v>
      </c>
      <c r="AR58" s="176" t="s">
        <v>913</v>
      </c>
      <c r="AS58" s="176" t="s">
        <v>913</v>
      </c>
      <c r="AT58" s="176" t="s">
        <v>913</v>
      </c>
      <c r="AU58" s="176">
        <v>1.0</v>
      </c>
      <c r="AV58" s="176">
        <v>1.0</v>
      </c>
      <c r="AW58" s="180" t="s">
        <v>2065</v>
      </c>
      <c r="AX58" s="5"/>
      <c r="AY58" s="417"/>
      <c r="BA58" s="81"/>
      <c r="BB58" s="81"/>
      <c r="BC58" s="81"/>
      <c r="BD58" s="81"/>
      <c r="BE58" s="81"/>
      <c r="BF58" s="81"/>
      <c r="BG58" s="81"/>
    </row>
    <row r="59">
      <c r="A59" s="176">
        <v>68.0</v>
      </c>
      <c r="B59" s="423" t="s">
        <v>1698</v>
      </c>
      <c r="C59" s="287" t="s">
        <v>93</v>
      </c>
      <c r="D59" s="179"/>
      <c r="E59" s="292"/>
      <c r="F59" s="297"/>
      <c r="G59" s="297"/>
      <c r="H59" s="297"/>
      <c r="I59" s="292">
        <v>2.0</v>
      </c>
      <c r="J59" s="292">
        <v>2.0</v>
      </c>
      <c r="K59" s="297"/>
      <c r="L59" s="297"/>
      <c r="M59" s="297"/>
      <c r="N59" s="180">
        <v>1.0</v>
      </c>
      <c r="O59" s="180">
        <v>1.0</v>
      </c>
      <c r="P59" s="5"/>
      <c r="Q59" s="176">
        <f t="shared" ref="Q59:T59" si="168">round(J59/6,2)</f>
        <v>0.33</v>
      </c>
      <c r="R59" s="176">
        <f t="shared" si="168"/>
        <v>0</v>
      </c>
      <c r="S59" s="176">
        <f t="shared" si="168"/>
        <v>0</v>
      </c>
      <c r="T59" s="176">
        <f t="shared" si="168"/>
        <v>0</v>
      </c>
      <c r="U59" s="5"/>
      <c r="V59" s="184"/>
      <c r="W59" s="184"/>
      <c r="X59" s="184"/>
      <c r="Y59" s="184"/>
      <c r="Z59" s="184"/>
      <c r="AA59" s="184"/>
      <c r="AB59" s="5"/>
      <c r="AC59" s="184"/>
      <c r="AD59" s="184"/>
      <c r="AE59" s="184"/>
      <c r="AF59" s="184"/>
      <c r="AG59" s="184"/>
      <c r="AH59" s="184"/>
      <c r="AI59" s="5"/>
      <c r="AJ59" s="184">
        <f t="shared" si="143"/>
        <v>1.16</v>
      </c>
      <c r="AK59" s="184">
        <f t="shared" si="144"/>
        <v>0</v>
      </c>
      <c r="AL59" s="184">
        <f t="shared" ref="AL59:AM59" si="169">ROUND(G59*(5/12)+L59*(5/12)+S59+X59-AE59,2)</f>
        <v>0</v>
      </c>
      <c r="AM59" s="184">
        <f t="shared" si="169"/>
        <v>0</v>
      </c>
      <c r="AN59" s="184">
        <f t="shared" ref="AN59:AO59" si="170">N59+Z59-AG59</f>
        <v>1</v>
      </c>
      <c r="AO59" s="184">
        <f t="shared" si="170"/>
        <v>1</v>
      </c>
      <c r="AP59" s="5"/>
      <c r="AQ59" s="176">
        <v>1.0</v>
      </c>
      <c r="AR59" s="176" t="s">
        <v>913</v>
      </c>
      <c r="AS59" s="176" t="s">
        <v>913</v>
      </c>
      <c r="AT59" s="176" t="s">
        <v>913</v>
      </c>
      <c r="AU59" s="176">
        <v>1.0</v>
      </c>
      <c r="AV59" s="176">
        <v>1.0</v>
      </c>
      <c r="AW59" s="180" t="s">
        <v>2066</v>
      </c>
      <c r="AX59" s="5"/>
      <c r="AY59" s="417"/>
      <c r="BA59" s="81"/>
      <c r="BB59" s="81"/>
      <c r="BC59" s="81"/>
      <c r="BD59" s="81"/>
      <c r="BE59" s="81"/>
      <c r="BF59" s="81"/>
      <c r="BG59" s="81"/>
    </row>
    <row r="60">
      <c r="A60" s="176">
        <v>69.0</v>
      </c>
      <c r="B60" s="423" t="s">
        <v>104</v>
      </c>
      <c r="C60" s="287" t="s">
        <v>93</v>
      </c>
      <c r="D60" s="179"/>
      <c r="E60" s="297"/>
      <c r="F60" s="297"/>
      <c r="G60" s="297"/>
      <c r="H60" s="297"/>
      <c r="I60" s="427">
        <v>3.0</v>
      </c>
      <c r="J60" s="427">
        <v>1.0</v>
      </c>
      <c r="K60" s="297"/>
      <c r="L60" s="297"/>
      <c r="M60" s="297"/>
      <c r="N60" s="180">
        <v>1.0</v>
      </c>
      <c r="O60" s="180">
        <v>1.0</v>
      </c>
      <c r="P60" s="5"/>
      <c r="Q60" s="176">
        <f t="shared" ref="Q60:T60" si="171">round(J60/6,2)</f>
        <v>0.17</v>
      </c>
      <c r="R60" s="176">
        <f t="shared" si="171"/>
        <v>0</v>
      </c>
      <c r="S60" s="176">
        <f t="shared" si="171"/>
        <v>0</v>
      </c>
      <c r="T60" s="176">
        <f t="shared" si="171"/>
        <v>0</v>
      </c>
      <c r="U60" s="5"/>
      <c r="V60" s="184"/>
      <c r="W60" s="184"/>
      <c r="X60" s="184"/>
      <c r="Y60" s="184"/>
      <c r="Z60" s="184"/>
      <c r="AA60" s="184"/>
      <c r="AB60" s="5"/>
      <c r="AC60" s="184"/>
      <c r="AD60" s="184"/>
      <c r="AE60" s="184"/>
      <c r="AF60" s="184"/>
      <c r="AG60" s="184"/>
      <c r="AH60" s="184"/>
      <c r="AI60" s="5"/>
      <c r="AJ60" s="184">
        <f t="shared" si="143"/>
        <v>0.59</v>
      </c>
      <c r="AK60" s="184">
        <f t="shared" si="144"/>
        <v>0</v>
      </c>
      <c r="AL60" s="184">
        <f t="shared" ref="AL60:AM60" si="172">ROUND(G60*(5/12)+L60*(5/12)+S60+X60-AE60,2)</f>
        <v>0</v>
      </c>
      <c r="AM60" s="184">
        <f t="shared" si="172"/>
        <v>0</v>
      </c>
      <c r="AN60" s="184">
        <f t="shared" ref="AN60:AO60" si="173">N60+Z60-AG60</f>
        <v>1</v>
      </c>
      <c r="AO60" s="184">
        <f t="shared" si="173"/>
        <v>1</v>
      </c>
      <c r="AP60" s="5"/>
      <c r="AQ60" s="176">
        <v>0.25</v>
      </c>
      <c r="AR60" s="176" t="s">
        <v>913</v>
      </c>
      <c r="AS60" s="176" t="s">
        <v>913</v>
      </c>
      <c r="AT60" s="176" t="s">
        <v>913</v>
      </c>
      <c r="AU60" s="176">
        <v>1.0</v>
      </c>
      <c r="AV60" s="176">
        <v>1.0</v>
      </c>
      <c r="AW60" s="180" t="s">
        <v>2067</v>
      </c>
      <c r="AX60" s="5"/>
      <c r="AY60" s="417"/>
      <c r="BA60" s="81"/>
      <c r="BB60" s="81"/>
      <c r="BC60" s="81"/>
      <c r="BD60" s="81"/>
      <c r="BE60" s="429">
        <v>1.0</v>
      </c>
      <c r="BF60" s="81"/>
      <c r="BG60" s="81"/>
    </row>
    <row r="61">
      <c r="A61" s="176">
        <v>71.0</v>
      </c>
      <c r="B61" s="423" t="s">
        <v>2068</v>
      </c>
      <c r="C61" s="287" t="s">
        <v>93</v>
      </c>
      <c r="D61" s="179"/>
      <c r="E61" s="297"/>
      <c r="F61" s="297"/>
      <c r="G61" s="297"/>
      <c r="H61" s="297"/>
      <c r="I61" s="292">
        <v>4.0</v>
      </c>
      <c r="J61" s="292">
        <v>0.0</v>
      </c>
      <c r="K61" s="297"/>
      <c r="L61" s="297"/>
      <c r="M61" s="297"/>
      <c r="N61" s="180">
        <v>1.0</v>
      </c>
      <c r="O61" s="180">
        <v>1.0</v>
      </c>
      <c r="P61" s="5"/>
      <c r="Q61" s="176">
        <f t="shared" ref="Q61:T61" si="174">round(J61/6,2)</f>
        <v>0</v>
      </c>
      <c r="R61" s="176">
        <f t="shared" si="174"/>
        <v>0</v>
      </c>
      <c r="S61" s="176">
        <f t="shared" si="174"/>
        <v>0</v>
      </c>
      <c r="T61" s="176">
        <f t="shared" si="174"/>
        <v>0</v>
      </c>
      <c r="U61" s="5"/>
      <c r="V61" s="184"/>
      <c r="W61" s="184"/>
      <c r="X61" s="184"/>
      <c r="Y61" s="184"/>
      <c r="Z61" s="184"/>
      <c r="AA61" s="184"/>
      <c r="AB61" s="5"/>
      <c r="AC61" s="184"/>
      <c r="AD61" s="184"/>
      <c r="AE61" s="184"/>
      <c r="AF61" s="184"/>
      <c r="AG61" s="184"/>
      <c r="AH61" s="184"/>
      <c r="AI61" s="5"/>
      <c r="AJ61" s="184">
        <f t="shared" si="143"/>
        <v>0</v>
      </c>
      <c r="AK61" s="184">
        <f t="shared" si="144"/>
        <v>0</v>
      </c>
      <c r="AL61" s="184">
        <f t="shared" ref="AL61:AM61" si="175">ROUND(G61*(5/12)+L61*(5/12)+S61+X61-AE61,2)</f>
        <v>0</v>
      </c>
      <c r="AM61" s="184">
        <f t="shared" si="175"/>
        <v>0</v>
      </c>
      <c r="AN61" s="184">
        <f t="shared" ref="AN61:AO61" si="176">N61+Z61-AG61</f>
        <v>1</v>
      </c>
      <c r="AO61" s="184">
        <f t="shared" si="176"/>
        <v>1</v>
      </c>
      <c r="AP61" s="5"/>
      <c r="AQ61" s="176">
        <v>0.062</v>
      </c>
      <c r="AR61" s="176" t="s">
        <v>913</v>
      </c>
      <c r="AS61" s="176" t="s">
        <v>913</v>
      </c>
      <c r="AT61" s="176" t="s">
        <v>913</v>
      </c>
      <c r="AU61" s="176">
        <v>1.0</v>
      </c>
      <c r="AV61" s="176">
        <v>1.0</v>
      </c>
      <c r="AW61" s="180" t="s">
        <v>2069</v>
      </c>
      <c r="AX61" s="5"/>
      <c r="AY61" s="416"/>
      <c r="BA61" s="81"/>
      <c r="BB61" s="81"/>
      <c r="BC61" s="81"/>
      <c r="BD61" s="81"/>
      <c r="BE61" s="81"/>
      <c r="BF61" s="81"/>
      <c r="BG61" s="81"/>
    </row>
    <row r="62">
      <c r="A62" s="176">
        <v>72.0</v>
      </c>
      <c r="B62" s="423" t="s">
        <v>105</v>
      </c>
      <c r="C62" s="287" t="s">
        <v>93</v>
      </c>
      <c r="D62" s="179"/>
      <c r="E62" s="292"/>
      <c r="F62" s="297"/>
      <c r="G62" s="297"/>
      <c r="H62" s="297"/>
      <c r="I62" s="427">
        <v>3.0</v>
      </c>
      <c r="J62" s="427">
        <v>1.0</v>
      </c>
      <c r="K62" s="297"/>
      <c r="L62" s="297"/>
      <c r="M62" s="297"/>
      <c r="N62" s="180">
        <v>1.0</v>
      </c>
      <c r="O62" s="180">
        <v>1.0</v>
      </c>
      <c r="P62" s="5"/>
      <c r="Q62" s="176">
        <f t="shared" ref="Q62:T62" si="177">round(J62/6,2)</f>
        <v>0.17</v>
      </c>
      <c r="R62" s="176">
        <f t="shared" si="177"/>
        <v>0</v>
      </c>
      <c r="S62" s="176">
        <f t="shared" si="177"/>
        <v>0</v>
      </c>
      <c r="T62" s="176">
        <f t="shared" si="177"/>
        <v>0</v>
      </c>
      <c r="U62" s="5"/>
      <c r="V62" s="184"/>
      <c r="W62" s="184"/>
      <c r="X62" s="184"/>
      <c r="Y62" s="184"/>
      <c r="Z62" s="184"/>
      <c r="AA62" s="184"/>
      <c r="AB62" s="5"/>
      <c r="AC62" s="184"/>
      <c r="AD62" s="184"/>
      <c r="AE62" s="184"/>
      <c r="AF62" s="184"/>
      <c r="AG62" s="184"/>
      <c r="AH62" s="184"/>
      <c r="AI62" s="5"/>
      <c r="AJ62" s="184">
        <f t="shared" si="143"/>
        <v>0.59</v>
      </c>
      <c r="AK62" s="184">
        <f t="shared" si="144"/>
        <v>0</v>
      </c>
      <c r="AL62" s="184">
        <f t="shared" ref="AL62:AM62" si="178">ROUND(G62*(5/12)+L62*(5/12)+S62+X62-AE62,2)</f>
        <v>0</v>
      </c>
      <c r="AM62" s="184">
        <f t="shared" si="178"/>
        <v>0</v>
      </c>
      <c r="AN62" s="184">
        <f t="shared" ref="AN62:AO62" si="179">N62+Z62-AG62</f>
        <v>1</v>
      </c>
      <c r="AO62" s="184">
        <f t="shared" si="179"/>
        <v>1</v>
      </c>
      <c r="AP62" s="5"/>
      <c r="AQ62" s="176">
        <v>1.133</v>
      </c>
      <c r="AR62" s="176" t="s">
        <v>913</v>
      </c>
      <c r="AS62" s="176" t="s">
        <v>913</v>
      </c>
      <c r="AT62" s="176" t="s">
        <v>913</v>
      </c>
      <c r="AU62" s="176">
        <v>1.0</v>
      </c>
      <c r="AV62" s="176">
        <v>1.0</v>
      </c>
      <c r="AW62" s="180" t="s">
        <v>2070</v>
      </c>
      <c r="AX62" s="5"/>
      <c r="AY62" s="418"/>
      <c r="BA62" s="81"/>
      <c r="BB62" s="81"/>
      <c r="BC62" s="81"/>
      <c r="BD62" s="81"/>
      <c r="BE62" s="81"/>
      <c r="BF62" s="81"/>
      <c r="BG62" s="81"/>
    </row>
    <row r="63">
      <c r="A63" s="176">
        <v>73.0</v>
      </c>
      <c r="B63" s="414" t="s">
        <v>106</v>
      </c>
      <c r="C63" s="287" t="s">
        <v>93</v>
      </c>
      <c r="D63" s="179"/>
      <c r="E63" s="297"/>
      <c r="F63" s="297"/>
      <c r="G63" s="297"/>
      <c r="H63" s="297"/>
      <c r="I63" s="427">
        <v>4.0</v>
      </c>
      <c r="J63" s="297"/>
      <c r="K63" s="297"/>
      <c r="L63" s="297"/>
      <c r="M63" s="297"/>
      <c r="N63" s="180">
        <v>1.0</v>
      </c>
      <c r="O63" s="180">
        <v>1.0</v>
      </c>
      <c r="P63" s="5"/>
      <c r="Q63" s="176">
        <f t="shared" ref="Q63:T63" si="180">round(J63/6,2)</f>
        <v>0</v>
      </c>
      <c r="R63" s="176">
        <f t="shared" si="180"/>
        <v>0</v>
      </c>
      <c r="S63" s="176">
        <f t="shared" si="180"/>
        <v>0</v>
      </c>
      <c r="T63" s="176">
        <f t="shared" si="180"/>
        <v>0</v>
      </c>
      <c r="U63" s="5"/>
      <c r="V63" s="184"/>
      <c r="W63" s="184"/>
      <c r="X63" s="184"/>
      <c r="Y63" s="184"/>
      <c r="Z63" s="184"/>
      <c r="AA63" s="184"/>
      <c r="AB63" s="5"/>
      <c r="AC63" s="184"/>
      <c r="AD63" s="184"/>
      <c r="AE63" s="184"/>
      <c r="AF63" s="184"/>
      <c r="AG63" s="184"/>
      <c r="AH63" s="184"/>
      <c r="AI63" s="5"/>
      <c r="AJ63" s="184">
        <f t="shared" si="143"/>
        <v>0</v>
      </c>
      <c r="AK63" s="184">
        <f t="shared" si="144"/>
        <v>0</v>
      </c>
      <c r="AL63" s="184">
        <f t="shared" ref="AL63:AM63" si="181">ROUND(G63*(5/12)+L63*(5/12)+S63+X63-AE63,2)</f>
        <v>0</v>
      </c>
      <c r="AM63" s="184">
        <f t="shared" si="181"/>
        <v>0</v>
      </c>
      <c r="AN63" s="184">
        <f t="shared" ref="AN63:AO63" si="182">N63+Z63-AG63</f>
        <v>1</v>
      </c>
      <c r="AO63" s="184">
        <f t="shared" si="182"/>
        <v>1</v>
      </c>
      <c r="AP63" s="5"/>
      <c r="AQ63" s="176" t="s">
        <v>913</v>
      </c>
      <c r="AR63" s="176" t="s">
        <v>913</v>
      </c>
      <c r="AS63" s="176" t="s">
        <v>913</v>
      </c>
      <c r="AT63" s="176" t="s">
        <v>913</v>
      </c>
      <c r="AU63" s="176">
        <v>0.0</v>
      </c>
      <c r="AV63" s="176">
        <v>0.0</v>
      </c>
      <c r="AW63" s="180" t="s">
        <v>2071</v>
      </c>
      <c r="AX63" s="5"/>
      <c r="AY63" s="413"/>
      <c r="BA63" s="81"/>
      <c r="BB63" s="81"/>
      <c r="BC63" s="81"/>
      <c r="BD63" s="81"/>
      <c r="BE63" s="81"/>
      <c r="BF63" s="81"/>
      <c r="BG63" s="81"/>
    </row>
    <row r="64">
      <c r="A64" s="176">
        <v>74.0</v>
      </c>
      <c r="B64" s="414" t="s">
        <v>1282</v>
      </c>
      <c r="C64" s="287" t="s">
        <v>93</v>
      </c>
      <c r="D64" s="179"/>
      <c r="E64" s="297"/>
      <c r="F64" s="297"/>
      <c r="G64" s="297"/>
      <c r="H64" s="297"/>
      <c r="I64" s="427">
        <v>4.0</v>
      </c>
      <c r="J64" s="297"/>
      <c r="K64" s="297"/>
      <c r="L64" s="297"/>
      <c r="M64" s="297"/>
      <c r="N64" s="180">
        <v>1.0</v>
      </c>
      <c r="O64" s="180">
        <v>1.0</v>
      </c>
      <c r="P64" s="5"/>
      <c r="Q64" s="176">
        <f t="shared" ref="Q64:T64" si="183">round(J64/6,2)</f>
        <v>0</v>
      </c>
      <c r="R64" s="176">
        <f t="shared" si="183"/>
        <v>0</v>
      </c>
      <c r="S64" s="176">
        <f t="shared" si="183"/>
        <v>0</v>
      </c>
      <c r="T64" s="176">
        <f t="shared" si="183"/>
        <v>0</v>
      </c>
      <c r="U64" s="5"/>
      <c r="V64" s="184"/>
      <c r="W64" s="184"/>
      <c r="X64" s="184"/>
      <c r="Y64" s="184"/>
      <c r="Z64" s="184"/>
      <c r="AA64" s="184"/>
      <c r="AB64" s="5"/>
      <c r="AC64" s="184"/>
      <c r="AD64" s="184"/>
      <c r="AE64" s="184"/>
      <c r="AF64" s="184"/>
      <c r="AG64" s="184"/>
      <c r="AH64" s="184"/>
      <c r="AI64" s="5"/>
      <c r="AJ64" s="184">
        <f t="shared" si="143"/>
        <v>0</v>
      </c>
      <c r="AK64" s="184">
        <f t="shared" si="144"/>
        <v>0</v>
      </c>
      <c r="AL64" s="184">
        <f t="shared" ref="AL64:AM64" si="184">ROUND(G64*(5/12)+L64*(5/12)+S64+X64-AE64,2)</f>
        <v>0</v>
      </c>
      <c r="AM64" s="184">
        <f t="shared" si="184"/>
        <v>0</v>
      </c>
      <c r="AN64" s="184">
        <f t="shared" ref="AN64:AO64" si="185">N64+Z64-AG64</f>
        <v>1</v>
      </c>
      <c r="AO64" s="184">
        <f t="shared" si="185"/>
        <v>1</v>
      </c>
      <c r="AP64" s="5"/>
      <c r="AQ64" s="176">
        <v>0.062</v>
      </c>
      <c r="AR64" s="176" t="s">
        <v>913</v>
      </c>
      <c r="AS64" s="176" t="s">
        <v>913</v>
      </c>
      <c r="AT64" s="176" t="s">
        <v>913</v>
      </c>
      <c r="AU64" s="176">
        <v>0.0</v>
      </c>
      <c r="AV64" s="176">
        <v>1.0</v>
      </c>
      <c r="AW64" s="180" t="s">
        <v>2072</v>
      </c>
      <c r="AX64" s="5"/>
      <c r="AY64" s="417"/>
      <c r="BA64" s="81"/>
      <c r="BB64" s="81"/>
      <c r="BC64" s="81"/>
      <c r="BD64" s="81"/>
      <c r="BE64" s="81"/>
      <c r="BF64" s="81"/>
      <c r="BG64" s="81"/>
    </row>
    <row r="65">
      <c r="A65" s="176">
        <v>75.0</v>
      </c>
      <c r="B65" s="414" t="s">
        <v>1704</v>
      </c>
      <c r="C65" s="287" t="s">
        <v>93</v>
      </c>
      <c r="D65" s="179"/>
      <c r="E65" s="292"/>
      <c r="F65" s="297"/>
      <c r="G65" s="297"/>
      <c r="H65" s="297"/>
      <c r="I65" s="292">
        <v>4.0</v>
      </c>
      <c r="J65" s="297"/>
      <c r="K65" s="297"/>
      <c r="L65" s="297"/>
      <c r="M65" s="297"/>
      <c r="N65" s="180">
        <v>1.0</v>
      </c>
      <c r="O65" s="180">
        <v>1.0</v>
      </c>
      <c r="P65" s="5"/>
      <c r="Q65" s="176">
        <f t="shared" ref="Q65:T65" si="186">round(J65/6,2)</f>
        <v>0</v>
      </c>
      <c r="R65" s="176">
        <f t="shared" si="186"/>
        <v>0</v>
      </c>
      <c r="S65" s="176">
        <f t="shared" si="186"/>
        <v>0</v>
      </c>
      <c r="T65" s="176">
        <f t="shared" si="186"/>
        <v>0</v>
      </c>
      <c r="U65" s="5"/>
      <c r="V65" s="184"/>
      <c r="W65" s="184"/>
      <c r="X65" s="184"/>
      <c r="Y65" s="184"/>
      <c r="Z65" s="184"/>
      <c r="AA65" s="184"/>
      <c r="AB65" s="5"/>
      <c r="AC65" s="184"/>
      <c r="AD65" s="184"/>
      <c r="AE65" s="184"/>
      <c r="AF65" s="184"/>
      <c r="AG65" s="184"/>
      <c r="AH65" s="184"/>
      <c r="AI65" s="5"/>
      <c r="AJ65" s="184">
        <f t="shared" si="143"/>
        <v>0</v>
      </c>
      <c r="AK65" s="184">
        <f t="shared" si="144"/>
        <v>0</v>
      </c>
      <c r="AL65" s="184">
        <f t="shared" ref="AL65:AM65" si="187">ROUND(G65*(5/12)+L65*(5/12)+S65+X65-AE65,2)</f>
        <v>0</v>
      </c>
      <c r="AM65" s="184">
        <f t="shared" si="187"/>
        <v>0</v>
      </c>
      <c r="AN65" s="184">
        <f t="shared" ref="AN65:AO65" si="188">N65+Z65-AG65</f>
        <v>1</v>
      </c>
      <c r="AO65" s="184">
        <f t="shared" si="188"/>
        <v>1</v>
      </c>
      <c r="AP65" s="5"/>
      <c r="AQ65" s="176">
        <v>0.0</v>
      </c>
      <c r="AR65" s="176" t="s">
        <v>913</v>
      </c>
      <c r="AS65" s="176" t="s">
        <v>913</v>
      </c>
      <c r="AT65" s="176" t="s">
        <v>913</v>
      </c>
      <c r="AU65" s="176">
        <v>0.0</v>
      </c>
      <c r="AV65" s="176">
        <v>1.0</v>
      </c>
      <c r="AW65" s="180" t="s">
        <v>2073</v>
      </c>
      <c r="AX65" s="5"/>
      <c r="AY65" s="430"/>
      <c r="BA65" s="81"/>
      <c r="BB65" s="81"/>
      <c r="BC65" s="81"/>
      <c r="BD65" s="81"/>
      <c r="BE65" s="81"/>
      <c r="BF65" s="81"/>
      <c r="BG65" s="81"/>
    </row>
    <row r="66">
      <c r="A66" s="176">
        <v>77.0</v>
      </c>
      <c r="B66" s="423" t="s">
        <v>1727</v>
      </c>
      <c r="C66" s="287" t="s">
        <v>127</v>
      </c>
      <c r="D66" s="179"/>
      <c r="E66" s="289"/>
      <c r="F66" s="289"/>
      <c r="G66" s="333"/>
      <c r="H66" s="344"/>
      <c r="I66" s="289">
        <v>0.5</v>
      </c>
      <c r="J66" s="431">
        <v>1.28</v>
      </c>
      <c r="K66" s="431">
        <v>0.72</v>
      </c>
      <c r="L66" s="344"/>
      <c r="M66" s="344"/>
      <c r="N66" s="180">
        <v>1.0</v>
      </c>
      <c r="O66" s="180">
        <v>1.0</v>
      </c>
      <c r="P66" s="5"/>
      <c r="Q66" s="176">
        <f t="shared" ref="Q66:T66" si="189">round(J66/6,2)</f>
        <v>0.21</v>
      </c>
      <c r="R66" s="176">
        <f t="shared" si="189"/>
        <v>0.12</v>
      </c>
      <c r="S66" s="176">
        <f t="shared" si="189"/>
        <v>0</v>
      </c>
      <c r="T66" s="176">
        <f t="shared" si="189"/>
        <v>0</v>
      </c>
      <c r="U66" s="5"/>
      <c r="V66" s="176">
        <v>0.33</v>
      </c>
      <c r="W66" s="176">
        <v>0.38</v>
      </c>
      <c r="X66" s="184"/>
      <c r="Y66" s="184"/>
      <c r="Z66" s="184"/>
      <c r="AA66" s="184"/>
      <c r="AB66" s="5"/>
      <c r="AC66" s="184"/>
      <c r="AD66" s="184"/>
      <c r="AE66" s="184"/>
      <c r="AF66" s="184"/>
      <c r="AG66" s="184"/>
      <c r="AH66" s="184"/>
      <c r="AI66" s="5"/>
      <c r="AJ66" s="184">
        <f t="shared" si="143"/>
        <v>1.07</v>
      </c>
      <c r="AK66" s="184">
        <f t="shared" si="144"/>
        <v>0.8</v>
      </c>
      <c r="AL66" s="184">
        <f t="shared" ref="AL66:AM66" si="190">ROUND(G66*(5/12)+L66*(5/12)+S66+X66-AE66,2)</f>
        <v>0</v>
      </c>
      <c r="AM66" s="184">
        <f t="shared" si="190"/>
        <v>0</v>
      </c>
      <c r="AN66" s="184">
        <f t="shared" ref="AN66:AO66" si="191">N66+Z66-AG66</f>
        <v>1</v>
      </c>
      <c r="AO66" s="184">
        <f t="shared" si="191"/>
        <v>1</v>
      </c>
      <c r="AP66" s="5"/>
      <c r="AQ66" s="176">
        <v>0.1</v>
      </c>
      <c r="AR66" s="176">
        <v>0.0</v>
      </c>
      <c r="AS66" s="176" t="s">
        <v>913</v>
      </c>
      <c r="AT66" s="176" t="s">
        <v>913</v>
      </c>
      <c r="AU66" s="176">
        <v>1.0</v>
      </c>
      <c r="AV66" s="176">
        <v>1.0</v>
      </c>
      <c r="AW66" s="180" t="s">
        <v>2074</v>
      </c>
      <c r="AX66" s="5"/>
      <c r="AY66" s="417"/>
      <c r="BA66" s="81"/>
      <c r="BB66" s="81"/>
      <c r="BC66" s="81"/>
      <c r="BD66" s="81"/>
      <c r="BE66" s="81"/>
      <c r="BF66" s="81"/>
      <c r="BG66" s="81"/>
    </row>
    <row r="67">
      <c r="A67" s="176">
        <v>78.0</v>
      </c>
      <c r="B67" s="432" t="s">
        <v>1729</v>
      </c>
      <c r="C67" s="287" t="s">
        <v>127</v>
      </c>
      <c r="D67" s="336"/>
      <c r="E67" s="292"/>
      <c r="F67" s="433"/>
      <c r="G67" s="179"/>
      <c r="H67" s="297"/>
      <c r="I67" s="292">
        <v>3.0</v>
      </c>
      <c r="J67" s="427">
        <v>0.54</v>
      </c>
      <c r="K67" s="427">
        <v>0.61</v>
      </c>
      <c r="L67" s="427">
        <v>0.85</v>
      </c>
      <c r="M67" s="297"/>
      <c r="N67" s="180">
        <v>1.0</v>
      </c>
      <c r="O67" s="180">
        <v>1.0</v>
      </c>
      <c r="P67" s="5"/>
      <c r="Q67" s="176">
        <f t="shared" ref="Q67:T67" si="192">round(J67/6,2)</f>
        <v>0.09</v>
      </c>
      <c r="R67" s="176">
        <f t="shared" si="192"/>
        <v>0.1</v>
      </c>
      <c r="S67" s="176">
        <f t="shared" si="192"/>
        <v>0.14</v>
      </c>
      <c r="T67" s="176">
        <f t="shared" si="192"/>
        <v>0</v>
      </c>
      <c r="U67" s="5"/>
      <c r="V67" s="184"/>
      <c r="W67" s="176">
        <v>0.31</v>
      </c>
      <c r="X67" s="184"/>
      <c r="Y67" s="184"/>
      <c r="Z67" s="184"/>
      <c r="AA67" s="184"/>
      <c r="AB67" s="5"/>
      <c r="AC67" s="176">
        <v>0.33</v>
      </c>
      <c r="AD67" s="176"/>
      <c r="AE67" s="184"/>
      <c r="AF67" s="184"/>
      <c r="AG67" s="176"/>
      <c r="AH67" s="176">
        <v>0.24</v>
      </c>
      <c r="AI67" s="5"/>
      <c r="AJ67" s="184">
        <f t="shared" si="143"/>
        <v>-0.02</v>
      </c>
      <c r="AK67" s="184">
        <f t="shared" si="144"/>
        <v>0.664</v>
      </c>
      <c r="AL67" s="184">
        <f t="shared" ref="AL67:AM67" si="193">ROUND(G67*(5/12)+L67*(5/12)+S67+X67-AE67,2)</f>
        <v>0.49</v>
      </c>
      <c r="AM67" s="184">
        <f t="shared" si="193"/>
        <v>0</v>
      </c>
      <c r="AN67" s="184">
        <f t="shared" ref="AN67:AO67" si="194">N67+Z67-AG67</f>
        <v>1</v>
      </c>
      <c r="AO67" s="184">
        <f t="shared" si="194"/>
        <v>0.76</v>
      </c>
      <c r="AP67" s="5"/>
      <c r="AQ67" s="176">
        <v>1.0</v>
      </c>
      <c r="AR67" s="176">
        <v>0.0</v>
      </c>
      <c r="AS67" s="176">
        <v>1.0</v>
      </c>
      <c r="AT67" s="176" t="s">
        <v>913</v>
      </c>
      <c r="AU67" s="176">
        <v>1.0</v>
      </c>
      <c r="AV67" s="176">
        <v>1.0</v>
      </c>
      <c r="AW67" s="180" t="s">
        <v>2075</v>
      </c>
      <c r="AX67" s="5"/>
      <c r="AY67" s="417"/>
      <c r="BA67" s="81"/>
      <c r="BB67" s="81"/>
      <c r="BC67" s="81"/>
      <c r="BD67" s="81"/>
      <c r="BE67" s="81"/>
      <c r="BF67" s="81"/>
      <c r="BG67" s="81"/>
    </row>
    <row r="68">
      <c r="A68" s="176">
        <v>80.0</v>
      </c>
      <c r="B68" s="432" t="s">
        <v>2076</v>
      </c>
      <c r="C68" s="287" t="s">
        <v>127</v>
      </c>
      <c r="D68" s="336"/>
      <c r="E68" s="434"/>
      <c r="F68" s="346"/>
      <c r="G68" s="341"/>
      <c r="H68" s="297"/>
      <c r="I68" s="427">
        <v>3.66</v>
      </c>
      <c r="J68" s="427">
        <v>0.09</v>
      </c>
      <c r="K68" s="427">
        <v>0.25</v>
      </c>
      <c r="L68" s="297"/>
      <c r="M68" s="297"/>
      <c r="N68" s="180">
        <v>1.0</v>
      </c>
      <c r="O68" s="180">
        <v>1.0</v>
      </c>
      <c r="P68" s="5"/>
      <c r="Q68" s="176">
        <f t="shared" ref="Q68:T68" si="195">round(J68/6,2)</f>
        <v>0.02</v>
      </c>
      <c r="R68" s="176">
        <f t="shared" si="195"/>
        <v>0.04</v>
      </c>
      <c r="S68" s="176">
        <f t="shared" si="195"/>
        <v>0</v>
      </c>
      <c r="T68" s="176">
        <f t="shared" si="195"/>
        <v>0</v>
      </c>
      <c r="U68" s="5"/>
      <c r="V68" s="184"/>
      <c r="W68" s="184"/>
      <c r="X68" s="184"/>
      <c r="Y68" s="184"/>
      <c r="Z68" s="184"/>
      <c r="AA68" s="184"/>
      <c r="AB68" s="5"/>
      <c r="AC68" s="176">
        <v>0.225</v>
      </c>
      <c r="AD68" s="184"/>
      <c r="AE68" s="184"/>
      <c r="AF68" s="184"/>
      <c r="AG68" s="184"/>
      <c r="AH68" s="184"/>
      <c r="AI68" s="5"/>
      <c r="AJ68" s="184">
        <f t="shared" si="143"/>
        <v>-0.17</v>
      </c>
      <c r="AK68" s="184">
        <f t="shared" si="144"/>
        <v>0.144</v>
      </c>
      <c r="AL68" s="184">
        <f t="shared" ref="AL68:AM68" si="196">ROUND(G68*(5/12)+L68*(5/12)+S68+X68-AE68,2)</f>
        <v>0</v>
      </c>
      <c r="AM68" s="184">
        <f t="shared" si="196"/>
        <v>0</v>
      </c>
      <c r="AN68" s="184">
        <f t="shared" ref="AN68:AO68" si="197">N68+Z68-AG68</f>
        <v>1</v>
      </c>
      <c r="AO68" s="184">
        <f t="shared" si="197"/>
        <v>1</v>
      </c>
      <c r="AP68" s="5"/>
      <c r="AQ68" s="176">
        <v>0.2</v>
      </c>
      <c r="AR68" s="176">
        <v>0.183</v>
      </c>
      <c r="AS68" s="176" t="s">
        <v>913</v>
      </c>
      <c r="AT68" s="176" t="s">
        <v>913</v>
      </c>
      <c r="AU68" s="176">
        <v>1.0</v>
      </c>
      <c r="AV68" s="176">
        <v>1.0</v>
      </c>
      <c r="AW68" s="180" t="s">
        <v>2077</v>
      </c>
      <c r="AX68" s="5"/>
      <c r="AY68" s="417"/>
      <c r="BA68" s="81"/>
      <c r="BB68" s="81"/>
      <c r="BC68" s="81"/>
      <c r="BD68" s="81"/>
      <c r="BE68" s="81"/>
      <c r="BF68" s="81"/>
      <c r="BG68" s="81"/>
    </row>
    <row r="69">
      <c r="A69" s="176">
        <v>81.0</v>
      </c>
      <c r="B69" s="432" t="s">
        <v>1731</v>
      </c>
      <c r="C69" s="287" t="s">
        <v>127</v>
      </c>
      <c r="D69" s="336"/>
      <c r="E69" s="433"/>
      <c r="F69" s="346"/>
      <c r="G69" s="341"/>
      <c r="H69" s="297"/>
      <c r="I69" s="292">
        <v>0.0</v>
      </c>
      <c r="J69" s="292">
        <v>3.58</v>
      </c>
      <c r="K69" s="427">
        <v>0.25</v>
      </c>
      <c r="L69" s="292">
        <v>0.17</v>
      </c>
      <c r="M69" s="297"/>
      <c r="N69" s="180">
        <v>1.0</v>
      </c>
      <c r="O69" s="180">
        <v>1.0</v>
      </c>
      <c r="P69" s="5"/>
      <c r="Q69" s="176">
        <f t="shared" ref="Q69:T69" si="198">round(J69/6,2)</f>
        <v>0.6</v>
      </c>
      <c r="R69" s="176">
        <f t="shared" si="198"/>
        <v>0.04</v>
      </c>
      <c r="S69" s="176">
        <f t="shared" si="198"/>
        <v>0.03</v>
      </c>
      <c r="T69" s="176">
        <f t="shared" si="198"/>
        <v>0</v>
      </c>
      <c r="U69" s="5"/>
      <c r="V69" s="176"/>
      <c r="W69" s="184"/>
      <c r="X69" s="184"/>
      <c r="Y69" s="184"/>
      <c r="Z69" s="184"/>
      <c r="AA69" s="184"/>
      <c r="AB69" s="5"/>
      <c r="AC69" s="176">
        <v>0.39</v>
      </c>
      <c r="AD69" s="184"/>
      <c r="AE69" s="184"/>
      <c r="AF69" s="184"/>
      <c r="AG69" s="184"/>
      <c r="AH69" s="176">
        <v>1.26</v>
      </c>
      <c r="AI69" s="5"/>
      <c r="AJ69" s="184">
        <f t="shared" si="143"/>
        <v>1.7</v>
      </c>
      <c r="AK69" s="184">
        <f t="shared" si="144"/>
        <v>0.144</v>
      </c>
      <c r="AL69" s="184">
        <f t="shared" ref="AL69:AL75" si="201">ROUND(G69*(5/12)+L69*(5/12)+S69+X69-AE69,2)</f>
        <v>0.1</v>
      </c>
      <c r="AM69" s="184">
        <f>ROUND(H69*(5/12)+M69*(5/12)+T69+BD69-AF69,2)</f>
        <v>0</v>
      </c>
      <c r="AN69" s="184">
        <f t="shared" ref="AN69:AO69" si="199">N69+Z69-AG69</f>
        <v>1</v>
      </c>
      <c r="AO69" s="184">
        <f t="shared" si="199"/>
        <v>-0.26</v>
      </c>
      <c r="AP69" s="5"/>
      <c r="AQ69" s="176">
        <v>2.7</v>
      </c>
      <c r="AR69" s="176">
        <v>0.183</v>
      </c>
      <c r="AS69" s="176">
        <v>0.33</v>
      </c>
      <c r="AT69" s="176" t="s">
        <v>913</v>
      </c>
      <c r="AU69" s="176">
        <v>1.0</v>
      </c>
      <c r="AV69" s="176">
        <v>1.0</v>
      </c>
      <c r="AW69" s="180" t="s">
        <v>2078</v>
      </c>
      <c r="AX69" s="5"/>
      <c r="AY69" s="416"/>
      <c r="BA69" s="198">
        <v>1.151</v>
      </c>
      <c r="BB69" s="198">
        <v>0.15</v>
      </c>
      <c r="BC69" s="301"/>
      <c r="BD69" s="301"/>
      <c r="BE69" s="198">
        <v>1.875</v>
      </c>
      <c r="BF69" s="339">
        <v>0.875</v>
      </c>
      <c r="BG69" s="198"/>
    </row>
    <row r="70">
      <c r="A70" s="176">
        <v>82.0</v>
      </c>
      <c r="B70" s="435" t="s">
        <v>2079</v>
      </c>
      <c r="C70" s="287" t="s">
        <v>127</v>
      </c>
      <c r="D70" s="336"/>
      <c r="E70" s="289"/>
      <c r="F70" s="434"/>
      <c r="G70" s="341"/>
      <c r="H70" s="436"/>
      <c r="I70" s="437">
        <v>3.0</v>
      </c>
      <c r="J70" s="437">
        <v>0.67</v>
      </c>
      <c r="K70" s="437">
        <v>0.33</v>
      </c>
      <c r="L70" s="436"/>
      <c r="M70" s="436"/>
      <c r="N70" s="180">
        <v>1.0</v>
      </c>
      <c r="O70" s="180">
        <v>1.0</v>
      </c>
      <c r="P70" s="5"/>
      <c r="Q70" s="176">
        <f t="shared" ref="Q70:T70" si="200">round(J70/6,2)</f>
        <v>0.11</v>
      </c>
      <c r="R70" s="176">
        <f t="shared" si="200"/>
        <v>0.06</v>
      </c>
      <c r="S70" s="176">
        <f t="shared" si="200"/>
        <v>0</v>
      </c>
      <c r="T70" s="176">
        <f t="shared" si="200"/>
        <v>0</v>
      </c>
      <c r="U70" s="5"/>
      <c r="V70" s="184"/>
      <c r="W70" s="176">
        <v>0.13</v>
      </c>
      <c r="X70" s="184"/>
      <c r="Y70" s="184"/>
      <c r="Z70" s="184"/>
      <c r="AA70" s="184"/>
      <c r="AB70" s="5"/>
      <c r="AC70" s="176">
        <v>0.45</v>
      </c>
      <c r="AD70" s="184"/>
      <c r="AE70" s="184"/>
      <c r="AF70" s="184"/>
      <c r="AG70" s="184"/>
      <c r="AH70" s="176">
        <v>0.24</v>
      </c>
      <c r="AI70" s="5"/>
      <c r="AJ70" s="184">
        <f t="shared" si="143"/>
        <v>-0.06</v>
      </c>
      <c r="AK70" s="184">
        <f t="shared" si="144"/>
        <v>0.328</v>
      </c>
      <c r="AL70" s="184">
        <f t="shared" si="201"/>
        <v>0</v>
      </c>
      <c r="AM70" s="184">
        <f t="shared" ref="AM70:AM76" si="204">ROUND(H70*(5/12)+M70*(5/12)+T70+Y70-AF70,2)</f>
        <v>0</v>
      </c>
      <c r="AN70" s="184">
        <f t="shared" ref="AN70:AO70" si="202">N70+Z70-AG70</f>
        <v>1</v>
      </c>
      <c r="AO70" s="184">
        <f t="shared" si="202"/>
        <v>0.76</v>
      </c>
      <c r="AP70" s="5"/>
      <c r="AQ70" s="176">
        <v>0.0</v>
      </c>
      <c r="AR70" s="176">
        <v>0.0</v>
      </c>
      <c r="AS70" s="176" t="s">
        <v>913</v>
      </c>
      <c r="AT70" s="176" t="s">
        <v>913</v>
      </c>
      <c r="AU70" s="176">
        <v>1.0</v>
      </c>
      <c r="AV70" s="176">
        <v>1.0</v>
      </c>
      <c r="AW70" s="180" t="s">
        <v>2080</v>
      </c>
      <c r="AX70" s="5"/>
      <c r="AY70" s="416"/>
      <c r="BA70" s="81"/>
      <c r="BB70" s="81"/>
      <c r="BC70" s="81"/>
      <c r="BD70" s="81"/>
      <c r="BE70" s="81"/>
      <c r="BF70" s="81"/>
      <c r="BG70" s="81"/>
    </row>
    <row r="71">
      <c r="A71" s="176">
        <v>83.0</v>
      </c>
      <c r="B71" s="435" t="s">
        <v>1733</v>
      </c>
      <c r="C71" s="287" t="s">
        <v>127</v>
      </c>
      <c r="D71" s="336"/>
      <c r="E71" s="292"/>
      <c r="F71" s="434"/>
      <c r="G71" s="341"/>
      <c r="H71" s="344"/>
      <c r="I71" s="431">
        <v>2.33</v>
      </c>
      <c r="J71" s="431">
        <v>1.42</v>
      </c>
      <c r="K71" s="431">
        <v>0.25</v>
      </c>
      <c r="L71" s="344"/>
      <c r="M71" s="344"/>
      <c r="N71" s="180">
        <v>1.0</v>
      </c>
      <c r="O71" s="180">
        <v>1.0</v>
      </c>
      <c r="P71" s="5"/>
      <c r="Q71" s="176">
        <f t="shared" ref="Q71:T71" si="203">round(J71/6,2)</f>
        <v>0.24</v>
      </c>
      <c r="R71" s="176">
        <f t="shared" si="203"/>
        <v>0.04</v>
      </c>
      <c r="S71" s="176">
        <f t="shared" si="203"/>
        <v>0</v>
      </c>
      <c r="T71" s="176">
        <f t="shared" si="203"/>
        <v>0</v>
      </c>
      <c r="U71" s="5"/>
      <c r="V71" s="184"/>
      <c r="W71" s="184"/>
      <c r="X71" s="184"/>
      <c r="Y71" s="184"/>
      <c r="Z71" s="184"/>
      <c r="AA71" s="184"/>
      <c r="AB71" s="5"/>
      <c r="AC71" s="176">
        <v>0.13</v>
      </c>
      <c r="AD71" s="184"/>
      <c r="AE71" s="184"/>
      <c r="AF71" s="184"/>
      <c r="AG71" s="176"/>
      <c r="AH71" s="176">
        <v>0.24</v>
      </c>
      <c r="AI71" s="5"/>
      <c r="AJ71" s="184">
        <f t="shared" si="143"/>
        <v>0.7</v>
      </c>
      <c r="AK71" s="184">
        <f t="shared" si="144"/>
        <v>0.144</v>
      </c>
      <c r="AL71" s="184">
        <f t="shared" si="201"/>
        <v>0</v>
      </c>
      <c r="AM71" s="184">
        <f t="shared" si="204"/>
        <v>0</v>
      </c>
      <c r="AN71" s="184">
        <f t="shared" ref="AN71:AO71" si="205">N71+Z71-AG71</f>
        <v>1</v>
      </c>
      <c r="AO71" s="184">
        <f t="shared" si="205"/>
        <v>0.76</v>
      </c>
      <c r="AP71" s="5"/>
      <c r="AQ71" s="176">
        <v>1.55</v>
      </c>
      <c r="AR71" s="176">
        <v>0.187</v>
      </c>
      <c r="AS71" s="176" t="s">
        <v>913</v>
      </c>
      <c r="AT71" s="176" t="s">
        <v>913</v>
      </c>
      <c r="AU71" s="176">
        <v>1.0</v>
      </c>
      <c r="AV71" s="176">
        <v>1.0</v>
      </c>
      <c r="AW71" s="180" t="s">
        <v>2081</v>
      </c>
      <c r="AX71" s="5"/>
      <c r="AY71" s="416"/>
      <c r="BA71" s="81"/>
      <c r="BB71" s="81"/>
      <c r="BC71" s="81"/>
      <c r="BD71" s="81"/>
      <c r="BE71" s="81"/>
      <c r="BF71" s="81"/>
      <c r="BG71" s="81"/>
    </row>
    <row r="72">
      <c r="A72" s="176">
        <v>85.0</v>
      </c>
      <c r="B72" s="435" t="s">
        <v>1736</v>
      </c>
      <c r="C72" s="287" t="s">
        <v>127</v>
      </c>
      <c r="D72" s="336"/>
      <c r="E72" s="297"/>
      <c r="F72" s="292"/>
      <c r="G72" s="292"/>
      <c r="H72" s="297"/>
      <c r="I72" s="427">
        <v>3.33</v>
      </c>
      <c r="J72" s="297"/>
      <c r="K72" s="427">
        <v>0.34</v>
      </c>
      <c r="L72" s="427">
        <v>0.33</v>
      </c>
      <c r="M72" s="297"/>
      <c r="N72" s="180">
        <v>1.0</v>
      </c>
      <c r="O72" s="180">
        <v>1.0</v>
      </c>
      <c r="P72" s="5"/>
      <c r="Q72" s="176">
        <f t="shared" ref="Q72:T72" si="206">round(J72/6,2)</f>
        <v>0</v>
      </c>
      <c r="R72" s="176">
        <f t="shared" si="206"/>
        <v>0.06</v>
      </c>
      <c r="S72" s="176">
        <f t="shared" si="206"/>
        <v>0.06</v>
      </c>
      <c r="T72" s="176">
        <f t="shared" si="206"/>
        <v>0</v>
      </c>
      <c r="U72" s="5"/>
      <c r="V72" s="184"/>
      <c r="W72" s="176">
        <v>0.13</v>
      </c>
      <c r="X72" s="184"/>
      <c r="Y72" s="184"/>
      <c r="Z72" s="184"/>
      <c r="AA72" s="184"/>
      <c r="AB72" s="5"/>
      <c r="AC72" s="184"/>
      <c r="AD72" s="184"/>
      <c r="AE72" s="184"/>
      <c r="AF72" s="184"/>
      <c r="AG72" s="184"/>
      <c r="AH72" s="176">
        <v>0.12</v>
      </c>
      <c r="AI72" s="5"/>
      <c r="AJ72" s="184">
        <f t="shared" si="143"/>
        <v>0</v>
      </c>
      <c r="AK72" s="184">
        <f t="shared" si="144"/>
        <v>0.332</v>
      </c>
      <c r="AL72" s="184">
        <f t="shared" si="201"/>
        <v>0.2</v>
      </c>
      <c r="AM72" s="184">
        <f t="shared" si="204"/>
        <v>0</v>
      </c>
      <c r="AN72" s="184">
        <f t="shared" ref="AN72:AO72" si="207">N72+Z72-AG72</f>
        <v>1</v>
      </c>
      <c r="AO72" s="184">
        <f t="shared" si="207"/>
        <v>0.88</v>
      </c>
      <c r="AP72" s="5"/>
      <c r="AQ72" s="176">
        <v>0.8</v>
      </c>
      <c r="AR72" s="176">
        <v>0.0</v>
      </c>
      <c r="AS72" s="176">
        <v>0.0</v>
      </c>
      <c r="AT72" s="176" t="s">
        <v>913</v>
      </c>
      <c r="AU72" s="176">
        <v>1.0</v>
      </c>
      <c r="AV72" s="176">
        <v>0.5</v>
      </c>
      <c r="AW72" s="180" t="s">
        <v>2082</v>
      </c>
      <c r="AX72" s="5"/>
      <c r="AY72" s="417"/>
      <c r="BA72" s="81"/>
      <c r="BB72" s="81"/>
      <c r="BC72" s="81"/>
      <c r="BD72" s="81"/>
      <c r="BE72" s="81"/>
      <c r="BF72" s="81"/>
      <c r="BG72" s="81"/>
    </row>
    <row r="73">
      <c r="A73" s="176">
        <v>87.0</v>
      </c>
      <c r="B73" s="432" t="s">
        <v>1738</v>
      </c>
      <c r="C73" s="287" t="s">
        <v>127</v>
      </c>
      <c r="D73" s="336"/>
      <c r="E73" s="292"/>
      <c r="F73" s="297"/>
      <c r="G73" s="297"/>
      <c r="H73" s="297"/>
      <c r="I73" s="427">
        <v>3.66</v>
      </c>
      <c r="J73" s="427">
        <v>0.34</v>
      </c>
      <c r="K73" s="297"/>
      <c r="L73" s="297"/>
      <c r="M73" s="297"/>
      <c r="N73" s="180">
        <v>1.0</v>
      </c>
      <c r="O73" s="180">
        <v>1.0</v>
      </c>
      <c r="P73" s="5"/>
      <c r="Q73" s="176">
        <f t="shared" ref="Q73:T73" si="208">round(J73/6,2)</f>
        <v>0.06</v>
      </c>
      <c r="R73" s="176">
        <f t="shared" si="208"/>
        <v>0</v>
      </c>
      <c r="S73" s="176">
        <f t="shared" si="208"/>
        <v>0</v>
      </c>
      <c r="T73" s="176">
        <f t="shared" si="208"/>
        <v>0</v>
      </c>
      <c r="U73" s="5"/>
      <c r="V73" s="184"/>
      <c r="W73" s="184"/>
      <c r="X73" s="184"/>
      <c r="Y73" s="184"/>
      <c r="Z73" s="184"/>
      <c r="AA73" s="184"/>
      <c r="AB73" s="5"/>
      <c r="AC73" s="184"/>
      <c r="AD73" s="184"/>
      <c r="AE73" s="184"/>
      <c r="AF73" s="184"/>
      <c r="AG73" s="184"/>
      <c r="AH73" s="176">
        <v>0.0825</v>
      </c>
      <c r="AI73" s="5"/>
      <c r="AJ73" s="184">
        <f t="shared" si="143"/>
        <v>0.2</v>
      </c>
      <c r="AK73" s="184">
        <f t="shared" si="144"/>
        <v>0</v>
      </c>
      <c r="AL73" s="184">
        <f t="shared" si="201"/>
        <v>0</v>
      </c>
      <c r="AM73" s="184">
        <f t="shared" si="204"/>
        <v>0</v>
      </c>
      <c r="AN73" s="184">
        <f t="shared" ref="AN73:AO73" si="209">N73+Z73-AG73</f>
        <v>1</v>
      </c>
      <c r="AO73" s="184">
        <f t="shared" si="209"/>
        <v>0.9175</v>
      </c>
      <c r="AP73" s="21"/>
      <c r="AQ73" s="176">
        <v>0.5</v>
      </c>
      <c r="AR73" s="176" t="s">
        <v>913</v>
      </c>
      <c r="AS73" s="176" t="s">
        <v>913</v>
      </c>
      <c r="AT73" s="176" t="s">
        <v>913</v>
      </c>
      <c r="AU73" s="176">
        <v>1.0</v>
      </c>
      <c r="AV73" s="176">
        <v>1.0</v>
      </c>
      <c r="AW73" s="180" t="s">
        <v>2083</v>
      </c>
      <c r="AX73" s="5"/>
      <c r="AY73" s="417"/>
      <c r="BA73" s="81"/>
      <c r="BB73" s="81"/>
      <c r="BC73" s="81"/>
      <c r="BD73" s="81"/>
      <c r="BE73" s="81"/>
      <c r="BF73" s="81"/>
      <c r="BG73" s="81"/>
    </row>
    <row r="74">
      <c r="A74" s="176">
        <v>89.0</v>
      </c>
      <c r="B74" s="435" t="s">
        <v>1740</v>
      </c>
      <c r="C74" s="287" t="s">
        <v>127</v>
      </c>
      <c r="D74" s="336"/>
      <c r="E74" s="292"/>
      <c r="F74" s="297"/>
      <c r="G74" s="297"/>
      <c r="H74" s="297"/>
      <c r="I74" s="292">
        <v>4.0</v>
      </c>
      <c r="J74" s="427"/>
      <c r="K74" s="297"/>
      <c r="L74" s="297"/>
      <c r="M74" s="297"/>
      <c r="N74" s="180">
        <v>1.0</v>
      </c>
      <c r="O74" s="180">
        <v>1.0</v>
      </c>
      <c r="P74" s="5"/>
      <c r="Q74" s="176">
        <f t="shared" ref="Q74:T74" si="210">round(J74/6,2)</f>
        <v>0</v>
      </c>
      <c r="R74" s="176">
        <f t="shared" si="210"/>
        <v>0</v>
      </c>
      <c r="S74" s="176">
        <f t="shared" si="210"/>
        <v>0</v>
      </c>
      <c r="T74" s="176">
        <f t="shared" si="210"/>
        <v>0</v>
      </c>
      <c r="U74" s="5"/>
      <c r="V74" s="184"/>
      <c r="W74" s="184"/>
      <c r="X74" s="184"/>
      <c r="Y74" s="184"/>
      <c r="Z74" s="184"/>
      <c r="AA74" s="184"/>
      <c r="AB74" s="5"/>
      <c r="AC74" s="176">
        <v>0.21</v>
      </c>
      <c r="AD74" s="184"/>
      <c r="AE74" s="184"/>
      <c r="AF74" s="184"/>
      <c r="AG74" s="184"/>
      <c r="AH74" s="176">
        <v>0.36</v>
      </c>
      <c r="AI74" s="5"/>
      <c r="AJ74" s="184">
        <f t="shared" si="143"/>
        <v>-0.21</v>
      </c>
      <c r="AK74" s="184">
        <f t="shared" si="144"/>
        <v>0</v>
      </c>
      <c r="AL74" s="184">
        <f t="shared" si="201"/>
        <v>0</v>
      </c>
      <c r="AM74" s="184">
        <f t="shared" si="204"/>
        <v>0</v>
      </c>
      <c r="AN74" s="184">
        <f t="shared" ref="AN74:AO74" si="211">N74+Z74-AG74</f>
        <v>1</v>
      </c>
      <c r="AO74" s="184">
        <f t="shared" si="211"/>
        <v>0.64</v>
      </c>
      <c r="AP74" s="5"/>
      <c r="AQ74" s="176" t="s">
        <v>913</v>
      </c>
      <c r="AR74" s="176" t="s">
        <v>913</v>
      </c>
      <c r="AS74" s="176" t="s">
        <v>913</v>
      </c>
      <c r="AT74" s="176" t="s">
        <v>913</v>
      </c>
      <c r="AU74" s="176">
        <v>0.0</v>
      </c>
      <c r="AV74" s="176">
        <v>0.5</v>
      </c>
      <c r="AW74" s="180" t="s">
        <v>2084</v>
      </c>
      <c r="AX74" s="5"/>
      <c r="AY74" s="417"/>
      <c r="BA74" s="81"/>
      <c r="BB74" s="81"/>
      <c r="BC74" s="81"/>
      <c r="BD74" s="81"/>
      <c r="BE74" s="81"/>
      <c r="BF74" s="81"/>
      <c r="BG74" s="81"/>
    </row>
    <row r="75">
      <c r="A75" s="176">
        <v>90.0</v>
      </c>
      <c r="B75" s="435" t="s">
        <v>1741</v>
      </c>
      <c r="C75" s="287" t="s">
        <v>127</v>
      </c>
      <c r="D75" s="336"/>
      <c r="E75" s="292"/>
      <c r="F75" s="297"/>
      <c r="G75" s="297"/>
      <c r="H75" s="297"/>
      <c r="I75" s="427">
        <v>3.66</v>
      </c>
      <c r="J75" s="427">
        <v>0.34</v>
      </c>
      <c r="K75" s="297"/>
      <c r="L75" s="297"/>
      <c r="M75" s="297"/>
      <c r="N75" s="180">
        <v>1.0</v>
      </c>
      <c r="O75" s="180">
        <v>1.0</v>
      </c>
      <c r="P75" s="5"/>
      <c r="Q75" s="176">
        <f t="shared" ref="Q75:T75" si="212">round(J75/6,2)</f>
        <v>0.06</v>
      </c>
      <c r="R75" s="176">
        <f t="shared" si="212"/>
        <v>0</v>
      </c>
      <c r="S75" s="176">
        <f t="shared" si="212"/>
        <v>0</v>
      </c>
      <c r="T75" s="176">
        <f t="shared" si="212"/>
        <v>0</v>
      </c>
      <c r="U75" s="5"/>
      <c r="V75" s="184"/>
      <c r="W75" s="184"/>
      <c r="X75" s="184"/>
      <c r="Y75" s="184"/>
      <c r="Z75" s="184"/>
      <c r="AA75" s="184"/>
      <c r="AB75" s="5"/>
      <c r="AC75" s="184"/>
      <c r="AD75" s="184"/>
      <c r="AE75" s="184"/>
      <c r="AF75" s="184"/>
      <c r="AG75" s="184"/>
      <c r="AH75" s="184"/>
      <c r="AI75" s="5"/>
      <c r="AJ75" s="184">
        <f t="shared" si="143"/>
        <v>0.2</v>
      </c>
      <c r="AK75" s="184">
        <f t="shared" si="144"/>
        <v>0</v>
      </c>
      <c r="AL75" s="184">
        <f t="shared" si="201"/>
        <v>0</v>
      </c>
      <c r="AM75" s="184">
        <f t="shared" si="204"/>
        <v>0</v>
      </c>
      <c r="AN75" s="184">
        <f t="shared" ref="AN75:AO75" si="213">N75+Z75-AG75</f>
        <v>1</v>
      </c>
      <c r="AO75" s="184">
        <f t="shared" si="213"/>
        <v>1</v>
      </c>
      <c r="AP75" s="5"/>
      <c r="AQ75" s="176">
        <v>0.5</v>
      </c>
      <c r="AR75" s="176" t="s">
        <v>913</v>
      </c>
      <c r="AS75" s="176" t="s">
        <v>913</v>
      </c>
      <c r="AT75" s="176" t="s">
        <v>913</v>
      </c>
      <c r="AU75" s="176">
        <v>1.0</v>
      </c>
      <c r="AV75" s="176">
        <v>1.0</v>
      </c>
      <c r="AW75" s="180" t="s">
        <v>2085</v>
      </c>
      <c r="AX75" s="5"/>
      <c r="AY75" s="417"/>
      <c r="BA75" s="198">
        <v>0.52</v>
      </c>
      <c r="BB75" s="184"/>
      <c r="BC75" s="184"/>
      <c r="BD75" s="184"/>
      <c r="BE75" s="198">
        <v>0.67</v>
      </c>
      <c r="BF75" s="184"/>
      <c r="BG75" s="184"/>
    </row>
    <row r="76">
      <c r="A76" s="176">
        <v>91.0</v>
      </c>
      <c r="B76" s="435" t="s">
        <v>1745</v>
      </c>
      <c r="C76" s="287" t="s">
        <v>127</v>
      </c>
      <c r="D76" s="346"/>
      <c r="E76" s="336"/>
      <c r="F76" s="297"/>
      <c r="G76" s="438"/>
      <c r="H76" s="297"/>
      <c r="I76" s="427">
        <v>3.66</v>
      </c>
      <c r="J76" s="427">
        <v>0.34</v>
      </c>
      <c r="K76" s="297"/>
      <c r="L76" s="297"/>
      <c r="M76" s="297"/>
      <c r="N76" s="180">
        <v>1.0</v>
      </c>
      <c r="O76" s="180">
        <v>1.0</v>
      </c>
      <c r="P76" s="5"/>
      <c r="Q76" s="176">
        <f t="shared" ref="Q76:T76" si="214">round(J76/6,2)</f>
        <v>0.06</v>
      </c>
      <c r="R76" s="176">
        <f t="shared" si="214"/>
        <v>0</v>
      </c>
      <c r="S76" s="176">
        <f t="shared" si="214"/>
        <v>0</v>
      </c>
      <c r="T76" s="176">
        <f t="shared" si="214"/>
        <v>0</v>
      </c>
      <c r="U76" s="5"/>
      <c r="V76" s="184"/>
      <c r="W76" s="184"/>
      <c r="X76" s="184"/>
      <c r="Y76" s="184"/>
      <c r="Z76" s="184"/>
      <c r="AA76" s="184"/>
      <c r="AB76" s="5"/>
      <c r="AC76" s="176">
        <v>0.25</v>
      </c>
      <c r="AD76" s="184"/>
      <c r="AE76" s="184"/>
      <c r="AF76" s="184"/>
      <c r="AG76" s="184"/>
      <c r="AH76" s="176">
        <v>0.24</v>
      </c>
      <c r="AI76" s="5"/>
      <c r="AJ76" s="184">
        <f t="shared" si="143"/>
        <v>-0.05</v>
      </c>
      <c r="AK76" s="184">
        <f t="shared" si="144"/>
        <v>0</v>
      </c>
      <c r="AL76" s="184">
        <f>ROUND(G76*(5/12)+L76*(5/12)+S76+BC76-AE76,2)</f>
        <v>0</v>
      </c>
      <c r="AM76" s="184">
        <f t="shared" si="204"/>
        <v>0</v>
      </c>
      <c r="AN76" s="184">
        <f t="shared" ref="AN76:AO76" si="215">N76+Z76-AG76</f>
        <v>1</v>
      </c>
      <c r="AO76" s="184">
        <f t="shared" si="215"/>
        <v>0.76</v>
      </c>
      <c r="AP76" s="5"/>
      <c r="AQ76" s="176">
        <v>0.25</v>
      </c>
      <c r="AR76" s="176" t="s">
        <v>913</v>
      </c>
      <c r="AS76" s="176" t="s">
        <v>913</v>
      </c>
      <c r="AT76" s="176" t="s">
        <v>913</v>
      </c>
      <c r="AU76" s="176">
        <v>0.5</v>
      </c>
      <c r="AV76" s="176">
        <v>0.0</v>
      </c>
      <c r="AW76" s="180" t="s">
        <v>2086</v>
      </c>
      <c r="AX76" s="5"/>
      <c r="AY76" s="417"/>
      <c r="BA76" s="81"/>
      <c r="BB76" s="81"/>
      <c r="BC76" s="81"/>
      <c r="BD76" s="81"/>
      <c r="BE76" s="81"/>
      <c r="BF76" s="81"/>
      <c r="BG76" s="81"/>
    </row>
    <row r="77">
      <c r="A77" s="176">
        <v>92.0</v>
      </c>
      <c r="B77" s="435" t="s">
        <v>2087</v>
      </c>
      <c r="C77" s="287" t="s">
        <v>127</v>
      </c>
      <c r="D77" s="346"/>
      <c r="E77" s="336"/>
      <c r="F77" s="439"/>
      <c r="G77" s="436"/>
      <c r="H77" s="292"/>
      <c r="I77" s="292">
        <v>3.33</v>
      </c>
      <c r="J77" s="292">
        <v>0.17</v>
      </c>
      <c r="K77" s="293"/>
      <c r="L77" s="293"/>
      <c r="M77" s="292">
        <v>0.5</v>
      </c>
      <c r="N77" s="180">
        <v>1.0</v>
      </c>
      <c r="O77" s="180">
        <v>1.0</v>
      </c>
      <c r="P77" s="5"/>
      <c r="Q77" s="176">
        <f t="shared" ref="Q77:T77" si="216">round(J77/6,2)</f>
        <v>0.03</v>
      </c>
      <c r="R77" s="176">
        <f t="shared" si="216"/>
        <v>0</v>
      </c>
      <c r="S77" s="176">
        <f t="shared" si="216"/>
        <v>0</v>
      </c>
      <c r="T77" s="176">
        <f t="shared" si="216"/>
        <v>0.08</v>
      </c>
      <c r="U77" s="5"/>
      <c r="V77" s="184"/>
      <c r="W77" s="184"/>
      <c r="X77" s="184"/>
      <c r="Y77" s="184"/>
      <c r="Z77" s="184"/>
      <c r="AA77" s="184"/>
      <c r="AB77" s="5"/>
      <c r="AC77" s="176">
        <v>0.42</v>
      </c>
      <c r="AD77" s="184"/>
      <c r="AE77" s="184"/>
      <c r="AF77" s="184"/>
      <c r="AG77" s="184"/>
      <c r="AH77" s="184"/>
      <c r="AI77" s="5"/>
      <c r="AJ77" s="184">
        <f t="shared" si="143"/>
        <v>-0.32</v>
      </c>
      <c r="AK77" s="184">
        <f t="shared" si="144"/>
        <v>0</v>
      </c>
      <c r="AL77" s="184">
        <f t="shared" ref="AL77:AM77" si="217">ROUND(G77*(5/12)+L77*(5/12)+S77+X77-AE77,2)</f>
        <v>0</v>
      </c>
      <c r="AM77" s="184">
        <f t="shared" si="217"/>
        <v>0.29</v>
      </c>
      <c r="AN77" s="184">
        <f t="shared" ref="AN77:AO77" si="218">N77+Z77-AG77</f>
        <v>1</v>
      </c>
      <c r="AO77" s="184">
        <f t="shared" si="218"/>
        <v>1</v>
      </c>
      <c r="AP77" s="5"/>
      <c r="AQ77" s="176">
        <v>0.3</v>
      </c>
      <c r="AR77" s="176" t="s">
        <v>913</v>
      </c>
      <c r="AS77" s="176" t="s">
        <v>913</v>
      </c>
      <c r="AT77" s="176">
        <v>0.0</v>
      </c>
      <c r="AU77" s="176">
        <v>0.5</v>
      </c>
      <c r="AV77" s="176">
        <v>1.0</v>
      </c>
      <c r="AW77" s="180" t="s">
        <v>2088</v>
      </c>
      <c r="AX77" s="5"/>
      <c r="AY77" s="417"/>
      <c r="BA77" s="81"/>
      <c r="BB77" s="81"/>
      <c r="BC77" s="81"/>
      <c r="BD77" s="81"/>
      <c r="BE77" s="81"/>
      <c r="BF77" s="81"/>
      <c r="BG77" s="81"/>
    </row>
    <row r="78">
      <c r="A78" s="176">
        <v>93.0</v>
      </c>
      <c r="B78" s="435" t="s">
        <v>2089</v>
      </c>
      <c r="C78" s="287" t="s">
        <v>127</v>
      </c>
      <c r="D78" s="346"/>
      <c r="E78" s="336"/>
      <c r="F78" s="297"/>
      <c r="G78" s="297"/>
      <c r="H78" s="297"/>
      <c r="I78" s="427">
        <v>3.33</v>
      </c>
      <c r="J78" s="427">
        <v>0.67</v>
      </c>
      <c r="K78" s="297"/>
      <c r="L78" s="297"/>
      <c r="M78" s="297"/>
      <c r="N78" s="180">
        <v>1.0</v>
      </c>
      <c r="O78" s="180">
        <v>1.0</v>
      </c>
      <c r="P78" s="5"/>
      <c r="Q78" s="176">
        <f t="shared" ref="Q78:T78" si="219">round(J78/6,2)</f>
        <v>0.11</v>
      </c>
      <c r="R78" s="176">
        <f t="shared" si="219"/>
        <v>0</v>
      </c>
      <c r="S78" s="176">
        <f t="shared" si="219"/>
        <v>0</v>
      </c>
      <c r="T78" s="176">
        <f t="shared" si="219"/>
        <v>0</v>
      </c>
      <c r="U78" s="5"/>
      <c r="V78" s="184"/>
      <c r="W78" s="184"/>
      <c r="X78" s="184"/>
      <c r="Y78" s="184"/>
      <c r="Z78" s="176">
        <v>0.17</v>
      </c>
      <c r="AA78" s="176">
        <v>0.09</v>
      </c>
      <c r="AB78" s="5"/>
      <c r="AC78" s="184"/>
      <c r="AD78" s="184"/>
      <c r="AE78" s="184"/>
      <c r="AF78" s="184"/>
      <c r="AG78" s="184"/>
      <c r="AH78" s="184"/>
      <c r="AI78" s="5"/>
      <c r="AJ78" s="184">
        <f t="shared" si="143"/>
        <v>0.39</v>
      </c>
      <c r="AK78" s="184">
        <f t="shared" si="144"/>
        <v>0</v>
      </c>
      <c r="AL78" s="184">
        <f t="shared" ref="AL78:AM78" si="220">ROUND(G78*(5/12)+L78*(5/12)+S78+X78-AE78,2)</f>
        <v>0</v>
      </c>
      <c r="AM78" s="184">
        <f t="shared" si="220"/>
        <v>0</v>
      </c>
      <c r="AN78" s="184">
        <f t="shared" ref="AN78:AO78" si="221">N78+Z78-AG78</f>
        <v>1.17</v>
      </c>
      <c r="AO78" s="184">
        <f t="shared" si="221"/>
        <v>1.09</v>
      </c>
      <c r="AP78" s="5"/>
      <c r="AQ78" s="176">
        <v>0.5</v>
      </c>
      <c r="AR78" s="176" t="s">
        <v>913</v>
      </c>
      <c r="AS78" s="176" t="s">
        <v>913</v>
      </c>
      <c r="AT78" s="176" t="s">
        <v>913</v>
      </c>
      <c r="AU78" s="176">
        <v>0.0</v>
      </c>
      <c r="AV78" s="176">
        <v>1.09</v>
      </c>
      <c r="AW78" s="180" t="s">
        <v>2090</v>
      </c>
      <c r="AX78" s="5"/>
      <c r="AY78" s="417"/>
      <c r="BA78" s="81"/>
      <c r="BB78" s="81"/>
      <c r="BC78" s="81"/>
      <c r="BD78" s="81"/>
      <c r="BE78" s="81"/>
      <c r="BF78" s="81"/>
      <c r="BG78" s="81"/>
    </row>
    <row r="79">
      <c r="A79" s="176">
        <v>94.0</v>
      </c>
      <c r="B79" s="435" t="s">
        <v>1746</v>
      </c>
      <c r="C79" s="287" t="s">
        <v>127</v>
      </c>
      <c r="D79" s="348"/>
      <c r="E79" s="336"/>
      <c r="F79" s="297"/>
      <c r="G79" s="297"/>
      <c r="H79" s="292"/>
      <c r="I79" s="292">
        <v>3.0</v>
      </c>
      <c r="J79" s="292">
        <v>0.5</v>
      </c>
      <c r="K79" s="293"/>
      <c r="L79" s="293"/>
      <c r="M79" s="292">
        <v>0.5</v>
      </c>
      <c r="N79" s="180">
        <v>1.0</v>
      </c>
      <c r="O79" s="180">
        <v>1.0</v>
      </c>
      <c r="P79" s="5"/>
      <c r="Q79" s="176">
        <f t="shared" ref="Q79:T79" si="222">round(J79/6,2)</f>
        <v>0.08</v>
      </c>
      <c r="R79" s="176">
        <f t="shared" si="222"/>
        <v>0</v>
      </c>
      <c r="S79" s="176">
        <f t="shared" si="222"/>
        <v>0</v>
      </c>
      <c r="T79" s="176">
        <f t="shared" si="222"/>
        <v>0.08</v>
      </c>
      <c r="U79" s="5"/>
      <c r="V79" s="176">
        <v>0.06</v>
      </c>
      <c r="W79" s="184"/>
      <c r="X79" s="184"/>
      <c r="Y79" s="184"/>
      <c r="Z79" s="184"/>
      <c r="AA79" s="184"/>
      <c r="AB79" s="5"/>
      <c r="AC79" s="184"/>
      <c r="AD79" s="184"/>
      <c r="AE79" s="184"/>
      <c r="AF79" s="184"/>
      <c r="AG79" s="184"/>
      <c r="AH79" s="176">
        <v>0.03</v>
      </c>
      <c r="AI79" s="5"/>
      <c r="AJ79" s="184">
        <f t="shared" si="143"/>
        <v>0.35</v>
      </c>
      <c r="AK79" s="184">
        <f t="shared" si="144"/>
        <v>0</v>
      </c>
      <c r="AL79" s="184">
        <f t="shared" ref="AL79:AM79" si="223">ROUND(G79*(5/12)+L79*(5/12)+S79+X79-AE79,2)</f>
        <v>0</v>
      </c>
      <c r="AM79" s="184">
        <f t="shared" si="223"/>
        <v>0.29</v>
      </c>
      <c r="AN79" s="184">
        <f t="shared" ref="AN79:AO79" si="224">N79+Z79-AG79</f>
        <v>1</v>
      </c>
      <c r="AO79" s="184">
        <f t="shared" si="224"/>
        <v>0.97</v>
      </c>
      <c r="AP79" s="5"/>
      <c r="AQ79" s="176">
        <v>0.65</v>
      </c>
      <c r="AR79" s="176" t="s">
        <v>913</v>
      </c>
      <c r="AS79" s="176" t="s">
        <v>913</v>
      </c>
      <c r="AT79" s="176">
        <v>0.0</v>
      </c>
      <c r="AU79" s="176">
        <v>1.0</v>
      </c>
      <c r="AV79" s="176">
        <v>0.5</v>
      </c>
      <c r="AW79" s="180" t="s">
        <v>2091</v>
      </c>
      <c r="AX79" s="5"/>
      <c r="AY79" s="417"/>
      <c r="BA79" s="81"/>
      <c r="BB79" s="81"/>
      <c r="BC79" s="81"/>
      <c r="BD79" s="81"/>
      <c r="BE79" s="81"/>
      <c r="BF79" s="81"/>
      <c r="BG79" s="81"/>
    </row>
    <row r="80">
      <c r="A80" s="176">
        <v>95.0</v>
      </c>
      <c r="B80" s="435" t="s">
        <v>2092</v>
      </c>
      <c r="C80" s="287" t="s">
        <v>127</v>
      </c>
      <c r="D80" s="336"/>
      <c r="E80" s="292"/>
      <c r="F80" s="440"/>
      <c r="G80" s="440"/>
      <c r="H80" s="440"/>
      <c r="I80" s="441">
        <v>3.66</v>
      </c>
      <c r="J80" s="441">
        <v>0.34</v>
      </c>
      <c r="K80" s="440"/>
      <c r="L80" s="440"/>
      <c r="M80" s="440"/>
      <c r="N80" s="180">
        <v>1.0</v>
      </c>
      <c r="O80" s="180">
        <v>1.0</v>
      </c>
      <c r="P80" s="5"/>
      <c r="Q80" s="176">
        <f t="shared" ref="Q80:T80" si="225">round(J80/6,2)</f>
        <v>0.06</v>
      </c>
      <c r="R80" s="176">
        <f t="shared" si="225"/>
        <v>0</v>
      </c>
      <c r="S80" s="176">
        <f t="shared" si="225"/>
        <v>0</v>
      </c>
      <c r="T80" s="176">
        <f t="shared" si="225"/>
        <v>0</v>
      </c>
      <c r="U80" s="5"/>
      <c r="V80" s="184"/>
      <c r="W80" s="184"/>
      <c r="X80" s="184"/>
      <c r="Y80" s="184"/>
      <c r="Z80" s="184"/>
      <c r="AA80" s="184"/>
      <c r="AB80" s="5"/>
      <c r="AC80" s="176">
        <v>0.13</v>
      </c>
      <c r="AD80" s="184"/>
      <c r="AE80" s="184"/>
      <c r="AF80" s="184"/>
      <c r="AG80" s="184"/>
      <c r="AH80" s="184"/>
      <c r="AI80" s="5"/>
      <c r="AJ80" s="184">
        <f t="shared" si="143"/>
        <v>0.07</v>
      </c>
      <c r="AK80" s="184">
        <f t="shared" si="144"/>
        <v>0</v>
      </c>
      <c r="AL80" s="184">
        <f t="shared" ref="AL80:AM80" si="226">ROUND(G80*(5/12)+L80*(5/12)+S80+X80-AE80,2)</f>
        <v>0</v>
      </c>
      <c r="AM80" s="184">
        <f t="shared" si="226"/>
        <v>0</v>
      </c>
      <c r="AN80" s="184">
        <f t="shared" ref="AN80:AO80" si="227">N80+Z80-AG80</f>
        <v>1</v>
      </c>
      <c r="AO80" s="184">
        <f t="shared" si="227"/>
        <v>1</v>
      </c>
      <c r="AP80" s="5"/>
      <c r="AQ80" s="176">
        <v>0.0</v>
      </c>
      <c r="AR80" s="176" t="s">
        <v>913</v>
      </c>
      <c r="AS80" s="176" t="s">
        <v>913</v>
      </c>
      <c r="AT80" s="176" t="s">
        <v>913</v>
      </c>
      <c r="AU80" s="176">
        <v>1.0</v>
      </c>
      <c r="AV80" s="176">
        <v>1.0</v>
      </c>
      <c r="AW80" s="180" t="s">
        <v>2093</v>
      </c>
      <c r="AX80" s="5"/>
      <c r="AY80" s="417"/>
      <c r="BA80" s="81"/>
      <c r="BB80" s="81"/>
      <c r="BC80" s="81"/>
      <c r="BD80" s="81"/>
      <c r="BE80" s="81"/>
      <c r="BF80" s="81"/>
      <c r="BG80" s="81"/>
    </row>
    <row r="81">
      <c r="A81" s="176">
        <v>96.0</v>
      </c>
      <c r="B81" s="435" t="s">
        <v>2094</v>
      </c>
      <c r="C81" s="287" t="s">
        <v>127</v>
      </c>
      <c r="D81" s="336"/>
      <c r="E81" s="292"/>
      <c r="F81" s="344"/>
      <c r="G81" s="344"/>
      <c r="H81" s="344"/>
      <c r="I81" s="289">
        <v>4.0</v>
      </c>
      <c r="J81" s="431"/>
      <c r="K81" s="344"/>
      <c r="L81" s="344"/>
      <c r="M81" s="344"/>
      <c r="N81" s="180">
        <v>1.0</v>
      </c>
      <c r="O81" s="180">
        <v>1.0</v>
      </c>
      <c r="P81" s="5"/>
      <c r="Q81" s="176">
        <f t="shared" ref="Q81:T81" si="228">round(J81/6,2)</f>
        <v>0</v>
      </c>
      <c r="R81" s="176">
        <f t="shared" si="228"/>
        <v>0</v>
      </c>
      <c r="S81" s="176">
        <f t="shared" si="228"/>
        <v>0</v>
      </c>
      <c r="T81" s="176">
        <f t="shared" si="228"/>
        <v>0</v>
      </c>
      <c r="U81" s="5"/>
      <c r="V81" s="176">
        <v>0.06</v>
      </c>
      <c r="W81" s="184"/>
      <c r="X81" s="184"/>
      <c r="Y81" s="184"/>
      <c r="Z81" s="184"/>
      <c r="AA81" s="184"/>
      <c r="AB81" s="5"/>
      <c r="AC81" s="184"/>
      <c r="AD81" s="184"/>
      <c r="AE81" s="184"/>
      <c r="AF81" s="184"/>
      <c r="AG81" s="184"/>
      <c r="AH81" s="176">
        <v>0.03</v>
      </c>
      <c r="AI81" s="5"/>
      <c r="AJ81" s="184">
        <f t="shared" si="143"/>
        <v>0.06</v>
      </c>
      <c r="AK81" s="184">
        <f t="shared" si="144"/>
        <v>0</v>
      </c>
      <c r="AL81" s="184">
        <f t="shared" ref="AL81:AM81" si="229">ROUND(G81*(5/12)+L81*(5/12)+S81+X81-AE81,2)</f>
        <v>0</v>
      </c>
      <c r="AM81" s="184">
        <f t="shared" si="229"/>
        <v>0</v>
      </c>
      <c r="AN81" s="184">
        <f t="shared" ref="AN81:AO81" si="230">N81+Z81-AG81</f>
        <v>1</v>
      </c>
      <c r="AO81" s="184">
        <f t="shared" si="230"/>
        <v>0.97</v>
      </c>
      <c r="AP81" s="5"/>
      <c r="AQ81" s="176">
        <v>0.0</v>
      </c>
      <c r="AR81" s="176" t="s">
        <v>913</v>
      </c>
      <c r="AS81" s="176">
        <v>0.0</v>
      </c>
      <c r="AT81" s="176" t="s">
        <v>913</v>
      </c>
      <c r="AU81" s="176">
        <v>0.0</v>
      </c>
      <c r="AV81" s="176"/>
      <c r="AW81" s="180" t="s">
        <v>2091</v>
      </c>
      <c r="AX81" s="5"/>
      <c r="AY81" s="417"/>
      <c r="BA81" s="81"/>
      <c r="BB81" s="81"/>
      <c r="BC81" s="81"/>
      <c r="BD81" s="81"/>
      <c r="BE81" s="81"/>
      <c r="BF81" s="81"/>
      <c r="BG81" s="81"/>
    </row>
    <row r="82">
      <c r="A82" s="176">
        <v>97.0</v>
      </c>
      <c r="B82" s="435" t="s">
        <v>2095</v>
      </c>
      <c r="C82" s="287" t="s">
        <v>127</v>
      </c>
      <c r="D82" s="336"/>
      <c r="E82" s="292"/>
      <c r="F82" s="297"/>
      <c r="G82" s="297"/>
      <c r="H82" s="297"/>
      <c r="I82" s="292">
        <v>5.0</v>
      </c>
      <c r="J82" s="427"/>
      <c r="K82" s="297"/>
      <c r="L82" s="297"/>
      <c r="M82" s="297"/>
      <c r="N82" s="180">
        <v>1.0</v>
      </c>
      <c r="O82" s="180">
        <v>1.0</v>
      </c>
      <c r="P82" s="5"/>
      <c r="Q82" s="176">
        <f t="shared" ref="Q82:T82" si="231">round(J82/6,2)</f>
        <v>0</v>
      </c>
      <c r="R82" s="176">
        <f t="shared" si="231"/>
        <v>0</v>
      </c>
      <c r="S82" s="176">
        <f t="shared" si="231"/>
        <v>0</v>
      </c>
      <c r="T82" s="176">
        <f t="shared" si="231"/>
        <v>0</v>
      </c>
      <c r="U82" s="5"/>
      <c r="V82" s="184"/>
      <c r="W82" s="184"/>
      <c r="X82" s="184"/>
      <c r="Y82" s="184"/>
      <c r="Z82" s="176">
        <v>0.21</v>
      </c>
      <c r="AA82" s="184"/>
      <c r="AB82" s="5"/>
      <c r="AC82" s="184"/>
      <c r="AD82" s="184"/>
      <c r="AE82" s="184"/>
      <c r="AF82" s="184"/>
      <c r="AG82" s="184"/>
      <c r="AH82" s="176">
        <v>0.03</v>
      </c>
      <c r="AI82" s="5"/>
      <c r="AJ82" s="184">
        <f t="shared" si="143"/>
        <v>0</v>
      </c>
      <c r="AK82" s="184">
        <f t="shared" si="144"/>
        <v>0</v>
      </c>
      <c r="AL82" s="184">
        <f t="shared" ref="AL82:AM82" si="232">ROUND(G82*(5/12)+L82*(5/12)+S82+X82-AE82,2)</f>
        <v>0</v>
      </c>
      <c r="AM82" s="184">
        <f t="shared" si="232"/>
        <v>0</v>
      </c>
      <c r="AN82" s="184">
        <f t="shared" ref="AN82:AO82" si="233">N82+Z82-AG82</f>
        <v>1.21</v>
      </c>
      <c r="AO82" s="184">
        <f t="shared" si="233"/>
        <v>0.97</v>
      </c>
      <c r="AP82" s="5"/>
      <c r="AQ82" s="176">
        <v>0.25</v>
      </c>
      <c r="AR82" s="176" t="s">
        <v>913</v>
      </c>
      <c r="AS82" s="176" t="s">
        <v>913</v>
      </c>
      <c r="AT82" s="176" t="s">
        <v>913</v>
      </c>
      <c r="AU82" s="176">
        <v>0.5</v>
      </c>
      <c r="AV82" s="176">
        <v>0.0</v>
      </c>
      <c r="AW82" s="180" t="s">
        <v>2096</v>
      </c>
      <c r="AX82" s="5"/>
      <c r="AY82" s="417"/>
      <c r="BA82" s="81"/>
      <c r="BB82" s="81"/>
      <c r="BC82" s="81"/>
      <c r="BD82" s="81"/>
      <c r="BE82" s="81"/>
      <c r="BF82" s="81"/>
      <c r="BG82" s="81"/>
    </row>
    <row r="83">
      <c r="A83" s="176">
        <v>98.0</v>
      </c>
      <c r="B83" s="435" t="s">
        <v>2097</v>
      </c>
      <c r="C83" s="287" t="s">
        <v>127</v>
      </c>
      <c r="D83" s="336"/>
      <c r="E83" s="292"/>
      <c r="F83" s="297"/>
      <c r="G83" s="297"/>
      <c r="H83" s="297"/>
      <c r="I83" s="427">
        <v>4.0</v>
      </c>
      <c r="J83" s="427"/>
      <c r="K83" s="297"/>
      <c r="L83" s="297"/>
      <c r="M83" s="297"/>
      <c r="N83" s="180">
        <v>1.0</v>
      </c>
      <c r="O83" s="180">
        <v>1.0</v>
      </c>
      <c r="P83" s="5"/>
      <c r="Q83" s="176">
        <f t="shared" ref="Q83:T83" si="234">round(J83/6,2)</f>
        <v>0</v>
      </c>
      <c r="R83" s="176">
        <f t="shared" si="234"/>
        <v>0</v>
      </c>
      <c r="S83" s="176">
        <f t="shared" si="234"/>
        <v>0</v>
      </c>
      <c r="T83" s="176">
        <f t="shared" si="234"/>
        <v>0</v>
      </c>
      <c r="U83" s="5"/>
      <c r="V83" s="184"/>
      <c r="W83" s="184"/>
      <c r="X83" s="184"/>
      <c r="Y83" s="184"/>
      <c r="Z83" s="184"/>
      <c r="AA83" s="184"/>
      <c r="AB83" s="5"/>
      <c r="AC83" s="184"/>
      <c r="AD83" s="184"/>
      <c r="AE83" s="184"/>
      <c r="AF83" s="184"/>
      <c r="AG83" s="184"/>
      <c r="AH83" s="184"/>
      <c r="AI83" s="5"/>
      <c r="AJ83" s="184">
        <f t="shared" si="143"/>
        <v>0</v>
      </c>
      <c r="AK83" s="184">
        <f t="shared" si="144"/>
        <v>0</v>
      </c>
      <c r="AL83" s="184">
        <f t="shared" ref="AL83:AM83" si="235">ROUND(G83*(5/12)+L83*(5/12)+S83+X83-AE83,2)</f>
        <v>0</v>
      </c>
      <c r="AM83" s="184">
        <f t="shared" si="235"/>
        <v>0</v>
      </c>
      <c r="AN83" s="184">
        <f t="shared" ref="AN83:AO83" si="236">N83+Z83-AG83</f>
        <v>1</v>
      </c>
      <c r="AO83" s="184">
        <f t="shared" si="236"/>
        <v>1</v>
      </c>
      <c r="AP83" s="5"/>
      <c r="AQ83" s="176">
        <v>0.25</v>
      </c>
      <c r="AR83" s="176" t="s">
        <v>913</v>
      </c>
      <c r="AS83" s="176" t="s">
        <v>913</v>
      </c>
      <c r="AT83" s="176" t="s">
        <v>913</v>
      </c>
      <c r="AU83" s="176">
        <v>0.0</v>
      </c>
      <c r="AV83" s="176">
        <v>1.0</v>
      </c>
      <c r="AW83" s="95" t="s">
        <v>2098</v>
      </c>
      <c r="AX83" s="5"/>
      <c r="AY83" s="417"/>
      <c r="BA83" s="81"/>
      <c r="BB83" s="81"/>
      <c r="BC83" s="81"/>
      <c r="BD83" s="81"/>
      <c r="BE83" s="81"/>
      <c r="BF83" s="81"/>
      <c r="BG83" s="81"/>
    </row>
    <row r="84">
      <c r="A84" s="176">
        <v>99.0</v>
      </c>
      <c r="B84" s="435" t="s">
        <v>1754</v>
      </c>
      <c r="C84" s="287" t="s">
        <v>127</v>
      </c>
      <c r="D84" s="336"/>
      <c r="E84" s="292"/>
      <c r="F84" s="297"/>
      <c r="G84" s="297"/>
      <c r="H84" s="297"/>
      <c r="I84" s="292">
        <v>4.0</v>
      </c>
      <c r="J84" s="427"/>
      <c r="K84" s="297"/>
      <c r="L84" s="297"/>
      <c r="M84" s="297"/>
      <c r="N84" s="180">
        <v>1.0</v>
      </c>
      <c r="O84" s="180">
        <v>1.0</v>
      </c>
      <c r="P84" s="5"/>
      <c r="Q84" s="176">
        <f t="shared" ref="Q84:T84" si="237">round(J84/6,2)</f>
        <v>0</v>
      </c>
      <c r="R84" s="176">
        <f t="shared" si="237"/>
        <v>0</v>
      </c>
      <c r="S84" s="176">
        <f t="shared" si="237"/>
        <v>0</v>
      </c>
      <c r="T84" s="176">
        <f t="shared" si="237"/>
        <v>0</v>
      </c>
      <c r="U84" s="5"/>
      <c r="V84" s="176">
        <v>0.31</v>
      </c>
      <c r="W84" s="184"/>
      <c r="X84" s="184"/>
      <c r="Y84" s="184"/>
      <c r="Z84" s="176">
        <v>0.21</v>
      </c>
      <c r="AA84" s="184"/>
      <c r="AB84" s="5"/>
      <c r="AC84" s="184"/>
      <c r="AD84" s="184"/>
      <c r="AE84" s="184"/>
      <c r="AF84" s="184"/>
      <c r="AG84" s="184"/>
      <c r="AH84" s="176">
        <v>0.03</v>
      </c>
      <c r="AI84" s="5"/>
      <c r="AJ84" s="184">
        <f t="shared" si="143"/>
        <v>0.31</v>
      </c>
      <c r="AK84" s="184">
        <f t="shared" si="144"/>
        <v>0</v>
      </c>
      <c r="AL84" s="184">
        <f t="shared" ref="AL84:AM84" si="238">ROUND(G84*(5/12)+L84*(5/12)+S84+X84-AE84,2)</f>
        <v>0</v>
      </c>
      <c r="AM84" s="184">
        <f t="shared" si="238"/>
        <v>0</v>
      </c>
      <c r="AN84" s="184">
        <f t="shared" ref="AN84:AO84" si="239">N84+Z84-AG84</f>
        <v>1.21</v>
      </c>
      <c r="AO84" s="184">
        <f t="shared" si="239"/>
        <v>0.97</v>
      </c>
      <c r="AP84" s="5"/>
      <c r="AQ84" s="176">
        <v>0.5</v>
      </c>
      <c r="AR84" s="176" t="s">
        <v>913</v>
      </c>
      <c r="AS84" s="176" t="s">
        <v>913</v>
      </c>
      <c r="AT84" s="176" t="s">
        <v>913</v>
      </c>
      <c r="AU84" s="176">
        <v>1.0</v>
      </c>
      <c r="AV84" s="176">
        <v>0.0</v>
      </c>
      <c r="AW84" s="95" t="s">
        <v>2099</v>
      </c>
      <c r="AX84" s="5"/>
      <c r="AY84" s="417"/>
      <c r="BA84" s="81"/>
      <c r="BB84" s="81"/>
      <c r="BC84" s="81"/>
      <c r="BD84" s="81"/>
      <c r="BE84" s="81"/>
      <c r="BF84" s="81"/>
      <c r="BG84" s="81"/>
    </row>
    <row r="85">
      <c r="A85" s="176">
        <v>100.0</v>
      </c>
      <c r="B85" s="435" t="s">
        <v>2100</v>
      </c>
      <c r="C85" s="287" t="s">
        <v>127</v>
      </c>
      <c r="D85" s="336"/>
      <c r="E85" s="292"/>
      <c r="F85" s="297"/>
      <c r="G85" s="297"/>
      <c r="H85" s="297"/>
      <c r="I85" s="292">
        <v>4.0</v>
      </c>
      <c r="J85" s="427"/>
      <c r="K85" s="297"/>
      <c r="L85" s="297"/>
      <c r="M85" s="297"/>
      <c r="N85" s="180">
        <v>1.0</v>
      </c>
      <c r="O85" s="180">
        <v>1.0</v>
      </c>
      <c r="P85" s="5"/>
      <c r="Q85" s="176">
        <f t="shared" ref="Q85:T85" si="240">round(J85/6,2)</f>
        <v>0</v>
      </c>
      <c r="R85" s="176">
        <f t="shared" si="240"/>
        <v>0</v>
      </c>
      <c r="S85" s="176">
        <f t="shared" si="240"/>
        <v>0</v>
      </c>
      <c r="T85" s="176">
        <f t="shared" si="240"/>
        <v>0</v>
      </c>
      <c r="U85" s="5"/>
      <c r="V85" s="184"/>
      <c r="W85" s="184"/>
      <c r="X85" s="184"/>
      <c r="Y85" s="184"/>
      <c r="Z85" s="184"/>
      <c r="AA85" s="184"/>
      <c r="AB85" s="5"/>
      <c r="AC85" s="184"/>
      <c r="AD85" s="184"/>
      <c r="AE85" s="184"/>
      <c r="AF85" s="184"/>
      <c r="AG85" s="184"/>
      <c r="AH85" s="184"/>
      <c r="AI85" s="5"/>
      <c r="AJ85" s="184">
        <f t="shared" si="143"/>
        <v>0</v>
      </c>
      <c r="AK85" s="184">
        <f t="shared" si="144"/>
        <v>0</v>
      </c>
      <c r="AL85" s="184">
        <f t="shared" ref="AL85:AM85" si="241">ROUND(G85*(5/12)+L85*(5/12)+S85+X85-AE85,2)</f>
        <v>0</v>
      </c>
      <c r="AM85" s="184">
        <f t="shared" si="241"/>
        <v>0</v>
      </c>
      <c r="AN85" s="442">
        <f t="shared" ref="AN85:AO85" si="242">N85+Z85-AG85</f>
        <v>1</v>
      </c>
      <c r="AO85" s="442">
        <f t="shared" si="242"/>
        <v>1</v>
      </c>
      <c r="AP85" s="5"/>
      <c r="AQ85" s="176">
        <v>0.0</v>
      </c>
      <c r="AR85" s="176" t="s">
        <v>913</v>
      </c>
      <c r="AS85" s="176" t="s">
        <v>913</v>
      </c>
      <c r="AT85" s="176" t="s">
        <v>913</v>
      </c>
      <c r="AU85" s="176">
        <v>1.0</v>
      </c>
      <c r="AV85" s="176">
        <v>1.0</v>
      </c>
      <c r="AW85" s="180" t="s">
        <v>2101</v>
      </c>
      <c r="AX85" s="5"/>
      <c r="AY85" s="417"/>
      <c r="BA85" s="81"/>
      <c r="BB85" s="81"/>
      <c r="BC85" s="81"/>
      <c r="BD85" s="81"/>
      <c r="BE85" s="81"/>
      <c r="BF85" s="81"/>
      <c r="BG85" s="81"/>
    </row>
    <row r="86">
      <c r="A86" s="176">
        <v>101.0</v>
      </c>
      <c r="B86" s="435" t="s">
        <v>1362</v>
      </c>
      <c r="C86" s="287" t="s">
        <v>127</v>
      </c>
      <c r="D86" s="336"/>
      <c r="E86" s="292"/>
      <c r="F86" s="297"/>
      <c r="G86" s="297"/>
      <c r="H86" s="297"/>
      <c r="I86" s="427">
        <v>4.0</v>
      </c>
      <c r="J86" s="297"/>
      <c r="K86" s="297"/>
      <c r="L86" s="297"/>
      <c r="M86" s="297"/>
      <c r="N86" s="180">
        <v>1.0</v>
      </c>
      <c r="O86" s="180">
        <v>1.0</v>
      </c>
      <c r="P86" s="5"/>
      <c r="Q86" s="176">
        <f t="shared" ref="Q86:T86" si="243">round(J86/6,2)</f>
        <v>0</v>
      </c>
      <c r="R86" s="176">
        <f t="shared" si="243"/>
        <v>0</v>
      </c>
      <c r="S86" s="176">
        <f t="shared" si="243"/>
        <v>0</v>
      </c>
      <c r="T86" s="176">
        <f t="shared" si="243"/>
        <v>0</v>
      </c>
      <c r="U86" s="5"/>
      <c r="V86" s="184"/>
      <c r="W86" s="184"/>
      <c r="X86" s="184"/>
      <c r="Y86" s="184"/>
      <c r="Z86" s="184"/>
      <c r="AA86" s="184"/>
      <c r="AB86" s="5"/>
      <c r="AC86" s="184"/>
      <c r="AD86" s="184"/>
      <c r="AE86" s="184"/>
      <c r="AF86" s="184"/>
      <c r="AG86" s="184"/>
      <c r="AH86" s="184"/>
      <c r="AI86" s="5"/>
      <c r="AJ86" s="184">
        <f t="shared" si="143"/>
        <v>0</v>
      </c>
      <c r="AK86" s="184">
        <f t="shared" si="144"/>
        <v>0</v>
      </c>
      <c r="AL86" s="184">
        <f t="shared" ref="AL86:AM86" si="244">ROUND(G86*(5/12)+L86*(5/12)+S86+X86-AE86,2)</f>
        <v>0</v>
      </c>
      <c r="AM86" s="184">
        <f t="shared" si="244"/>
        <v>0</v>
      </c>
      <c r="AN86" s="184">
        <f t="shared" ref="AN86:AO86" si="245">N86+Z86-AG86</f>
        <v>1</v>
      </c>
      <c r="AO86" s="184">
        <f t="shared" si="245"/>
        <v>1</v>
      </c>
      <c r="AP86" s="5"/>
      <c r="AQ86" s="176" t="s">
        <v>913</v>
      </c>
      <c r="AR86" s="176" t="s">
        <v>913</v>
      </c>
      <c r="AS86" s="176" t="s">
        <v>913</v>
      </c>
      <c r="AT86" s="176" t="s">
        <v>913</v>
      </c>
      <c r="AU86" s="176">
        <v>0.0</v>
      </c>
      <c r="AV86" s="176">
        <v>1.0</v>
      </c>
      <c r="AW86" s="424" t="s">
        <v>2102</v>
      </c>
      <c r="AX86" s="5"/>
      <c r="AY86" s="417"/>
      <c r="BA86" s="81"/>
      <c r="BB86" s="81"/>
      <c r="BC86" s="81"/>
      <c r="BD86" s="81"/>
      <c r="BE86" s="81"/>
      <c r="BF86" s="81"/>
      <c r="BG86" s="81"/>
    </row>
    <row r="87">
      <c r="A87" s="176">
        <v>102.0</v>
      </c>
      <c r="B87" s="435" t="s">
        <v>2103</v>
      </c>
      <c r="C87" s="287" t="s">
        <v>127</v>
      </c>
      <c r="D87" s="336"/>
      <c r="E87" s="292"/>
      <c r="F87" s="297"/>
      <c r="G87" s="297"/>
      <c r="H87" s="292"/>
      <c r="I87" s="292">
        <v>3.34</v>
      </c>
      <c r="J87" s="292">
        <v>0.33</v>
      </c>
      <c r="K87" s="293"/>
      <c r="L87" s="293"/>
      <c r="M87" s="292">
        <v>0.33</v>
      </c>
      <c r="N87" s="180">
        <v>1.0</v>
      </c>
      <c r="O87" s="180">
        <v>1.0</v>
      </c>
      <c r="P87" s="5"/>
      <c r="Q87" s="176">
        <f t="shared" ref="Q87:T87" si="246">round(J87/6,2)</f>
        <v>0.06</v>
      </c>
      <c r="R87" s="176">
        <f t="shared" si="246"/>
        <v>0</v>
      </c>
      <c r="S87" s="176">
        <f t="shared" si="246"/>
        <v>0</v>
      </c>
      <c r="T87" s="176">
        <f t="shared" si="246"/>
        <v>0.06</v>
      </c>
      <c r="U87" s="5"/>
      <c r="V87" s="184"/>
      <c r="W87" s="184"/>
      <c r="X87" s="184"/>
      <c r="Y87" s="184"/>
      <c r="Z87" s="184"/>
      <c r="AA87" s="184"/>
      <c r="AB87" s="5"/>
      <c r="AC87" s="184"/>
      <c r="AD87" s="184"/>
      <c r="AE87" s="184"/>
      <c r="AF87" s="184"/>
      <c r="AG87" s="184"/>
      <c r="AH87" s="184"/>
      <c r="AI87" s="5"/>
      <c r="AJ87" s="184">
        <f>ROUND(E87*(2/12)+J87*(5/12)+Q87+V87-AC87,2)</f>
        <v>0.2</v>
      </c>
      <c r="AK87" s="184">
        <f>ROUND(F87*(2/12)+K87*(5/12)+R87+W87-AD87,3)</f>
        <v>0</v>
      </c>
      <c r="AL87" s="184">
        <f t="shared" ref="AL87:AM87" si="247">ROUND(G87*(2/12)+L87*(5/12)+S87+X87-AE87,2)</f>
        <v>0</v>
      </c>
      <c r="AM87" s="184">
        <f t="shared" si="247"/>
        <v>0.2</v>
      </c>
      <c r="AN87" s="184">
        <f t="shared" ref="AN87:AO87" si="248">Round(N87*(7/12)+Z87-AG87,3)</f>
        <v>0.583</v>
      </c>
      <c r="AO87" s="184">
        <f t="shared" si="248"/>
        <v>0.583</v>
      </c>
      <c r="AP87" s="5"/>
      <c r="AQ87" s="176">
        <v>0.25</v>
      </c>
      <c r="AR87" s="176" t="s">
        <v>913</v>
      </c>
      <c r="AS87" s="176" t="s">
        <v>913</v>
      </c>
      <c r="AT87" s="176">
        <v>0.165</v>
      </c>
      <c r="AU87" s="176">
        <v>1.0</v>
      </c>
      <c r="AV87" s="176">
        <v>1.0</v>
      </c>
      <c r="AW87" s="180" t="s">
        <v>2104</v>
      </c>
      <c r="AX87" s="5"/>
      <c r="AY87" s="417"/>
      <c r="BA87" s="81"/>
      <c r="BB87" s="81"/>
      <c r="BC87" s="81"/>
      <c r="BD87" s="81"/>
      <c r="BE87" s="81"/>
      <c r="BF87" s="81"/>
      <c r="BG87" s="81"/>
    </row>
    <row r="88">
      <c r="A88" s="176">
        <v>103.0</v>
      </c>
      <c r="B88" s="435" t="s">
        <v>1758</v>
      </c>
      <c r="C88" s="287" t="s">
        <v>127</v>
      </c>
      <c r="D88" s="336"/>
      <c r="E88" s="292"/>
      <c r="F88" s="297"/>
      <c r="G88" s="297"/>
      <c r="H88" s="297"/>
      <c r="I88" s="292">
        <v>3.0</v>
      </c>
      <c r="J88" s="292">
        <v>1.0</v>
      </c>
      <c r="K88" s="297"/>
      <c r="L88" s="297"/>
      <c r="M88" s="297"/>
      <c r="N88" s="180">
        <v>1.0</v>
      </c>
      <c r="O88" s="180">
        <v>1.0</v>
      </c>
      <c r="P88" s="5"/>
      <c r="Q88" s="176">
        <f t="shared" ref="Q88:T88" si="249">round(J88/6,2)</f>
        <v>0.17</v>
      </c>
      <c r="R88" s="176">
        <f t="shared" si="249"/>
        <v>0</v>
      </c>
      <c r="S88" s="176">
        <f t="shared" si="249"/>
        <v>0</v>
      </c>
      <c r="T88" s="176">
        <f t="shared" si="249"/>
        <v>0</v>
      </c>
      <c r="U88" s="5"/>
      <c r="V88" s="184"/>
      <c r="W88" s="184"/>
      <c r="X88" s="184"/>
      <c r="Y88" s="184"/>
      <c r="Z88" s="184"/>
      <c r="AA88" s="184"/>
      <c r="AB88" s="5"/>
      <c r="AC88" s="184"/>
      <c r="AD88" s="184"/>
      <c r="AE88" s="184"/>
      <c r="AF88" s="184"/>
      <c r="AG88" s="184"/>
      <c r="AH88" s="184"/>
      <c r="AI88" s="5"/>
      <c r="AJ88" s="184">
        <f>ROUND(E88*(5/12)+J88*(5/12)+Q88+V88-AC88,2)</f>
        <v>0.59</v>
      </c>
      <c r="AK88" s="184">
        <f t="shared" ref="AK88:AK143" si="253">ROUND(F88*(5/12)+K88*(5/12)+R88+W88-AD88,3)</f>
        <v>0</v>
      </c>
      <c r="AL88" s="184">
        <f t="shared" ref="AL88:AM88" si="250">ROUND(G88*(5/12)+L88*(5/12)+S88+X88-AE88,2)</f>
        <v>0</v>
      </c>
      <c r="AM88" s="184">
        <f t="shared" si="250"/>
        <v>0</v>
      </c>
      <c r="AN88" s="184">
        <f t="shared" ref="AN88:AO88" si="251">N88+Z88-AG88</f>
        <v>1</v>
      </c>
      <c r="AO88" s="184">
        <f t="shared" si="251"/>
        <v>1</v>
      </c>
      <c r="AP88" s="5"/>
      <c r="AQ88" s="176">
        <v>0.0</v>
      </c>
      <c r="AR88" s="176" t="s">
        <v>913</v>
      </c>
      <c r="AS88" s="176" t="s">
        <v>913</v>
      </c>
      <c r="AT88" s="176" t="s">
        <v>913</v>
      </c>
      <c r="AU88" s="176">
        <v>0.0</v>
      </c>
      <c r="AV88" s="176">
        <v>0.0</v>
      </c>
      <c r="AW88" s="424" t="s">
        <v>2105</v>
      </c>
      <c r="AX88" s="5"/>
      <c r="AY88" s="417"/>
      <c r="BA88" s="81"/>
      <c r="BB88" s="81"/>
      <c r="BC88" s="81"/>
      <c r="BD88" s="81"/>
      <c r="BE88" s="81"/>
      <c r="BF88" s="81"/>
      <c r="BG88" s="81"/>
    </row>
    <row r="89">
      <c r="A89" s="176">
        <v>104.0</v>
      </c>
      <c r="B89" s="435" t="s">
        <v>2106</v>
      </c>
      <c r="C89" s="287" t="s">
        <v>127</v>
      </c>
      <c r="D89" s="349"/>
      <c r="E89" s="350"/>
      <c r="F89" s="350"/>
      <c r="G89" s="350"/>
      <c r="H89" s="350"/>
      <c r="I89" s="350">
        <v>4.0</v>
      </c>
      <c r="J89" s="350"/>
      <c r="K89" s="350"/>
      <c r="L89" s="350"/>
      <c r="M89" s="350"/>
      <c r="N89" s="180">
        <v>1.0</v>
      </c>
      <c r="O89" s="180">
        <v>1.0</v>
      </c>
      <c r="P89" s="5"/>
      <c r="Q89" s="176">
        <f t="shared" ref="Q89:T89" si="252">round(J89/6,2)</f>
        <v>0</v>
      </c>
      <c r="R89" s="176">
        <f t="shared" si="252"/>
        <v>0</v>
      </c>
      <c r="S89" s="176">
        <f t="shared" si="252"/>
        <v>0</v>
      </c>
      <c r="T89" s="176">
        <f t="shared" si="252"/>
        <v>0</v>
      </c>
      <c r="U89" s="5"/>
      <c r="V89" s="184"/>
      <c r="W89" s="184"/>
      <c r="X89" s="184"/>
      <c r="Y89" s="184"/>
      <c r="Z89" s="184"/>
      <c r="AA89" s="184"/>
      <c r="AB89" s="5"/>
      <c r="AC89" s="184"/>
      <c r="AD89" s="184"/>
      <c r="AE89" s="176"/>
      <c r="AF89" s="184"/>
      <c r="AG89" s="184"/>
      <c r="AH89" s="184"/>
      <c r="AI89" s="5"/>
      <c r="AJ89" s="184"/>
      <c r="AK89" s="184">
        <f t="shared" si="253"/>
        <v>0</v>
      </c>
      <c r="AL89" s="184"/>
      <c r="AM89" s="184"/>
      <c r="AN89" s="184"/>
      <c r="AO89" s="184"/>
      <c r="AP89" s="5"/>
      <c r="AQ89" s="184"/>
      <c r="AR89" s="184"/>
      <c r="AS89" s="184"/>
      <c r="AT89" s="184"/>
      <c r="AU89" s="176" t="s">
        <v>913</v>
      </c>
      <c r="AV89" s="176" t="s">
        <v>913</v>
      </c>
      <c r="AW89" s="354"/>
      <c r="AX89" s="5"/>
      <c r="AY89" s="416"/>
      <c r="BA89" s="81"/>
      <c r="BB89" s="81"/>
      <c r="BC89" s="81"/>
      <c r="BD89" s="81"/>
      <c r="BE89" s="81"/>
      <c r="BF89" s="81"/>
      <c r="BG89" s="81"/>
    </row>
    <row r="90">
      <c r="A90" s="176">
        <v>105.0</v>
      </c>
      <c r="B90" s="435" t="s">
        <v>2107</v>
      </c>
      <c r="C90" s="287" t="s">
        <v>127</v>
      </c>
      <c r="D90" s="349"/>
      <c r="E90" s="350"/>
      <c r="F90" s="350"/>
      <c r="G90" s="350"/>
      <c r="H90" s="350"/>
      <c r="I90" s="350">
        <v>4.0</v>
      </c>
      <c r="J90" s="350"/>
      <c r="K90" s="350"/>
      <c r="L90" s="350"/>
      <c r="M90" s="350"/>
      <c r="N90" s="180">
        <v>1.0</v>
      </c>
      <c r="O90" s="180">
        <v>1.0</v>
      </c>
      <c r="P90" s="5"/>
      <c r="Q90" s="176">
        <f t="shared" ref="Q90:T90" si="254">round(J90/6,2)</f>
        <v>0</v>
      </c>
      <c r="R90" s="176">
        <f t="shared" si="254"/>
        <v>0</v>
      </c>
      <c r="S90" s="176">
        <f t="shared" si="254"/>
        <v>0</v>
      </c>
      <c r="T90" s="176">
        <f t="shared" si="254"/>
        <v>0</v>
      </c>
      <c r="U90" s="5"/>
      <c r="V90" s="184"/>
      <c r="W90" s="184"/>
      <c r="X90" s="184"/>
      <c r="Y90" s="184"/>
      <c r="Z90" s="184"/>
      <c r="AA90" s="184"/>
      <c r="AB90" s="5"/>
      <c r="AC90" s="184"/>
      <c r="AD90" s="184"/>
      <c r="AE90" s="176"/>
      <c r="AF90" s="184"/>
      <c r="AG90" s="184"/>
      <c r="AH90" s="184"/>
      <c r="AI90" s="5"/>
      <c r="AJ90" s="184"/>
      <c r="AK90" s="184">
        <f t="shared" si="253"/>
        <v>0</v>
      </c>
      <c r="AL90" s="184"/>
      <c r="AM90" s="184"/>
      <c r="AN90" s="184"/>
      <c r="AO90" s="184"/>
      <c r="AP90" s="5"/>
      <c r="AQ90" s="184"/>
      <c r="AR90" s="184"/>
      <c r="AS90" s="184"/>
      <c r="AT90" s="184"/>
      <c r="AU90" s="176" t="s">
        <v>913</v>
      </c>
      <c r="AV90" s="176" t="s">
        <v>913</v>
      </c>
      <c r="AW90" s="354"/>
      <c r="AX90" s="5"/>
      <c r="AY90" s="416"/>
      <c r="BA90" s="81"/>
      <c r="BB90" s="81"/>
      <c r="BC90" s="81"/>
      <c r="BD90" s="81"/>
      <c r="BE90" s="81"/>
      <c r="BF90" s="81"/>
      <c r="BG90" s="81"/>
    </row>
    <row r="91">
      <c r="A91" s="176">
        <v>106.0</v>
      </c>
      <c r="B91" s="435" t="s">
        <v>1762</v>
      </c>
      <c r="C91" s="287" t="s">
        <v>127</v>
      </c>
      <c r="D91" s="349"/>
      <c r="E91" s="350"/>
      <c r="F91" s="350"/>
      <c r="G91" s="350"/>
      <c r="H91" s="350"/>
      <c r="I91" s="350">
        <v>4.0</v>
      </c>
      <c r="J91" s="350"/>
      <c r="K91" s="350"/>
      <c r="L91" s="350"/>
      <c r="M91" s="350"/>
      <c r="N91" s="180">
        <v>1.0</v>
      </c>
      <c r="O91" s="180">
        <v>1.0</v>
      </c>
      <c r="P91" s="5"/>
      <c r="Q91" s="176">
        <f t="shared" ref="Q91:T91" si="255">round(J91/6,2)</f>
        <v>0</v>
      </c>
      <c r="R91" s="176">
        <f t="shared" si="255"/>
        <v>0</v>
      </c>
      <c r="S91" s="176">
        <f t="shared" si="255"/>
        <v>0</v>
      </c>
      <c r="T91" s="176">
        <f t="shared" si="255"/>
        <v>0</v>
      </c>
      <c r="U91" s="5"/>
      <c r="V91" s="184"/>
      <c r="W91" s="184"/>
      <c r="X91" s="184"/>
      <c r="Y91" s="184"/>
      <c r="Z91" s="184"/>
      <c r="AA91" s="184"/>
      <c r="AB91" s="5"/>
      <c r="AC91" s="184"/>
      <c r="AD91" s="184"/>
      <c r="AE91" s="176"/>
      <c r="AF91" s="184"/>
      <c r="AG91" s="184"/>
      <c r="AH91" s="184"/>
      <c r="AI91" s="5"/>
      <c r="AJ91" s="184"/>
      <c r="AK91" s="184">
        <f t="shared" si="253"/>
        <v>0</v>
      </c>
      <c r="AL91" s="184"/>
      <c r="AM91" s="184"/>
      <c r="AN91" s="184"/>
      <c r="AO91" s="184"/>
      <c r="AP91" s="5"/>
      <c r="AQ91" s="184"/>
      <c r="AR91" s="184"/>
      <c r="AS91" s="184"/>
      <c r="AT91" s="184"/>
      <c r="AU91" s="176" t="s">
        <v>913</v>
      </c>
      <c r="AV91" s="176" t="s">
        <v>913</v>
      </c>
      <c r="AW91" s="354"/>
      <c r="AX91" s="5"/>
      <c r="AY91" s="416"/>
      <c r="BA91" s="81"/>
      <c r="BB91" s="81"/>
      <c r="BC91" s="81"/>
      <c r="BD91" s="81"/>
      <c r="BE91" s="81"/>
      <c r="BF91" s="81"/>
      <c r="BG91" s="81"/>
    </row>
    <row r="92">
      <c r="A92" s="176">
        <v>107.0</v>
      </c>
      <c r="B92" s="414" t="s">
        <v>1148</v>
      </c>
      <c r="C92" s="287" t="s">
        <v>1149</v>
      </c>
      <c r="D92" s="235"/>
      <c r="E92" s="357"/>
      <c r="F92" s="235"/>
      <c r="G92" s="235"/>
      <c r="H92" s="357"/>
      <c r="I92" s="357">
        <v>1.0</v>
      </c>
      <c r="J92" s="357">
        <v>1.0</v>
      </c>
      <c r="K92" s="357"/>
      <c r="L92" s="357"/>
      <c r="M92" s="357"/>
      <c r="N92" s="180">
        <v>1.0</v>
      </c>
      <c r="O92" s="180">
        <v>1.0</v>
      </c>
      <c r="P92" s="5"/>
      <c r="Q92" s="176">
        <f t="shared" ref="Q92:T92" si="256">round(J92/6,2)</f>
        <v>0.17</v>
      </c>
      <c r="R92" s="176">
        <f t="shared" si="256"/>
        <v>0</v>
      </c>
      <c r="S92" s="176">
        <f t="shared" si="256"/>
        <v>0</v>
      </c>
      <c r="T92" s="176">
        <f t="shared" si="256"/>
        <v>0</v>
      </c>
      <c r="U92" s="5"/>
      <c r="V92" s="184"/>
      <c r="W92" s="184"/>
      <c r="X92" s="184"/>
      <c r="Y92" s="184"/>
      <c r="Z92" s="184"/>
      <c r="AA92" s="184"/>
      <c r="AB92" s="5"/>
      <c r="AC92" s="184"/>
      <c r="AD92" s="184"/>
      <c r="AE92" s="176">
        <v>0.16</v>
      </c>
      <c r="AF92" s="184"/>
      <c r="AG92" s="184"/>
      <c r="AH92" s="184"/>
      <c r="AI92" s="5"/>
      <c r="AJ92" s="184">
        <f t="shared" ref="AJ92:AJ119" si="260">ROUND(E92*(5/12)+J92*(5/12)+Q92+V92-AC92,2)</f>
        <v>0.59</v>
      </c>
      <c r="AK92" s="184">
        <f t="shared" si="253"/>
        <v>0</v>
      </c>
      <c r="AL92" s="184">
        <f t="shared" ref="AL92:AM92" si="257">ROUND(G92*(5/12)+L92*(5/12)+S92+X92-AE92,2)</f>
        <v>-0.16</v>
      </c>
      <c r="AM92" s="184">
        <f t="shared" si="257"/>
        <v>0</v>
      </c>
      <c r="AN92" s="184">
        <f t="shared" ref="AN92:AO92" si="258">N92+Z92-AG92</f>
        <v>1</v>
      </c>
      <c r="AO92" s="184">
        <f t="shared" si="258"/>
        <v>1</v>
      </c>
      <c r="AP92" s="5"/>
      <c r="AQ92" s="176">
        <v>1.6</v>
      </c>
      <c r="AR92" s="176" t="s">
        <v>913</v>
      </c>
      <c r="AS92" s="184"/>
      <c r="AT92" s="176">
        <v>0.33</v>
      </c>
      <c r="AU92" s="176">
        <v>1.0</v>
      </c>
      <c r="AV92" s="176">
        <v>1.0</v>
      </c>
      <c r="AW92" s="180" t="s">
        <v>2108</v>
      </c>
      <c r="AX92" s="5"/>
      <c r="AY92" s="416"/>
      <c r="BA92" s="81"/>
      <c r="BB92" s="81"/>
      <c r="BC92" s="81"/>
      <c r="BD92" s="81"/>
      <c r="BE92" s="81"/>
      <c r="BF92" s="81"/>
      <c r="BG92" s="81"/>
    </row>
    <row r="93">
      <c r="A93" s="176">
        <v>108.0</v>
      </c>
      <c r="B93" s="435" t="s">
        <v>1803</v>
      </c>
      <c r="C93" s="287" t="s">
        <v>1149</v>
      </c>
      <c r="D93" s="361"/>
      <c r="E93" s="362"/>
      <c r="F93" s="362"/>
      <c r="G93" s="363"/>
      <c r="H93" s="363"/>
      <c r="I93" s="443">
        <v>2.0</v>
      </c>
      <c r="J93" s="443">
        <v>1.0</v>
      </c>
      <c r="K93" s="443">
        <v>1.0</v>
      </c>
      <c r="L93" s="444"/>
      <c r="M93" s="444"/>
      <c r="N93" s="180">
        <v>1.0</v>
      </c>
      <c r="O93" s="180">
        <v>1.0</v>
      </c>
      <c r="P93" s="5"/>
      <c r="Q93" s="176">
        <f t="shared" ref="Q93:T93" si="259">round(J93/6,2)</f>
        <v>0.17</v>
      </c>
      <c r="R93" s="176">
        <f t="shared" si="259"/>
        <v>0.17</v>
      </c>
      <c r="S93" s="176">
        <f t="shared" si="259"/>
        <v>0</v>
      </c>
      <c r="T93" s="176">
        <f t="shared" si="259"/>
        <v>0</v>
      </c>
      <c r="U93" s="5"/>
      <c r="V93" s="176">
        <v>0.8</v>
      </c>
      <c r="W93" s="184"/>
      <c r="X93" s="184"/>
      <c r="Y93" s="184"/>
      <c r="Z93" s="184"/>
      <c r="AA93" s="184"/>
      <c r="AB93" s="5"/>
      <c r="AC93" s="184"/>
      <c r="AD93" s="184"/>
      <c r="AE93" s="184"/>
      <c r="AF93" s="184"/>
      <c r="AG93" s="184"/>
      <c r="AH93" s="184"/>
      <c r="AI93" s="5"/>
      <c r="AJ93" s="184">
        <f t="shared" si="260"/>
        <v>1.39</v>
      </c>
      <c r="AK93" s="184">
        <f t="shared" si="253"/>
        <v>0.587</v>
      </c>
      <c r="AL93" s="184">
        <f t="shared" ref="AL93:AM93" si="261">ROUND(G93*(5/12)+L93*(5/12)+S93+X93-AE93,2)</f>
        <v>0</v>
      </c>
      <c r="AM93" s="184">
        <f t="shared" si="261"/>
        <v>0</v>
      </c>
      <c r="AN93" s="184">
        <f t="shared" ref="AN93:AO93" si="262">N93+Z93-AG93</f>
        <v>1</v>
      </c>
      <c r="AO93" s="184">
        <f t="shared" si="262"/>
        <v>1</v>
      </c>
      <c r="AP93" s="5"/>
      <c r="AQ93" s="176">
        <v>0.6</v>
      </c>
      <c r="AR93" s="176">
        <v>0.0</v>
      </c>
      <c r="AS93" s="176" t="s">
        <v>913</v>
      </c>
      <c r="AT93" s="176" t="s">
        <v>913</v>
      </c>
      <c r="AU93" s="176">
        <v>1.0</v>
      </c>
      <c r="AV93" s="176">
        <v>1.0</v>
      </c>
      <c r="AW93" s="180" t="s">
        <v>2109</v>
      </c>
      <c r="AX93" s="5"/>
      <c r="AY93" s="445"/>
      <c r="BA93" s="81"/>
      <c r="BB93" s="81"/>
      <c r="BC93" s="81"/>
      <c r="BD93" s="81"/>
      <c r="BE93" s="81"/>
      <c r="BF93" s="81"/>
      <c r="BG93" s="81"/>
    </row>
    <row r="94">
      <c r="A94" s="176">
        <v>109.0</v>
      </c>
      <c r="B94" s="435" t="s">
        <v>1153</v>
      </c>
      <c r="C94" s="287" t="s">
        <v>1149</v>
      </c>
      <c r="D94" s="349"/>
      <c r="E94" s="350"/>
      <c r="F94" s="350"/>
      <c r="G94" s="366"/>
      <c r="H94" s="366"/>
      <c r="I94" s="446">
        <v>2.66</v>
      </c>
      <c r="J94" s="446">
        <v>0.93</v>
      </c>
      <c r="K94" s="447"/>
      <c r="L94" s="447"/>
      <c r="M94" s="446">
        <v>0.4</v>
      </c>
      <c r="N94" s="180">
        <v>1.0</v>
      </c>
      <c r="O94" s="180">
        <v>1.0</v>
      </c>
      <c r="P94" s="5"/>
      <c r="Q94" s="176">
        <f t="shared" ref="Q94:T94" si="263">round(J94/6,2)</f>
        <v>0.16</v>
      </c>
      <c r="R94" s="176">
        <f t="shared" si="263"/>
        <v>0</v>
      </c>
      <c r="S94" s="176">
        <f t="shared" si="263"/>
        <v>0</v>
      </c>
      <c r="T94" s="176">
        <f t="shared" si="263"/>
        <v>0.07</v>
      </c>
      <c r="U94" s="5"/>
      <c r="V94" s="184"/>
      <c r="W94" s="176">
        <v>0.125</v>
      </c>
      <c r="X94" s="184"/>
      <c r="Y94" s="184"/>
      <c r="Z94" s="184"/>
      <c r="AA94" s="184"/>
      <c r="AB94" s="5"/>
      <c r="AC94" s="176">
        <v>0.125</v>
      </c>
      <c r="AD94" s="184"/>
      <c r="AE94" s="184"/>
      <c r="AF94" s="184"/>
      <c r="AG94" s="184"/>
      <c r="AH94" s="184"/>
      <c r="AI94" s="5"/>
      <c r="AJ94" s="184">
        <f t="shared" si="260"/>
        <v>0.42</v>
      </c>
      <c r="AK94" s="184">
        <f t="shared" si="253"/>
        <v>0.125</v>
      </c>
      <c r="AL94" s="184">
        <f t="shared" ref="AL94:AM94" si="264">ROUND(G94*(5/12)+L94*(5/12)+S94+X94-AE94,2)</f>
        <v>0</v>
      </c>
      <c r="AM94" s="184">
        <f t="shared" si="264"/>
        <v>0.24</v>
      </c>
      <c r="AN94" s="184">
        <f t="shared" ref="AN94:AO94" si="265">N94+Z94-AG94</f>
        <v>1</v>
      </c>
      <c r="AO94" s="184">
        <f t="shared" si="265"/>
        <v>1</v>
      </c>
      <c r="AP94" s="5"/>
      <c r="AQ94" s="176">
        <v>1.1</v>
      </c>
      <c r="AR94" s="176">
        <v>0.0</v>
      </c>
      <c r="AS94" s="176" t="s">
        <v>913</v>
      </c>
      <c r="AT94" s="176">
        <v>0.0</v>
      </c>
      <c r="AU94" s="176">
        <v>0.0</v>
      </c>
      <c r="AV94" s="176">
        <v>1.0</v>
      </c>
      <c r="AW94" s="180" t="s">
        <v>2110</v>
      </c>
      <c r="AX94" s="5"/>
      <c r="AY94" s="418"/>
      <c r="BA94" s="81"/>
      <c r="BB94" s="81"/>
      <c r="BC94" s="81"/>
      <c r="BD94" s="81"/>
      <c r="BE94" s="81"/>
      <c r="BF94" s="81"/>
      <c r="BG94" s="81"/>
    </row>
    <row r="95">
      <c r="A95" s="176">
        <v>110.0</v>
      </c>
      <c r="B95" s="435" t="s">
        <v>1156</v>
      </c>
      <c r="C95" s="287" t="s">
        <v>1149</v>
      </c>
      <c r="D95" s="349"/>
      <c r="E95" s="350"/>
      <c r="F95" s="362"/>
      <c r="G95" s="366"/>
      <c r="H95" s="366"/>
      <c r="I95" s="446">
        <v>3.0</v>
      </c>
      <c r="J95" s="446">
        <v>0.2</v>
      </c>
      <c r="K95" s="446">
        <v>0.8</v>
      </c>
      <c r="L95" s="447"/>
      <c r="M95" s="447"/>
      <c r="N95" s="180">
        <v>1.0</v>
      </c>
      <c r="O95" s="180">
        <v>1.0</v>
      </c>
      <c r="P95" s="5"/>
      <c r="Q95" s="176">
        <f t="shared" ref="Q95:T95" si="266">round(J95/6,2)</f>
        <v>0.03</v>
      </c>
      <c r="R95" s="176">
        <f t="shared" si="266"/>
        <v>0.13</v>
      </c>
      <c r="S95" s="176">
        <f t="shared" si="266"/>
        <v>0</v>
      </c>
      <c r="T95" s="176">
        <f t="shared" si="266"/>
        <v>0</v>
      </c>
      <c r="U95" s="5"/>
      <c r="V95" s="176">
        <v>1.75</v>
      </c>
      <c r="W95" s="176">
        <v>1.5</v>
      </c>
      <c r="X95" s="184"/>
      <c r="Y95" s="184"/>
      <c r="Z95" s="184"/>
      <c r="AA95" s="184"/>
      <c r="AB95" s="5"/>
      <c r="AC95" s="184"/>
      <c r="AD95" s="184"/>
      <c r="AE95" s="184"/>
      <c r="AF95" s="184"/>
      <c r="AG95" s="184"/>
      <c r="AH95" s="184"/>
      <c r="AI95" s="5"/>
      <c r="AJ95" s="184">
        <f t="shared" si="260"/>
        <v>1.86</v>
      </c>
      <c r="AK95" s="184">
        <f t="shared" si="253"/>
        <v>1.963</v>
      </c>
      <c r="AL95" s="184">
        <f t="shared" ref="AL95:AM95" si="267">ROUND(G95*(5/12)+L95*(5/12)+S95+X95-AE95,2)</f>
        <v>0</v>
      </c>
      <c r="AM95" s="184">
        <f t="shared" si="267"/>
        <v>0</v>
      </c>
      <c r="AN95" s="184">
        <f t="shared" ref="AN95:AO95" si="268">N95+Z95-AG95</f>
        <v>1</v>
      </c>
      <c r="AO95" s="184">
        <f t="shared" si="268"/>
        <v>1</v>
      </c>
      <c r="AP95" s="5"/>
      <c r="AQ95" s="176">
        <v>0.0</v>
      </c>
      <c r="AR95" s="176">
        <v>0.0</v>
      </c>
      <c r="AS95" s="176" t="s">
        <v>913</v>
      </c>
      <c r="AT95" s="176" t="s">
        <v>913</v>
      </c>
      <c r="AU95" s="176">
        <v>0.0</v>
      </c>
      <c r="AV95" s="176">
        <v>0.0</v>
      </c>
      <c r="AW95" s="180" t="s">
        <v>2111</v>
      </c>
      <c r="AX95" s="5"/>
      <c r="AY95" s="417"/>
      <c r="BA95" s="81"/>
      <c r="BB95" s="81"/>
      <c r="BC95" s="81"/>
      <c r="BD95" s="81"/>
      <c r="BE95" s="81"/>
      <c r="BF95" s="81"/>
      <c r="BG95" s="81"/>
    </row>
    <row r="96">
      <c r="A96" s="176">
        <v>111.0</v>
      </c>
      <c r="B96" s="435" t="s">
        <v>2112</v>
      </c>
      <c r="C96" s="287" t="s">
        <v>1149</v>
      </c>
      <c r="D96" s="349"/>
      <c r="E96" s="350"/>
      <c r="F96" s="368"/>
      <c r="G96" s="366"/>
      <c r="H96" s="366"/>
      <c r="I96" s="446">
        <v>3.0</v>
      </c>
      <c r="J96" s="446">
        <v>1.0</v>
      </c>
      <c r="K96" s="447"/>
      <c r="L96" s="447"/>
      <c r="M96" s="447"/>
      <c r="N96" s="180">
        <v>1.0</v>
      </c>
      <c r="O96" s="180">
        <v>1.0</v>
      </c>
      <c r="P96" s="5"/>
      <c r="Q96" s="176">
        <f t="shared" ref="Q96:T96" si="269">round(J96/6,2)</f>
        <v>0.17</v>
      </c>
      <c r="R96" s="176">
        <f t="shared" si="269"/>
        <v>0</v>
      </c>
      <c r="S96" s="176">
        <f t="shared" si="269"/>
        <v>0</v>
      </c>
      <c r="T96" s="176">
        <f t="shared" si="269"/>
        <v>0</v>
      </c>
      <c r="U96" s="5"/>
      <c r="V96" s="184"/>
      <c r="W96" s="184"/>
      <c r="X96" s="184"/>
      <c r="Y96" s="184"/>
      <c r="Z96" s="184"/>
      <c r="AA96" s="184"/>
      <c r="AB96" s="5"/>
      <c r="AC96" s="184"/>
      <c r="AD96" s="184"/>
      <c r="AE96" s="184"/>
      <c r="AF96" s="184"/>
      <c r="AG96" s="184"/>
      <c r="AH96" s="184"/>
      <c r="AI96" s="5"/>
      <c r="AJ96" s="184">
        <f t="shared" si="260"/>
        <v>0.59</v>
      </c>
      <c r="AK96" s="184">
        <f t="shared" si="253"/>
        <v>0</v>
      </c>
      <c r="AL96" s="184">
        <f t="shared" ref="AL96:AM96" si="270">ROUND(G96*(5/12)+L96*(5/12)+S96+X96-AE96,2)</f>
        <v>0</v>
      </c>
      <c r="AM96" s="184">
        <f t="shared" si="270"/>
        <v>0</v>
      </c>
      <c r="AN96" s="184">
        <f t="shared" ref="AN96:AO96" si="271">N96+Z96-AG96</f>
        <v>1</v>
      </c>
      <c r="AO96" s="184">
        <f t="shared" si="271"/>
        <v>1</v>
      </c>
      <c r="AP96" s="5"/>
      <c r="AQ96" s="176">
        <v>1.1</v>
      </c>
      <c r="AR96" s="176" t="s">
        <v>913</v>
      </c>
      <c r="AS96" s="176" t="s">
        <v>913</v>
      </c>
      <c r="AT96" s="176" t="s">
        <v>913</v>
      </c>
      <c r="AU96" s="176">
        <v>1.0</v>
      </c>
      <c r="AV96" s="176">
        <v>1.0</v>
      </c>
      <c r="AW96" s="180" t="s">
        <v>2113</v>
      </c>
      <c r="AX96" s="5"/>
      <c r="AY96" s="416"/>
      <c r="BA96" s="81"/>
      <c r="BB96" s="81"/>
      <c r="BC96" s="81"/>
      <c r="BD96" s="81"/>
      <c r="BE96" s="81"/>
      <c r="BF96" s="81"/>
      <c r="BG96" s="81"/>
    </row>
    <row r="97">
      <c r="A97" s="176">
        <v>112.0</v>
      </c>
      <c r="B97" s="435" t="s">
        <v>81</v>
      </c>
      <c r="C97" s="287" t="s">
        <v>1149</v>
      </c>
      <c r="D97" s="349"/>
      <c r="E97" s="350"/>
      <c r="F97" s="366"/>
      <c r="G97" s="366"/>
      <c r="H97" s="366"/>
      <c r="I97" s="448">
        <v>4.0</v>
      </c>
      <c r="J97" s="446"/>
      <c r="K97" s="447"/>
      <c r="L97" s="447"/>
      <c r="M97" s="447"/>
      <c r="N97" s="180">
        <v>1.0</v>
      </c>
      <c r="O97" s="180">
        <v>1.0</v>
      </c>
      <c r="P97" s="5"/>
      <c r="Q97" s="176">
        <f t="shared" ref="Q97:T97" si="272">round(J97/6,2)</f>
        <v>0</v>
      </c>
      <c r="R97" s="176">
        <f t="shared" si="272"/>
        <v>0</v>
      </c>
      <c r="S97" s="176">
        <f t="shared" si="272"/>
        <v>0</v>
      </c>
      <c r="T97" s="176">
        <f t="shared" si="272"/>
        <v>0</v>
      </c>
      <c r="U97" s="5"/>
      <c r="V97" s="198"/>
      <c r="W97" s="184"/>
      <c r="X97" s="184"/>
      <c r="Y97" s="184"/>
      <c r="Z97" s="184"/>
      <c r="AA97" s="198"/>
      <c r="AB97" s="5"/>
      <c r="AC97" s="176">
        <v>0.375</v>
      </c>
      <c r="AD97" s="184"/>
      <c r="AE97" s="184"/>
      <c r="AF97" s="184"/>
      <c r="AG97" s="184"/>
      <c r="AH97" s="184"/>
      <c r="AI97" s="5"/>
      <c r="AJ97" s="184">
        <f t="shared" si="260"/>
        <v>-0.38</v>
      </c>
      <c r="AK97" s="184">
        <f t="shared" si="253"/>
        <v>0</v>
      </c>
      <c r="AL97" s="184">
        <f t="shared" ref="AL97:AM97" si="273">ROUND(G97*(5/12)+L97*(5/12)+S97+X97-AE97,2)</f>
        <v>0</v>
      </c>
      <c r="AM97" s="184">
        <f t="shared" si="273"/>
        <v>0</v>
      </c>
      <c r="AN97" s="184">
        <f t="shared" ref="AN97:AO97" si="274">N97+Z97-AG97</f>
        <v>1</v>
      </c>
      <c r="AO97" s="184">
        <f t="shared" si="274"/>
        <v>1</v>
      </c>
      <c r="AP97" s="5"/>
      <c r="AQ97" s="176">
        <v>0.5</v>
      </c>
      <c r="AR97" s="176" t="s">
        <v>913</v>
      </c>
      <c r="AS97" s="176" t="s">
        <v>913</v>
      </c>
      <c r="AT97" s="176" t="s">
        <v>913</v>
      </c>
      <c r="AU97" s="176">
        <v>1.0</v>
      </c>
      <c r="AV97" s="176">
        <v>1.0</v>
      </c>
      <c r="AW97" s="180" t="s">
        <v>2114</v>
      </c>
      <c r="AX97" s="5"/>
      <c r="AY97" s="416"/>
      <c r="BA97" s="198">
        <v>0.4125</v>
      </c>
      <c r="BB97" s="184"/>
      <c r="BC97" s="184"/>
      <c r="BD97" s="184"/>
      <c r="BE97" s="184"/>
      <c r="BF97" s="198">
        <v>0.833</v>
      </c>
      <c r="BG97" s="198"/>
    </row>
    <row r="98">
      <c r="A98" s="176">
        <v>113.0</v>
      </c>
      <c r="B98" s="367" t="s">
        <v>1167</v>
      </c>
      <c r="C98" s="287" t="s">
        <v>1149</v>
      </c>
      <c r="D98" s="349"/>
      <c r="E98" s="362"/>
      <c r="F98" s="368"/>
      <c r="G98" s="362"/>
      <c r="H98" s="368"/>
      <c r="I98" s="443">
        <v>2.33</v>
      </c>
      <c r="J98" s="443">
        <v>0.66</v>
      </c>
      <c r="K98" s="444"/>
      <c r="L98" s="443">
        <v>0.9</v>
      </c>
      <c r="M98" s="444"/>
      <c r="N98" s="180">
        <v>1.0</v>
      </c>
      <c r="O98" s="180">
        <v>1.0</v>
      </c>
      <c r="P98" s="5"/>
      <c r="Q98" s="176">
        <f t="shared" ref="Q98:T98" si="275">round(J98/6,2)</f>
        <v>0.11</v>
      </c>
      <c r="R98" s="176">
        <f t="shared" si="275"/>
        <v>0</v>
      </c>
      <c r="S98" s="176">
        <f t="shared" si="275"/>
        <v>0.15</v>
      </c>
      <c r="T98" s="176">
        <f t="shared" si="275"/>
        <v>0</v>
      </c>
      <c r="U98" s="5"/>
      <c r="V98" s="184"/>
      <c r="W98" s="184"/>
      <c r="X98" s="184"/>
      <c r="Y98" s="184"/>
      <c r="Z98" s="184"/>
      <c r="AA98" s="184"/>
      <c r="AB98" s="5"/>
      <c r="AC98" s="176">
        <v>0.25</v>
      </c>
      <c r="AD98" s="184"/>
      <c r="AE98" s="184"/>
      <c r="AF98" s="184"/>
      <c r="AG98" s="184"/>
      <c r="AH98" s="184"/>
      <c r="AI98" s="5"/>
      <c r="AJ98" s="184">
        <f t="shared" si="260"/>
        <v>0.14</v>
      </c>
      <c r="AK98" s="184">
        <f t="shared" si="253"/>
        <v>0</v>
      </c>
      <c r="AL98" s="184">
        <f t="shared" ref="AL98:AM98" si="276">ROUND(G98*(5/12)+L98*(5/12)+S98+X98-AE98,2)</f>
        <v>0.53</v>
      </c>
      <c r="AM98" s="184">
        <f t="shared" si="276"/>
        <v>0</v>
      </c>
      <c r="AN98" s="184">
        <f t="shared" ref="AN98:AO98" si="277">N98+Z98-AG98</f>
        <v>1</v>
      </c>
      <c r="AO98" s="184">
        <f t="shared" si="277"/>
        <v>1</v>
      </c>
      <c r="AP98" s="5"/>
      <c r="AQ98" s="176">
        <v>1.5</v>
      </c>
      <c r="AR98" s="176" t="s">
        <v>913</v>
      </c>
      <c r="AS98" s="176">
        <v>1.0</v>
      </c>
      <c r="AT98" s="176" t="s">
        <v>913</v>
      </c>
      <c r="AU98" s="176">
        <v>1.0</v>
      </c>
      <c r="AV98" s="176">
        <v>1.0</v>
      </c>
      <c r="AW98" s="180" t="s">
        <v>2115</v>
      </c>
      <c r="AX98" s="5"/>
      <c r="AY98" s="418"/>
      <c r="BA98" s="81"/>
      <c r="BB98" s="81"/>
      <c r="BC98" s="81"/>
      <c r="BD98" s="81"/>
      <c r="BE98" s="81"/>
      <c r="BF98" s="81"/>
      <c r="BG98" s="81"/>
    </row>
    <row r="99">
      <c r="A99" s="176">
        <v>115.0</v>
      </c>
      <c r="B99" s="435" t="s">
        <v>2116</v>
      </c>
      <c r="C99" s="287" t="s">
        <v>1149</v>
      </c>
      <c r="D99" s="349"/>
      <c r="E99" s="350"/>
      <c r="F99" s="366"/>
      <c r="G99" s="366"/>
      <c r="H99" s="350"/>
      <c r="I99" s="350">
        <v>2.33</v>
      </c>
      <c r="J99" s="350">
        <v>1.16</v>
      </c>
      <c r="K99" s="351"/>
      <c r="L99" s="351"/>
      <c r="M99" s="350">
        <v>0.5</v>
      </c>
      <c r="N99" s="180">
        <v>1.0</v>
      </c>
      <c r="O99" s="180">
        <v>1.0</v>
      </c>
      <c r="P99" s="5"/>
      <c r="Q99" s="176">
        <f t="shared" ref="Q99:T99" si="278">round(J99/6,2)</f>
        <v>0.19</v>
      </c>
      <c r="R99" s="176">
        <f t="shared" si="278"/>
        <v>0</v>
      </c>
      <c r="S99" s="176">
        <f t="shared" si="278"/>
        <v>0</v>
      </c>
      <c r="T99" s="176">
        <f t="shared" si="278"/>
        <v>0.08</v>
      </c>
      <c r="U99" s="5"/>
      <c r="V99" s="184"/>
      <c r="W99" s="176">
        <v>0.97</v>
      </c>
      <c r="X99" s="184"/>
      <c r="Y99" s="184"/>
      <c r="Z99" s="184"/>
      <c r="AA99" s="184"/>
      <c r="AB99" s="5"/>
      <c r="AC99" s="176">
        <v>0.1</v>
      </c>
      <c r="AD99" s="184"/>
      <c r="AE99" s="184"/>
      <c r="AF99" s="176">
        <v>0.33</v>
      </c>
      <c r="AG99" s="184"/>
      <c r="AH99" s="184"/>
      <c r="AI99" s="5"/>
      <c r="AJ99" s="184">
        <f t="shared" si="260"/>
        <v>0.57</v>
      </c>
      <c r="AK99" s="184">
        <f t="shared" si="253"/>
        <v>0.97</v>
      </c>
      <c r="AL99" s="184">
        <f t="shared" ref="AL99:AM99" si="279">ROUND(G99*(5/12)+L99*(5/12)+S99+X99-AE99,2)</f>
        <v>0</v>
      </c>
      <c r="AM99" s="184">
        <f t="shared" si="279"/>
        <v>-0.04</v>
      </c>
      <c r="AN99" s="184">
        <f t="shared" ref="AN99:AO99" si="280">N99+Z99-AG99</f>
        <v>1</v>
      </c>
      <c r="AO99" s="184">
        <f t="shared" si="280"/>
        <v>1</v>
      </c>
      <c r="AP99" s="5"/>
      <c r="AQ99" s="176">
        <v>1.25</v>
      </c>
      <c r="AR99" s="176">
        <v>0.0</v>
      </c>
      <c r="AS99" s="176" t="s">
        <v>913</v>
      </c>
      <c r="AT99" s="176">
        <v>0.0</v>
      </c>
      <c r="AU99" s="176">
        <v>1.0</v>
      </c>
      <c r="AV99" s="176">
        <v>1.0</v>
      </c>
      <c r="AW99" s="180" t="s">
        <v>2117</v>
      </c>
      <c r="AX99" s="5"/>
      <c r="AY99" s="449"/>
      <c r="BA99" s="81"/>
      <c r="BB99" s="81"/>
      <c r="BC99" s="81"/>
      <c r="BD99" s="81"/>
      <c r="BE99" s="81"/>
      <c r="BF99" s="81"/>
      <c r="BG99" s="81"/>
    </row>
    <row r="100">
      <c r="A100" s="176">
        <v>116.0</v>
      </c>
      <c r="B100" s="435" t="s">
        <v>1160</v>
      </c>
      <c r="C100" s="287" t="s">
        <v>1149</v>
      </c>
      <c r="D100" s="349"/>
      <c r="E100" s="366"/>
      <c r="F100" s="366"/>
      <c r="G100" s="366"/>
      <c r="H100" s="366"/>
      <c r="I100" s="450">
        <v>4.0</v>
      </c>
      <c r="J100" s="366"/>
      <c r="K100" s="366"/>
      <c r="L100" s="366"/>
      <c r="M100" s="366"/>
      <c r="N100" s="180">
        <v>1.0</v>
      </c>
      <c r="O100" s="180">
        <v>1.0</v>
      </c>
      <c r="P100" s="5"/>
      <c r="Q100" s="176">
        <f t="shared" ref="Q100:T100" si="281">round(J100/6,2)</f>
        <v>0</v>
      </c>
      <c r="R100" s="176">
        <f t="shared" si="281"/>
        <v>0</v>
      </c>
      <c r="S100" s="176">
        <f t="shared" si="281"/>
        <v>0</v>
      </c>
      <c r="T100" s="176">
        <f t="shared" si="281"/>
        <v>0</v>
      </c>
      <c r="U100" s="5"/>
      <c r="V100" s="184"/>
      <c r="W100" s="184"/>
      <c r="X100" s="184"/>
      <c r="Y100" s="184"/>
      <c r="Z100" s="184"/>
      <c r="AA100" s="184"/>
      <c r="AB100" s="5"/>
      <c r="AC100" s="184"/>
      <c r="AD100" s="184"/>
      <c r="AE100" s="184"/>
      <c r="AF100" s="184"/>
      <c r="AG100" s="184"/>
      <c r="AH100" s="184"/>
      <c r="AI100" s="5"/>
      <c r="AJ100" s="184">
        <f t="shared" si="260"/>
        <v>0</v>
      </c>
      <c r="AK100" s="184">
        <f t="shared" si="253"/>
        <v>0</v>
      </c>
      <c r="AL100" s="184">
        <f t="shared" ref="AL100:AM100" si="282">ROUND(G100*(5/12)+L100*(5/12)+S100+X100-AE100,2)</f>
        <v>0</v>
      </c>
      <c r="AM100" s="184">
        <f t="shared" si="282"/>
        <v>0</v>
      </c>
      <c r="AN100" s="184">
        <f t="shared" ref="AN100:AO100" si="283">N100+Z100-AG100</f>
        <v>1</v>
      </c>
      <c r="AO100" s="184">
        <f t="shared" si="283"/>
        <v>1</v>
      </c>
      <c r="AP100" s="5"/>
      <c r="AQ100" s="176">
        <v>0.125</v>
      </c>
      <c r="AR100" s="176" t="s">
        <v>913</v>
      </c>
      <c r="AS100" s="176" t="s">
        <v>913</v>
      </c>
      <c r="AT100" s="176" t="s">
        <v>913</v>
      </c>
      <c r="AU100" s="176">
        <v>1.0</v>
      </c>
      <c r="AV100" s="176">
        <v>1.0</v>
      </c>
      <c r="AW100" s="180" t="s">
        <v>2118</v>
      </c>
      <c r="AX100" s="5"/>
      <c r="AY100" s="445"/>
      <c r="BA100" s="81"/>
      <c r="BB100" s="81"/>
      <c r="BC100" s="81"/>
      <c r="BD100" s="81"/>
      <c r="BE100" s="81"/>
      <c r="BF100" s="81"/>
      <c r="BG100" s="81"/>
    </row>
    <row r="101">
      <c r="A101" s="176">
        <v>117.0</v>
      </c>
      <c r="B101" s="435" t="s">
        <v>1237</v>
      </c>
      <c r="C101" s="287" t="s">
        <v>1149</v>
      </c>
      <c r="D101" s="349"/>
      <c r="E101" s="350"/>
      <c r="F101" s="366"/>
      <c r="G101" s="366"/>
      <c r="H101" s="366"/>
      <c r="I101" s="450">
        <v>4.0</v>
      </c>
      <c r="J101" s="366"/>
      <c r="K101" s="366"/>
      <c r="L101" s="366"/>
      <c r="M101" s="366"/>
      <c r="N101" s="180">
        <v>1.0</v>
      </c>
      <c r="O101" s="180">
        <v>1.0</v>
      </c>
      <c r="P101" s="5"/>
      <c r="Q101" s="176">
        <f t="shared" ref="Q101:T101" si="284">round(J101/6,2)</f>
        <v>0</v>
      </c>
      <c r="R101" s="176">
        <f t="shared" si="284"/>
        <v>0</v>
      </c>
      <c r="S101" s="176">
        <f t="shared" si="284"/>
        <v>0</v>
      </c>
      <c r="T101" s="176">
        <f t="shared" si="284"/>
        <v>0</v>
      </c>
      <c r="U101" s="5"/>
      <c r="V101" s="184"/>
      <c r="W101" s="184"/>
      <c r="X101" s="184"/>
      <c r="Y101" s="184"/>
      <c r="Z101" s="184"/>
      <c r="AA101" s="184"/>
      <c r="AB101" s="5"/>
      <c r="AC101" s="176">
        <v>0.25</v>
      </c>
      <c r="AD101" s="184"/>
      <c r="AE101" s="184"/>
      <c r="AF101" s="184"/>
      <c r="AG101" s="184"/>
      <c r="AH101" s="184"/>
      <c r="AI101" s="5"/>
      <c r="AJ101" s="184">
        <f t="shared" si="260"/>
        <v>-0.25</v>
      </c>
      <c r="AK101" s="184">
        <f t="shared" si="253"/>
        <v>0</v>
      </c>
      <c r="AL101" s="184">
        <f t="shared" ref="AL101:AM101" si="285">ROUND(G101*(5/12)+L101*(5/12)+S101+X101-AE101,2)</f>
        <v>0</v>
      </c>
      <c r="AM101" s="184">
        <f t="shared" si="285"/>
        <v>0</v>
      </c>
      <c r="AN101" s="184">
        <f t="shared" ref="AN101:AO101" si="286">N101+Z101-AG101</f>
        <v>1</v>
      </c>
      <c r="AO101" s="184">
        <f t="shared" si="286"/>
        <v>1</v>
      </c>
      <c r="AP101" s="5"/>
      <c r="AQ101" s="176">
        <v>0.0</v>
      </c>
      <c r="AR101" s="176" t="s">
        <v>913</v>
      </c>
      <c r="AS101" s="176">
        <v>0.0</v>
      </c>
      <c r="AT101" s="176" t="s">
        <v>913</v>
      </c>
      <c r="AU101" s="176">
        <v>1.0</v>
      </c>
      <c r="AV101" s="176">
        <v>1.0</v>
      </c>
      <c r="AW101" s="180" t="s">
        <v>2119</v>
      </c>
      <c r="AX101" s="5"/>
      <c r="AY101" s="451"/>
      <c r="BA101" s="81"/>
      <c r="BB101" s="81"/>
      <c r="BC101" s="81"/>
      <c r="BD101" s="81"/>
      <c r="BE101" s="81"/>
      <c r="BF101" s="81"/>
      <c r="BG101" s="81"/>
    </row>
    <row r="102">
      <c r="A102" s="176">
        <v>118.0</v>
      </c>
      <c r="B102" s="435" t="s">
        <v>1163</v>
      </c>
      <c r="C102" s="287" t="s">
        <v>1149</v>
      </c>
      <c r="D102" s="349"/>
      <c r="E102" s="350"/>
      <c r="F102" s="366"/>
      <c r="G102" s="366"/>
      <c r="H102" s="366"/>
      <c r="I102" s="450">
        <v>4.0</v>
      </c>
      <c r="J102" s="366"/>
      <c r="K102" s="366"/>
      <c r="L102" s="366"/>
      <c r="M102" s="366"/>
      <c r="N102" s="180">
        <v>1.0</v>
      </c>
      <c r="O102" s="180">
        <v>1.0</v>
      </c>
      <c r="P102" s="5"/>
      <c r="Q102" s="176">
        <f t="shared" ref="Q102:T102" si="287">round(J102/6,2)</f>
        <v>0</v>
      </c>
      <c r="R102" s="176">
        <f t="shared" si="287"/>
        <v>0</v>
      </c>
      <c r="S102" s="176">
        <f t="shared" si="287"/>
        <v>0</v>
      </c>
      <c r="T102" s="176">
        <f t="shared" si="287"/>
        <v>0</v>
      </c>
      <c r="U102" s="5"/>
      <c r="V102" s="184"/>
      <c r="W102" s="184"/>
      <c r="X102" s="184"/>
      <c r="Y102" s="184"/>
      <c r="Z102" s="184"/>
      <c r="AA102" s="184"/>
      <c r="AB102" s="5"/>
      <c r="AC102" s="176">
        <v>0.375</v>
      </c>
      <c r="AD102" s="184"/>
      <c r="AE102" s="184"/>
      <c r="AF102" s="184"/>
      <c r="AG102" s="184"/>
      <c r="AH102" s="184"/>
      <c r="AI102" s="5"/>
      <c r="AJ102" s="184">
        <f t="shared" si="260"/>
        <v>-0.38</v>
      </c>
      <c r="AK102" s="184">
        <f t="shared" si="253"/>
        <v>0</v>
      </c>
      <c r="AL102" s="184">
        <f t="shared" ref="AL102:AM102" si="288">ROUND(G102*(5/12)+L102*(5/12)+S102+X102-AE102,2)</f>
        <v>0</v>
      </c>
      <c r="AM102" s="184">
        <f t="shared" si="288"/>
        <v>0</v>
      </c>
      <c r="AN102" s="184">
        <f t="shared" ref="AN102:AO102" si="289">N102+Z102-AG102</f>
        <v>1</v>
      </c>
      <c r="AO102" s="184">
        <f t="shared" si="289"/>
        <v>1</v>
      </c>
      <c r="AP102" s="5"/>
      <c r="AQ102" s="176" t="s">
        <v>913</v>
      </c>
      <c r="AR102" s="176" t="s">
        <v>913</v>
      </c>
      <c r="AS102" s="176" t="s">
        <v>913</v>
      </c>
      <c r="AT102" s="176" t="s">
        <v>913</v>
      </c>
      <c r="AU102" s="176">
        <v>1.0</v>
      </c>
      <c r="AV102" s="176">
        <v>1.0</v>
      </c>
      <c r="AW102" s="180" t="s">
        <v>2120</v>
      </c>
      <c r="AX102" s="5"/>
      <c r="AY102" s="449"/>
      <c r="BA102" s="81"/>
      <c r="BB102" s="81"/>
      <c r="BC102" s="81"/>
      <c r="BD102" s="81"/>
      <c r="BE102" s="81"/>
      <c r="BF102" s="81"/>
      <c r="BG102" s="81"/>
    </row>
    <row r="103">
      <c r="A103" s="176">
        <v>119.0</v>
      </c>
      <c r="B103" s="435" t="s">
        <v>1240</v>
      </c>
      <c r="C103" s="287" t="s">
        <v>1149</v>
      </c>
      <c r="D103" s="349"/>
      <c r="E103" s="350"/>
      <c r="F103" s="366"/>
      <c r="G103" s="366"/>
      <c r="H103" s="366"/>
      <c r="I103" s="450">
        <v>4.0</v>
      </c>
      <c r="J103" s="366"/>
      <c r="K103" s="366"/>
      <c r="L103" s="366"/>
      <c r="M103" s="366"/>
      <c r="N103" s="180">
        <v>1.0</v>
      </c>
      <c r="O103" s="180">
        <v>1.0</v>
      </c>
      <c r="P103" s="5"/>
      <c r="Q103" s="176">
        <f t="shared" ref="Q103:T103" si="290">round(J103/6,2)</f>
        <v>0</v>
      </c>
      <c r="R103" s="176">
        <f t="shared" si="290"/>
        <v>0</v>
      </c>
      <c r="S103" s="176">
        <f t="shared" si="290"/>
        <v>0</v>
      </c>
      <c r="T103" s="176">
        <f t="shared" si="290"/>
        <v>0</v>
      </c>
      <c r="U103" s="5"/>
      <c r="V103" s="184"/>
      <c r="W103" s="184"/>
      <c r="X103" s="184"/>
      <c r="Y103" s="184"/>
      <c r="Z103" s="184"/>
      <c r="AA103" s="184"/>
      <c r="AB103" s="5"/>
      <c r="AC103" s="176">
        <v>0.125</v>
      </c>
      <c r="AD103" s="184"/>
      <c r="AE103" s="184"/>
      <c r="AF103" s="184"/>
      <c r="AG103" s="184"/>
      <c r="AH103" s="184"/>
      <c r="AI103" s="5"/>
      <c r="AJ103" s="184">
        <f t="shared" si="260"/>
        <v>-0.13</v>
      </c>
      <c r="AK103" s="184">
        <f t="shared" si="253"/>
        <v>0</v>
      </c>
      <c r="AL103" s="184">
        <f t="shared" ref="AL103:AM103" si="291">ROUND(G103*(5/12)+L103*(5/12)+S103+X103-AE103,2)</f>
        <v>0</v>
      </c>
      <c r="AM103" s="184">
        <f t="shared" si="291"/>
        <v>0</v>
      </c>
      <c r="AN103" s="184">
        <f t="shared" ref="AN103:AO103" si="292">N103+Z103-AG103</f>
        <v>1</v>
      </c>
      <c r="AO103" s="184">
        <f t="shared" si="292"/>
        <v>1</v>
      </c>
      <c r="AP103" s="5"/>
      <c r="AQ103" s="176" t="s">
        <v>913</v>
      </c>
      <c r="AR103" s="176" t="s">
        <v>913</v>
      </c>
      <c r="AS103" s="176" t="s">
        <v>913</v>
      </c>
      <c r="AT103" s="176" t="s">
        <v>913</v>
      </c>
      <c r="AU103" s="176">
        <v>1.0</v>
      </c>
      <c r="AV103" s="176">
        <v>1.0</v>
      </c>
      <c r="AW103" s="180" t="s">
        <v>2121</v>
      </c>
      <c r="AX103" s="5"/>
      <c r="AY103" s="445"/>
      <c r="BA103" s="81"/>
      <c r="BB103" s="81"/>
      <c r="BC103" s="81"/>
      <c r="BD103" s="81"/>
      <c r="BE103" s="81"/>
      <c r="BF103" s="81"/>
      <c r="BG103" s="81"/>
    </row>
    <row r="104">
      <c r="A104" s="176">
        <v>120.0</v>
      </c>
      <c r="B104" s="435" t="s">
        <v>2122</v>
      </c>
      <c r="C104" s="287" t="s">
        <v>1149</v>
      </c>
      <c r="D104" s="349"/>
      <c r="E104" s="350"/>
      <c r="F104" s="366"/>
      <c r="G104" s="366"/>
      <c r="H104" s="366"/>
      <c r="I104" s="450">
        <v>4.0</v>
      </c>
      <c r="J104" s="366"/>
      <c r="K104" s="366"/>
      <c r="L104" s="366"/>
      <c r="M104" s="366"/>
      <c r="N104" s="180">
        <v>1.0</v>
      </c>
      <c r="O104" s="180">
        <v>1.0</v>
      </c>
      <c r="P104" s="5"/>
      <c r="Q104" s="176">
        <f t="shared" ref="Q104:T104" si="293">round(J104/6,2)</f>
        <v>0</v>
      </c>
      <c r="R104" s="176">
        <f t="shared" si="293"/>
        <v>0</v>
      </c>
      <c r="S104" s="176">
        <f t="shared" si="293"/>
        <v>0</v>
      </c>
      <c r="T104" s="176">
        <f t="shared" si="293"/>
        <v>0</v>
      </c>
      <c r="U104" s="5"/>
      <c r="V104" s="176">
        <v>0.125</v>
      </c>
      <c r="W104" s="184"/>
      <c r="X104" s="184"/>
      <c r="Y104" s="184"/>
      <c r="Z104" s="184"/>
      <c r="AA104" s="184"/>
      <c r="AB104" s="5"/>
      <c r="AC104" s="184"/>
      <c r="AD104" s="184"/>
      <c r="AE104" s="184"/>
      <c r="AF104" s="184"/>
      <c r="AG104" s="184"/>
      <c r="AH104" s="184"/>
      <c r="AI104" s="5"/>
      <c r="AJ104" s="184">
        <f t="shared" si="260"/>
        <v>0.13</v>
      </c>
      <c r="AK104" s="184">
        <f t="shared" si="253"/>
        <v>0</v>
      </c>
      <c r="AL104" s="184">
        <f t="shared" ref="AL104:AM104" si="294">ROUND(G104*(5/12)+L104*(5/12)+S104+X104-AE104,2)</f>
        <v>0</v>
      </c>
      <c r="AM104" s="184">
        <f t="shared" si="294"/>
        <v>0</v>
      </c>
      <c r="AN104" s="184">
        <f t="shared" ref="AN104:AO104" si="295">N104+Z104-AG104</f>
        <v>1</v>
      </c>
      <c r="AO104" s="184">
        <f t="shared" si="295"/>
        <v>1</v>
      </c>
      <c r="AP104" s="5"/>
      <c r="AQ104" s="176">
        <v>0.0</v>
      </c>
      <c r="AR104" s="176" t="s">
        <v>913</v>
      </c>
      <c r="AS104" s="176" t="s">
        <v>913</v>
      </c>
      <c r="AT104" s="176" t="s">
        <v>913</v>
      </c>
      <c r="AU104" s="176">
        <v>1.0</v>
      </c>
      <c r="AV104" s="176">
        <v>1.0</v>
      </c>
      <c r="AW104" s="180" t="s">
        <v>2123</v>
      </c>
      <c r="AX104" s="5"/>
      <c r="AY104" s="452"/>
      <c r="BA104" s="81"/>
      <c r="BB104" s="81"/>
      <c r="BC104" s="81"/>
      <c r="BD104" s="81"/>
      <c r="BE104" s="81"/>
      <c r="BF104" s="81"/>
      <c r="BG104" s="81"/>
    </row>
    <row r="105">
      <c r="A105" s="176">
        <v>121.0</v>
      </c>
      <c r="B105" s="435" t="s">
        <v>1165</v>
      </c>
      <c r="C105" s="287" t="s">
        <v>1149</v>
      </c>
      <c r="D105" s="349"/>
      <c r="E105" s="350"/>
      <c r="F105" s="366"/>
      <c r="G105" s="366"/>
      <c r="H105" s="366"/>
      <c r="I105" s="350">
        <v>4.0</v>
      </c>
      <c r="J105" s="450"/>
      <c r="K105" s="366"/>
      <c r="L105" s="366"/>
      <c r="M105" s="366"/>
      <c r="N105" s="180">
        <v>1.0</v>
      </c>
      <c r="O105" s="180">
        <v>1.0</v>
      </c>
      <c r="P105" s="5"/>
      <c r="Q105" s="176">
        <f t="shared" ref="Q105:T105" si="296">round(J105/6,2)</f>
        <v>0</v>
      </c>
      <c r="R105" s="176">
        <f t="shared" si="296"/>
        <v>0</v>
      </c>
      <c r="S105" s="176">
        <f t="shared" si="296"/>
        <v>0</v>
      </c>
      <c r="T105" s="176">
        <f t="shared" si="296"/>
        <v>0</v>
      </c>
      <c r="U105" s="5"/>
      <c r="V105" s="184"/>
      <c r="W105" s="184"/>
      <c r="X105" s="184"/>
      <c r="Y105" s="184"/>
      <c r="Z105" s="184"/>
      <c r="AA105" s="184"/>
      <c r="AB105" s="5"/>
      <c r="AC105" s="184"/>
      <c r="AD105" s="184"/>
      <c r="AE105" s="184"/>
      <c r="AF105" s="184"/>
      <c r="AG105" s="184"/>
      <c r="AH105" s="184"/>
      <c r="AI105" s="5"/>
      <c r="AJ105" s="184">
        <f t="shared" si="260"/>
        <v>0</v>
      </c>
      <c r="AK105" s="184">
        <f t="shared" si="253"/>
        <v>0</v>
      </c>
      <c r="AL105" s="184">
        <f t="shared" ref="AL105:AM105" si="297">ROUND(G105*(5/12)+L105*(5/12)+S105+X105-AE105,2)</f>
        <v>0</v>
      </c>
      <c r="AM105" s="184">
        <f t="shared" si="297"/>
        <v>0</v>
      </c>
      <c r="AN105" s="184">
        <f t="shared" ref="AN105:AO105" si="298">N105+Z105-AG105</f>
        <v>1</v>
      </c>
      <c r="AO105" s="184">
        <f t="shared" si="298"/>
        <v>1</v>
      </c>
      <c r="AP105" s="5"/>
      <c r="AQ105" s="176">
        <v>0.0</v>
      </c>
      <c r="AR105" s="176" t="s">
        <v>913</v>
      </c>
      <c r="AS105" s="176">
        <v>0.0</v>
      </c>
      <c r="AT105" s="176" t="s">
        <v>913</v>
      </c>
      <c r="AU105" s="176">
        <v>1.0</v>
      </c>
      <c r="AV105" s="176">
        <v>1.0</v>
      </c>
      <c r="AW105" s="180" t="s">
        <v>2124</v>
      </c>
      <c r="AX105" s="5"/>
      <c r="AY105" s="453"/>
      <c r="BA105" s="81"/>
      <c r="BB105" s="81"/>
      <c r="BC105" s="81"/>
      <c r="BD105" s="81"/>
      <c r="BE105" s="81"/>
      <c r="BF105" s="81"/>
      <c r="BG105" s="81"/>
    </row>
    <row r="106">
      <c r="A106" s="176">
        <v>123.0</v>
      </c>
      <c r="B106" s="435" t="s">
        <v>2125</v>
      </c>
      <c r="C106" s="287" t="s">
        <v>1149</v>
      </c>
      <c r="D106" s="349"/>
      <c r="E106" s="350"/>
      <c r="F106" s="366"/>
      <c r="G106" s="366"/>
      <c r="H106" s="366"/>
      <c r="I106" s="350">
        <v>3.66</v>
      </c>
      <c r="J106" s="350">
        <v>0.33</v>
      </c>
      <c r="K106" s="366"/>
      <c r="L106" s="366"/>
      <c r="M106" s="366"/>
      <c r="N106" s="180">
        <v>1.0</v>
      </c>
      <c r="O106" s="180">
        <v>1.0</v>
      </c>
      <c r="P106" s="5"/>
      <c r="Q106" s="176">
        <f t="shared" ref="Q106:T106" si="299">round(J106/6,2)</f>
        <v>0.06</v>
      </c>
      <c r="R106" s="176">
        <f t="shared" si="299"/>
        <v>0</v>
      </c>
      <c r="S106" s="176">
        <f t="shared" si="299"/>
        <v>0</v>
      </c>
      <c r="T106" s="176">
        <f t="shared" si="299"/>
        <v>0</v>
      </c>
      <c r="U106" s="5"/>
      <c r="V106" s="198"/>
      <c r="W106" s="184"/>
      <c r="X106" s="184"/>
      <c r="Y106" s="184"/>
      <c r="Z106" s="184"/>
      <c r="AA106" s="184"/>
      <c r="AB106" s="5"/>
      <c r="AC106" s="184"/>
      <c r="AD106" s="184"/>
      <c r="AE106" s="184"/>
      <c r="AF106" s="184"/>
      <c r="AG106" s="184"/>
      <c r="AH106" s="184"/>
      <c r="AI106" s="5"/>
      <c r="AJ106" s="184">
        <f t="shared" si="260"/>
        <v>0.2</v>
      </c>
      <c r="AK106" s="184">
        <f t="shared" si="253"/>
        <v>0</v>
      </c>
      <c r="AL106" s="184">
        <f t="shared" ref="AL106:AM106" si="300">ROUND(G106*(5/12)+L106*(5/12)+S106+X106-AE106,2)</f>
        <v>0</v>
      </c>
      <c r="AM106" s="184">
        <f t="shared" si="300"/>
        <v>0</v>
      </c>
      <c r="AN106" s="184">
        <f t="shared" ref="AN106:AO106" si="301">N106+Z106-AG106</f>
        <v>1</v>
      </c>
      <c r="AO106" s="184">
        <f t="shared" si="301"/>
        <v>1</v>
      </c>
      <c r="AP106" s="5"/>
      <c r="AQ106" s="176">
        <v>1.125</v>
      </c>
      <c r="AR106" s="176" t="s">
        <v>913</v>
      </c>
      <c r="AS106" s="176" t="s">
        <v>913</v>
      </c>
      <c r="AT106" s="176" t="s">
        <v>913</v>
      </c>
      <c r="AU106" s="176">
        <v>1.0</v>
      </c>
      <c r="AV106" s="176">
        <v>1.0</v>
      </c>
      <c r="AW106" s="180" t="s">
        <v>2126</v>
      </c>
      <c r="AX106" s="5"/>
      <c r="AY106" s="417"/>
      <c r="BA106" s="198">
        <v>0.075</v>
      </c>
      <c r="BB106" s="81"/>
      <c r="BC106" s="81"/>
      <c r="BD106" s="81"/>
      <c r="BE106" s="81"/>
      <c r="BF106" s="81"/>
      <c r="BG106" s="81"/>
    </row>
    <row r="107">
      <c r="A107" s="176">
        <v>125.0</v>
      </c>
      <c r="B107" s="435" t="s">
        <v>2127</v>
      </c>
      <c r="C107" s="287" t="s">
        <v>1149</v>
      </c>
      <c r="D107" s="349"/>
      <c r="E107" s="350"/>
      <c r="F107" s="368"/>
      <c r="G107" s="363"/>
      <c r="H107" s="363"/>
      <c r="I107" s="362">
        <v>3.66</v>
      </c>
      <c r="J107" s="362">
        <v>0.33</v>
      </c>
      <c r="K107" s="363"/>
      <c r="L107" s="363"/>
      <c r="M107" s="363"/>
      <c r="N107" s="180">
        <v>1.0</v>
      </c>
      <c r="O107" s="180">
        <v>1.0</v>
      </c>
      <c r="P107" s="5"/>
      <c r="Q107" s="176">
        <f t="shared" ref="Q107:T107" si="302">round(J107/6,2)</f>
        <v>0.06</v>
      </c>
      <c r="R107" s="176">
        <f t="shared" si="302"/>
        <v>0</v>
      </c>
      <c r="S107" s="176">
        <f t="shared" si="302"/>
        <v>0</v>
      </c>
      <c r="T107" s="176">
        <f t="shared" si="302"/>
        <v>0</v>
      </c>
      <c r="U107" s="5"/>
      <c r="V107" s="184"/>
      <c r="W107" s="184"/>
      <c r="X107" s="184"/>
      <c r="Y107" s="184"/>
      <c r="Z107" s="184"/>
      <c r="AA107" s="184"/>
      <c r="AB107" s="5"/>
      <c r="AC107" s="184"/>
      <c r="AD107" s="184"/>
      <c r="AE107" s="184"/>
      <c r="AF107" s="184"/>
      <c r="AG107" s="184"/>
      <c r="AH107" s="184"/>
      <c r="AI107" s="5"/>
      <c r="AJ107" s="184">
        <f t="shared" si="260"/>
        <v>0.2</v>
      </c>
      <c r="AK107" s="184">
        <f t="shared" si="253"/>
        <v>0</v>
      </c>
      <c r="AL107" s="184">
        <f t="shared" ref="AL107:AM107" si="303">ROUND(G107*(5/12)+L107*(5/12)+S107+X107-AE107,2)</f>
        <v>0</v>
      </c>
      <c r="AM107" s="184">
        <f t="shared" si="303"/>
        <v>0</v>
      </c>
      <c r="AN107" s="184">
        <f t="shared" ref="AN107:AO107" si="304">N107+Z107-AG107</f>
        <v>1</v>
      </c>
      <c r="AO107" s="184">
        <f t="shared" si="304"/>
        <v>1</v>
      </c>
      <c r="AP107" s="5"/>
      <c r="AQ107" s="176">
        <v>0.5</v>
      </c>
      <c r="AR107" s="176" t="s">
        <v>913</v>
      </c>
      <c r="AS107" s="176" t="s">
        <v>913</v>
      </c>
      <c r="AT107" s="176" t="s">
        <v>913</v>
      </c>
      <c r="AU107" s="176">
        <v>1.0</v>
      </c>
      <c r="AV107" s="176">
        <v>1.0</v>
      </c>
      <c r="AW107" s="454" t="s">
        <v>2128</v>
      </c>
      <c r="AX107" s="5"/>
      <c r="AY107" s="455"/>
      <c r="BA107" s="81"/>
      <c r="BB107" s="81"/>
      <c r="BC107" s="81"/>
      <c r="BD107" s="81"/>
      <c r="BE107" s="81"/>
      <c r="BF107" s="81"/>
      <c r="BG107" s="81"/>
    </row>
    <row r="108">
      <c r="A108" s="176">
        <v>126.0</v>
      </c>
      <c r="B108" s="435" t="s">
        <v>1169</v>
      </c>
      <c r="C108" s="287" t="s">
        <v>1149</v>
      </c>
      <c r="D108" s="349"/>
      <c r="E108" s="350"/>
      <c r="F108" s="370"/>
      <c r="G108" s="370"/>
      <c r="H108" s="370"/>
      <c r="I108" s="450">
        <v>3.66</v>
      </c>
      <c r="J108" s="450">
        <v>0.33</v>
      </c>
      <c r="K108" s="370"/>
      <c r="L108" s="370"/>
      <c r="M108" s="370"/>
      <c r="N108" s="180">
        <v>1.0</v>
      </c>
      <c r="O108" s="180">
        <v>1.0</v>
      </c>
      <c r="P108" s="5"/>
      <c r="Q108" s="176">
        <f t="shared" ref="Q108:T108" si="305">round(J108/6,2)</f>
        <v>0.06</v>
      </c>
      <c r="R108" s="176">
        <f t="shared" si="305"/>
        <v>0</v>
      </c>
      <c r="S108" s="176">
        <f t="shared" si="305"/>
        <v>0</v>
      </c>
      <c r="T108" s="176">
        <f t="shared" si="305"/>
        <v>0</v>
      </c>
      <c r="U108" s="5"/>
      <c r="V108" s="184"/>
      <c r="W108" s="184"/>
      <c r="X108" s="184"/>
      <c r="Y108" s="184"/>
      <c r="Z108" s="184"/>
      <c r="AA108" s="184"/>
      <c r="AB108" s="5"/>
      <c r="AC108" s="184"/>
      <c r="AD108" s="184"/>
      <c r="AE108" s="184"/>
      <c r="AF108" s="184"/>
      <c r="AG108" s="184"/>
      <c r="AH108" s="184"/>
      <c r="AI108" s="5"/>
      <c r="AJ108" s="184">
        <f t="shared" si="260"/>
        <v>0.2</v>
      </c>
      <c r="AK108" s="184">
        <f t="shared" si="253"/>
        <v>0</v>
      </c>
      <c r="AL108" s="184">
        <f t="shared" ref="AL108:AM108" si="306">ROUND(G108*(5/12)+L108*(5/12)+S108+X108-AE108,2)</f>
        <v>0</v>
      </c>
      <c r="AM108" s="184">
        <f t="shared" si="306"/>
        <v>0</v>
      </c>
      <c r="AN108" s="184">
        <f t="shared" ref="AN108:AO108" si="307">N108+Z108-AG108</f>
        <v>1</v>
      </c>
      <c r="AO108" s="184">
        <f t="shared" si="307"/>
        <v>1</v>
      </c>
      <c r="AP108" s="5"/>
      <c r="AQ108" s="176">
        <v>0.625</v>
      </c>
      <c r="AR108" s="176" t="s">
        <v>913</v>
      </c>
      <c r="AS108" s="176" t="s">
        <v>913</v>
      </c>
      <c r="AT108" s="176" t="s">
        <v>913</v>
      </c>
      <c r="AU108" s="176">
        <v>1.0</v>
      </c>
      <c r="AV108" s="176">
        <v>1.0</v>
      </c>
      <c r="AW108" s="180" t="s">
        <v>2129</v>
      </c>
      <c r="AX108" s="5"/>
      <c r="AY108" s="418"/>
      <c r="BA108" s="81"/>
      <c r="BB108" s="81"/>
      <c r="BC108" s="81"/>
      <c r="BD108" s="81"/>
      <c r="BE108" s="81"/>
      <c r="BF108" s="81"/>
      <c r="BG108" s="81"/>
    </row>
    <row r="109">
      <c r="A109" s="176">
        <v>127.0</v>
      </c>
      <c r="B109" s="456" t="s">
        <v>281</v>
      </c>
      <c r="C109" s="287" t="s">
        <v>282</v>
      </c>
      <c r="D109" s="401"/>
      <c r="E109" s="401"/>
      <c r="F109" s="401"/>
      <c r="G109" s="373"/>
      <c r="H109" s="373"/>
      <c r="I109" s="245">
        <v>2.33</v>
      </c>
      <c r="J109" s="245">
        <v>0.57</v>
      </c>
      <c r="K109" s="245">
        <v>0.1</v>
      </c>
      <c r="L109" s="373"/>
      <c r="M109" s="373"/>
      <c r="N109" s="180">
        <v>1.0</v>
      </c>
      <c r="O109" s="180">
        <v>1.0</v>
      </c>
      <c r="P109" s="5"/>
      <c r="Q109" s="176">
        <f t="shared" ref="Q109:T109" si="308">round(J109/6,2)</f>
        <v>0.1</v>
      </c>
      <c r="R109" s="176">
        <f t="shared" si="308"/>
        <v>0.02</v>
      </c>
      <c r="S109" s="176">
        <f t="shared" si="308"/>
        <v>0</v>
      </c>
      <c r="T109" s="176">
        <f t="shared" si="308"/>
        <v>0</v>
      </c>
      <c r="U109" s="5"/>
      <c r="V109" s="176">
        <v>0.375</v>
      </c>
      <c r="W109" s="176">
        <v>1.0</v>
      </c>
      <c r="X109" s="184"/>
      <c r="Y109" s="184"/>
      <c r="Z109" s="184"/>
      <c r="AA109" s="184"/>
      <c r="AB109" s="5"/>
      <c r="AC109" s="184"/>
      <c r="AD109" s="184"/>
      <c r="AE109" s="184"/>
      <c r="AF109" s="184"/>
      <c r="AG109" s="184"/>
      <c r="AH109" s="184"/>
      <c r="AI109" s="5"/>
      <c r="AJ109" s="184">
        <f t="shared" si="260"/>
        <v>0.71</v>
      </c>
      <c r="AK109" s="184">
        <f t="shared" si="253"/>
        <v>1.062</v>
      </c>
      <c r="AL109" s="184">
        <f t="shared" ref="AL109:AM109" si="309">ROUND(G109*(5/12)+L109*(5/12)+S109+X109-AE109,2)</f>
        <v>0</v>
      </c>
      <c r="AM109" s="184">
        <f t="shared" si="309"/>
        <v>0</v>
      </c>
      <c r="AN109" s="184">
        <f t="shared" ref="AN109:AO109" si="310">N109+Z109-AG109</f>
        <v>1</v>
      </c>
      <c r="AO109" s="184">
        <f t="shared" si="310"/>
        <v>1</v>
      </c>
      <c r="AP109" s="5"/>
      <c r="AQ109" s="176">
        <v>0.0</v>
      </c>
      <c r="AR109" s="176">
        <v>0.04</v>
      </c>
      <c r="AS109" s="176" t="s">
        <v>913</v>
      </c>
      <c r="AT109" s="176" t="s">
        <v>913</v>
      </c>
      <c r="AU109" s="176">
        <v>1.0</v>
      </c>
      <c r="AV109" s="176">
        <v>1.0</v>
      </c>
      <c r="AW109" s="180" t="s">
        <v>2130</v>
      </c>
      <c r="AX109" s="5"/>
      <c r="AY109" s="417"/>
      <c r="BA109" s="81"/>
      <c r="BB109" s="81"/>
      <c r="BC109" s="81"/>
      <c r="BD109" s="81"/>
      <c r="BE109" s="81"/>
      <c r="BF109" s="81"/>
      <c r="BG109" s="81"/>
    </row>
    <row r="110">
      <c r="A110" s="176">
        <v>128.0</v>
      </c>
      <c r="B110" s="456" t="s">
        <v>283</v>
      </c>
      <c r="C110" s="287" t="s">
        <v>282</v>
      </c>
      <c r="D110" s="245"/>
      <c r="E110" s="245"/>
      <c r="F110" s="373"/>
      <c r="G110" s="373"/>
      <c r="H110" s="373"/>
      <c r="I110" s="245">
        <v>3.33</v>
      </c>
      <c r="J110" s="245">
        <v>0.24</v>
      </c>
      <c r="K110" s="245">
        <v>0.1</v>
      </c>
      <c r="L110" s="245">
        <v>0.33</v>
      </c>
      <c r="M110" s="373"/>
      <c r="N110" s="180">
        <v>1.0</v>
      </c>
      <c r="O110" s="180">
        <v>1.0</v>
      </c>
      <c r="P110" s="5"/>
      <c r="Q110" s="176">
        <f t="shared" ref="Q110:T110" si="311">round(J110/6,2)</f>
        <v>0.04</v>
      </c>
      <c r="R110" s="176">
        <f t="shared" si="311"/>
        <v>0.02</v>
      </c>
      <c r="S110" s="176">
        <f t="shared" si="311"/>
        <v>0.06</v>
      </c>
      <c r="T110" s="176">
        <f t="shared" si="311"/>
        <v>0</v>
      </c>
      <c r="U110" s="5"/>
      <c r="V110" s="184"/>
      <c r="W110" s="184"/>
      <c r="X110" s="184"/>
      <c r="Y110" s="184"/>
      <c r="Z110" s="184"/>
      <c r="AA110" s="184"/>
      <c r="AB110" s="5"/>
      <c r="AC110" s="184"/>
      <c r="AD110" s="184"/>
      <c r="AE110" s="184"/>
      <c r="AF110" s="184"/>
      <c r="AG110" s="184"/>
      <c r="AH110" s="184"/>
      <c r="AI110" s="5"/>
      <c r="AJ110" s="184">
        <f t="shared" si="260"/>
        <v>0.14</v>
      </c>
      <c r="AK110" s="184">
        <f t="shared" si="253"/>
        <v>0.062</v>
      </c>
      <c r="AL110" s="184">
        <f t="shared" ref="AL110:AM110" si="312">ROUND(G110*(5/12)+L110*(5/12)+S110+X110-AE110,2)</f>
        <v>0.2</v>
      </c>
      <c r="AM110" s="184">
        <f t="shared" si="312"/>
        <v>0</v>
      </c>
      <c r="AN110" s="184">
        <f t="shared" ref="AN110:AO110" si="313">N110+Z110-AG110</f>
        <v>1</v>
      </c>
      <c r="AO110" s="184">
        <f t="shared" si="313"/>
        <v>1</v>
      </c>
      <c r="AP110" s="5"/>
      <c r="AQ110" s="176">
        <v>0.2</v>
      </c>
      <c r="AR110" s="176">
        <v>0.0</v>
      </c>
      <c r="AS110" s="176">
        <v>0.165</v>
      </c>
      <c r="AT110" s="176" t="s">
        <v>913</v>
      </c>
      <c r="AU110" s="176">
        <v>0.0</v>
      </c>
      <c r="AV110" s="176">
        <v>1.0</v>
      </c>
      <c r="AW110" s="180" t="s">
        <v>2131</v>
      </c>
      <c r="AX110" s="5"/>
      <c r="AY110" s="417"/>
      <c r="BA110" s="81"/>
      <c r="BB110" s="81"/>
      <c r="BC110" s="81"/>
      <c r="BD110" s="81"/>
      <c r="BE110" s="81"/>
      <c r="BF110" s="81"/>
      <c r="BG110" s="81"/>
    </row>
    <row r="111">
      <c r="A111" s="176">
        <v>129.0</v>
      </c>
      <c r="B111" s="456" t="s">
        <v>284</v>
      </c>
      <c r="C111" s="287" t="s">
        <v>282</v>
      </c>
      <c r="D111" s="245"/>
      <c r="E111" s="245"/>
      <c r="F111" s="373"/>
      <c r="G111" s="373"/>
      <c r="H111" s="373"/>
      <c r="I111" s="245">
        <v>3.33</v>
      </c>
      <c r="J111" s="245">
        <v>0.24</v>
      </c>
      <c r="K111" s="245">
        <v>0.1</v>
      </c>
      <c r="L111" s="245">
        <v>0.33</v>
      </c>
      <c r="M111" s="373"/>
      <c r="N111" s="180">
        <v>1.0</v>
      </c>
      <c r="O111" s="180">
        <v>1.0</v>
      </c>
      <c r="P111" s="5"/>
      <c r="Q111" s="176">
        <f t="shared" ref="Q111:T111" si="314">round(J111/6,2)</f>
        <v>0.04</v>
      </c>
      <c r="R111" s="176">
        <f t="shared" si="314"/>
        <v>0.02</v>
      </c>
      <c r="S111" s="176">
        <f t="shared" si="314"/>
        <v>0.06</v>
      </c>
      <c r="T111" s="176">
        <f t="shared" si="314"/>
        <v>0</v>
      </c>
      <c r="U111" s="5"/>
      <c r="V111" s="184"/>
      <c r="W111" s="184"/>
      <c r="X111" s="184"/>
      <c r="Y111" s="184"/>
      <c r="Z111" s="184"/>
      <c r="AA111" s="184"/>
      <c r="AB111" s="5"/>
      <c r="AC111" s="184"/>
      <c r="AD111" s="184"/>
      <c r="AE111" s="184"/>
      <c r="AF111" s="184"/>
      <c r="AG111" s="184"/>
      <c r="AH111" s="184"/>
      <c r="AI111" s="5"/>
      <c r="AJ111" s="184">
        <f t="shared" si="260"/>
        <v>0.14</v>
      </c>
      <c r="AK111" s="184">
        <f t="shared" si="253"/>
        <v>0.062</v>
      </c>
      <c r="AL111" s="184">
        <f t="shared" ref="AL111:AM111" si="315">ROUND(G111*(5/12)+L111*(5/12)+S111+X111-AE111,2)</f>
        <v>0.2</v>
      </c>
      <c r="AM111" s="184">
        <f t="shared" si="315"/>
        <v>0</v>
      </c>
      <c r="AN111" s="184">
        <f t="shared" ref="AN111:AO111" si="316">N111+Z111-AG111</f>
        <v>1</v>
      </c>
      <c r="AO111" s="184">
        <f t="shared" si="316"/>
        <v>1</v>
      </c>
      <c r="AP111" s="5"/>
      <c r="AQ111" s="176">
        <v>0.6</v>
      </c>
      <c r="AR111" s="176">
        <v>0.0</v>
      </c>
      <c r="AS111" s="176">
        <v>0.165</v>
      </c>
      <c r="AT111" s="176" t="s">
        <v>913</v>
      </c>
      <c r="AU111" s="176">
        <v>1.0</v>
      </c>
      <c r="AV111" s="176">
        <v>1.0</v>
      </c>
      <c r="AW111" s="180" t="s">
        <v>2132</v>
      </c>
      <c r="AX111" s="5"/>
      <c r="AY111" s="418"/>
      <c r="BA111" s="81"/>
      <c r="BB111" s="81"/>
      <c r="BC111" s="81"/>
      <c r="BD111" s="81"/>
      <c r="BE111" s="81"/>
      <c r="BF111" s="81"/>
      <c r="BG111" s="81"/>
    </row>
    <row r="112">
      <c r="A112" s="176">
        <v>130.0</v>
      </c>
      <c r="B112" s="456" t="s">
        <v>285</v>
      </c>
      <c r="C112" s="287" t="s">
        <v>282</v>
      </c>
      <c r="D112" s="245"/>
      <c r="E112" s="245"/>
      <c r="F112" s="373"/>
      <c r="G112" s="373"/>
      <c r="H112" s="401"/>
      <c r="I112" s="245">
        <v>3.31</v>
      </c>
      <c r="J112" s="245">
        <v>0.24</v>
      </c>
      <c r="K112" s="245">
        <v>0.1</v>
      </c>
      <c r="L112" s="401"/>
      <c r="M112" s="245">
        <v>0.35</v>
      </c>
      <c r="N112" s="180">
        <v>1.0</v>
      </c>
      <c r="O112" s="180">
        <v>1.0</v>
      </c>
      <c r="P112" s="5"/>
      <c r="Q112" s="176">
        <f t="shared" ref="Q112:T112" si="317">round(J112/6,2)</f>
        <v>0.04</v>
      </c>
      <c r="R112" s="176">
        <f t="shared" si="317"/>
        <v>0.02</v>
      </c>
      <c r="S112" s="176">
        <f t="shared" si="317"/>
        <v>0</v>
      </c>
      <c r="T112" s="176">
        <f t="shared" si="317"/>
        <v>0.06</v>
      </c>
      <c r="U112" s="5"/>
      <c r="V112" s="176">
        <v>1.25</v>
      </c>
      <c r="W112" s="184"/>
      <c r="X112" s="176">
        <v>0.5</v>
      </c>
      <c r="Y112" s="184"/>
      <c r="Z112" s="176">
        <v>1.0</v>
      </c>
      <c r="AA112" s="176">
        <v>1.0</v>
      </c>
      <c r="AB112" s="5"/>
      <c r="AC112" s="184"/>
      <c r="AD112" s="184"/>
      <c r="AE112" s="184"/>
      <c r="AF112" s="184"/>
      <c r="AG112" s="184"/>
      <c r="AH112" s="184"/>
      <c r="AI112" s="5"/>
      <c r="AJ112" s="184">
        <f t="shared" si="260"/>
        <v>1.39</v>
      </c>
      <c r="AK112" s="184">
        <f t="shared" si="253"/>
        <v>0.062</v>
      </c>
      <c r="AL112" s="184">
        <f t="shared" ref="AL112:AM112" si="318">ROUND(G112*(5/12)+L112*(5/12)+S112+X112-AE112,2)</f>
        <v>0.5</v>
      </c>
      <c r="AM112" s="184">
        <f t="shared" si="318"/>
        <v>0.21</v>
      </c>
      <c r="AN112" s="184">
        <f t="shared" ref="AN112:AO112" si="319">N112+Z112-AG112</f>
        <v>2</v>
      </c>
      <c r="AO112" s="184">
        <f t="shared" si="319"/>
        <v>2</v>
      </c>
      <c r="AP112" s="5"/>
      <c r="AQ112" s="374">
        <v>0.4</v>
      </c>
      <c r="AR112" s="176">
        <v>0.0</v>
      </c>
      <c r="AS112" s="176">
        <v>0.0</v>
      </c>
      <c r="AT112" s="176">
        <v>0.0</v>
      </c>
      <c r="AU112" s="176">
        <v>0.0</v>
      </c>
      <c r="AV112" s="176">
        <v>0.0</v>
      </c>
      <c r="AW112" s="205" t="s">
        <v>2133</v>
      </c>
      <c r="AX112" s="5"/>
      <c r="AY112" s="457"/>
      <c r="BA112" s="81"/>
      <c r="BB112" s="81"/>
      <c r="BC112" s="81"/>
      <c r="BD112" s="81"/>
      <c r="BE112" s="81"/>
      <c r="BF112" s="81"/>
      <c r="BG112" s="81"/>
    </row>
    <row r="113">
      <c r="A113" s="176">
        <v>131.0</v>
      </c>
      <c r="B113" s="456" t="s">
        <v>286</v>
      </c>
      <c r="C113" s="287" t="s">
        <v>282</v>
      </c>
      <c r="D113" s="245"/>
      <c r="E113" s="245"/>
      <c r="F113" s="373"/>
      <c r="G113" s="373"/>
      <c r="H113" s="373"/>
      <c r="I113" s="245">
        <v>3.33</v>
      </c>
      <c r="J113" s="245">
        <v>0.57</v>
      </c>
      <c r="K113" s="245">
        <v>0.1</v>
      </c>
      <c r="L113" s="373"/>
      <c r="M113" s="373"/>
      <c r="N113" s="180">
        <v>1.0</v>
      </c>
      <c r="O113" s="180">
        <v>1.0</v>
      </c>
      <c r="P113" s="5"/>
      <c r="Q113" s="176">
        <f t="shared" ref="Q113:T113" si="320">round(J113/6,2)</f>
        <v>0.1</v>
      </c>
      <c r="R113" s="176">
        <f t="shared" si="320"/>
        <v>0.02</v>
      </c>
      <c r="S113" s="176">
        <f t="shared" si="320"/>
        <v>0</v>
      </c>
      <c r="T113" s="176">
        <f t="shared" si="320"/>
        <v>0</v>
      </c>
      <c r="U113" s="5"/>
      <c r="V113" s="184"/>
      <c r="W113" s="184"/>
      <c r="X113" s="184"/>
      <c r="Y113" s="184"/>
      <c r="Z113" s="184"/>
      <c r="AA113" s="176">
        <v>1.0</v>
      </c>
      <c r="AB113" s="5"/>
      <c r="AC113" s="184"/>
      <c r="AD113" s="184"/>
      <c r="AE113" s="184"/>
      <c r="AF113" s="184"/>
      <c r="AG113" s="184"/>
      <c r="AH113" s="184"/>
      <c r="AI113" s="5"/>
      <c r="AJ113" s="184">
        <f t="shared" si="260"/>
        <v>0.34</v>
      </c>
      <c r="AK113" s="184">
        <f t="shared" si="253"/>
        <v>0.062</v>
      </c>
      <c r="AL113" s="184">
        <f t="shared" ref="AL113:AM113" si="321">ROUND(G113*(5/12)+L113*(5/12)+S113+X113-AE113,2)</f>
        <v>0</v>
      </c>
      <c r="AM113" s="184">
        <f t="shared" si="321"/>
        <v>0</v>
      </c>
      <c r="AN113" s="184">
        <f t="shared" ref="AN113:AO113" si="322">N113+Z113-AG113</f>
        <v>1</v>
      </c>
      <c r="AO113" s="184">
        <f t="shared" si="322"/>
        <v>2</v>
      </c>
      <c r="AP113" s="5"/>
      <c r="AQ113" s="176">
        <v>0.25</v>
      </c>
      <c r="AR113" s="176">
        <v>0.0</v>
      </c>
      <c r="AS113" s="176" t="s">
        <v>913</v>
      </c>
      <c r="AT113" s="176" t="s">
        <v>913</v>
      </c>
      <c r="AU113" s="176">
        <v>0.0</v>
      </c>
      <c r="AV113" s="176">
        <v>0.0</v>
      </c>
      <c r="AW113" s="180" t="s">
        <v>2134</v>
      </c>
      <c r="AX113" s="5"/>
      <c r="AY113" s="417"/>
      <c r="BA113" s="81"/>
      <c r="BB113" s="81"/>
      <c r="BC113" s="81"/>
      <c r="BD113" s="81"/>
      <c r="BE113" s="81"/>
      <c r="BF113" s="81"/>
      <c r="BG113" s="81"/>
    </row>
    <row r="114">
      <c r="A114" s="176">
        <v>132.0</v>
      </c>
      <c r="B114" s="456" t="s">
        <v>287</v>
      </c>
      <c r="C114" s="287" t="s">
        <v>282</v>
      </c>
      <c r="D114" s="245"/>
      <c r="E114" s="245"/>
      <c r="F114" s="373"/>
      <c r="G114" s="401"/>
      <c r="H114" s="373"/>
      <c r="I114" s="245">
        <v>3.33</v>
      </c>
      <c r="J114" s="245">
        <v>0.57</v>
      </c>
      <c r="K114" s="245">
        <v>0.1</v>
      </c>
      <c r="L114" s="373"/>
      <c r="M114" s="373"/>
      <c r="N114" s="180">
        <v>1.0</v>
      </c>
      <c r="O114" s="180">
        <v>1.0</v>
      </c>
      <c r="P114" s="5"/>
      <c r="Q114" s="176">
        <f t="shared" ref="Q114:T114" si="323">round(J114/6,2)</f>
        <v>0.1</v>
      </c>
      <c r="R114" s="176">
        <f t="shared" si="323"/>
        <v>0.02</v>
      </c>
      <c r="S114" s="176">
        <f t="shared" si="323"/>
        <v>0</v>
      </c>
      <c r="T114" s="176">
        <f t="shared" si="323"/>
        <v>0</v>
      </c>
      <c r="U114" s="5"/>
      <c r="V114" s="184"/>
      <c r="W114" s="184"/>
      <c r="X114" s="184"/>
      <c r="Y114" s="184"/>
      <c r="Z114" s="184"/>
      <c r="AA114" s="184"/>
      <c r="AB114" s="5"/>
      <c r="AC114" s="184"/>
      <c r="AD114" s="184"/>
      <c r="AE114" s="184"/>
      <c r="AF114" s="184"/>
      <c r="AG114" s="184"/>
      <c r="AH114" s="184"/>
      <c r="AI114" s="5"/>
      <c r="AJ114" s="184">
        <f t="shared" si="260"/>
        <v>0.34</v>
      </c>
      <c r="AK114" s="184">
        <f t="shared" si="253"/>
        <v>0.062</v>
      </c>
      <c r="AL114" s="184">
        <f t="shared" ref="AL114:AM114" si="324">ROUND(G114*(5/12)+L114*(5/12)+S114+X114-AE114,2)</f>
        <v>0</v>
      </c>
      <c r="AM114" s="184">
        <f t="shared" si="324"/>
        <v>0</v>
      </c>
      <c r="AN114" s="184">
        <f t="shared" ref="AN114:AO114" si="325">N114+Z114-AG114</f>
        <v>1</v>
      </c>
      <c r="AO114" s="184">
        <f t="shared" si="325"/>
        <v>1</v>
      </c>
      <c r="AP114" s="5"/>
      <c r="AQ114" s="176">
        <v>0.75</v>
      </c>
      <c r="AR114" s="176">
        <v>0.0</v>
      </c>
      <c r="AS114" s="176">
        <v>0.33</v>
      </c>
      <c r="AT114" s="176" t="s">
        <v>913</v>
      </c>
      <c r="AU114" s="176">
        <v>1.0</v>
      </c>
      <c r="AV114" s="176">
        <v>2.0</v>
      </c>
      <c r="AW114" s="180" t="s">
        <v>2135</v>
      </c>
      <c r="AX114" s="5"/>
      <c r="AY114" s="417"/>
      <c r="BA114" s="81"/>
      <c r="BB114" s="81"/>
      <c r="BC114" s="81"/>
      <c r="BD114" s="81"/>
      <c r="BE114" s="81"/>
      <c r="BF114" s="81"/>
      <c r="BG114" s="81"/>
    </row>
    <row r="115">
      <c r="A115" s="176">
        <v>134.0</v>
      </c>
      <c r="B115" s="458" t="s">
        <v>288</v>
      </c>
      <c r="C115" s="287" t="s">
        <v>282</v>
      </c>
      <c r="D115" s="245"/>
      <c r="E115" s="245"/>
      <c r="F115" s="373"/>
      <c r="G115" s="373"/>
      <c r="H115" s="373"/>
      <c r="I115" s="245">
        <v>3.33</v>
      </c>
      <c r="J115" s="245">
        <v>0.57</v>
      </c>
      <c r="K115" s="245">
        <v>0.1</v>
      </c>
      <c r="L115" s="373"/>
      <c r="M115" s="373"/>
      <c r="N115" s="180">
        <v>1.0</v>
      </c>
      <c r="O115" s="180">
        <v>1.0</v>
      </c>
      <c r="P115" s="5"/>
      <c r="Q115" s="176">
        <f t="shared" ref="Q115:T115" si="326">round(J115/6,2)</f>
        <v>0.1</v>
      </c>
      <c r="R115" s="176">
        <f t="shared" si="326"/>
        <v>0.02</v>
      </c>
      <c r="S115" s="176">
        <f t="shared" si="326"/>
        <v>0</v>
      </c>
      <c r="T115" s="176">
        <f t="shared" si="326"/>
        <v>0</v>
      </c>
      <c r="U115" s="5"/>
      <c r="V115" s="184"/>
      <c r="W115" s="184"/>
      <c r="X115" s="184"/>
      <c r="Y115" s="184"/>
      <c r="Z115" s="184"/>
      <c r="AA115" s="184"/>
      <c r="AB115" s="5"/>
      <c r="AC115" s="184"/>
      <c r="AD115" s="184"/>
      <c r="AE115" s="184"/>
      <c r="AF115" s="184"/>
      <c r="AG115" s="184"/>
      <c r="AH115" s="184"/>
      <c r="AI115" s="5"/>
      <c r="AJ115" s="184">
        <f t="shared" si="260"/>
        <v>0.34</v>
      </c>
      <c r="AK115" s="184">
        <f t="shared" si="253"/>
        <v>0.062</v>
      </c>
      <c r="AL115" s="184">
        <f t="shared" ref="AL115:AM115" si="327">ROUND(G115*(5/12)+L115*(5/12)+S115+X115-AE115,2)</f>
        <v>0</v>
      </c>
      <c r="AM115" s="184">
        <f t="shared" si="327"/>
        <v>0</v>
      </c>
      <c r="AN115" s="213">
        <v>0.67</v>
      </c>
      <c r="AO115" s="213">
        <v>0.67</v>
      </c>
      <c r="AP115" s="5"/>
      <c r="AQ115" s="176">
        <v>0.5</v>
      </c>
      <c r="AR115" s="176">
        <v>0.0</v>
      </c>
      <c r="AS115" s="176" t="s">
        <v>913</v>
      </c>
      <c r="AT115" s="176" t="s">
        <v>913</v>
      </c>
      <c r="AU115" s="176">
        <v>0.0</v>
      </c>
      <c r="AV115" s="176">
        <v>0.0</v>
      </c>
      <c r="AW115" s="180" t="s">
        <v>2136</v>
      </c>
      <c r="AX115" s="5"/>
      <c r="AY115" s="418"/>
      <c r="BA115" s="81"/>
      <c r="BB115" s="81"/>
      <c r="BC115" s="81"/>
      <c r="BD115" s="81"/>
      <c r="BE115" s="81"/>
      <c r="BF115" s="81"/>
      <c r="BG115" s="81"/>
    </row>
    <row r="116">
      <c r="A116" s="176">
        <v>135.0</v>
      </c>
      <c r="B116" s="456" t="s">
        <v>1826</v>
      </c>
      <c r="C116" s="287" t="s">
        <v>249</v>
      </c>
      <c r="D116" s="401"/>
      <c r="E116" s="373"/>
      <c r="F116" s="401"/>
      <c r="G116" s="373"/>
      <c r="H116" s="401"/>
      <c r="I116" s="245">
        <v>2.66</v>
      </c>
      <c r="J116" s="401"/>
      <c r="K116" s="245">
        <v>0.3</v>
      </c>
      <c r="L116" s="401"/>
      <c r="M116" s="245">
        <v>0.1</v>
      </c>
      <c r="N116" s="180">
        <v>1.0</v>
      </c>
      <c r="O116" s="180">
        <v>1.0</v>
      </c>
      <c r="P116" s="5"/>
      <c r="Q116" s="176">
        <f t="shared" ref="Q116:T116" si="328">round(J116/6,2)</f>
        <v>0</v>
      </c>
      <c r="R116" s="176">
        <f t="shared" si="328"/>
        <v>0.05</v>
      </c>
      <c r="S116" s="176">
        <f t="shared" si="328"/>
        <v>0</v>
      </c>
      <c r="T116" s="176">
        <f t="shared" si="328"/>
        <v>0.02</v>
      </c>
      <c r="U116" s="5"/>
      <c r="V116" s="176">
        <v>1.125</v>
      </c>
      <c r="W116" s="184"/>
      <c r="X116" s="184"/>
      <c r="Y116" s="184"/>
      <c r="Z116" s="176">
        <v>1.0</v>
      </c>
      <c r="AA116" s="184"/>
      <c r="AB116" s="5"/>
      <c r="AC116" s="184"/>
      <c r="AD116" s="184"/>
      <c r="AE116" s="184"/>
      <c r="AF116" s="184"/>
      <c r="AG116" s="184"/>
      <c r="AH116" s="184"/>
      <c r="AI116" s="5"/>
      <c r="AJ116" s="184">
        <f t="shared" si="260"/>
        <v>1.13</v>
      </c>
      <c r="AK116" s="184">
        <f t="shared" si="253"/>
        <v>0.175</v>
      </c>
      <c r="AL116" s="184">
        <f t="shared" ref="AL116:AM116" si="329">ROUND(G116*(5/12)+L116*(5/12)+S116+X116-AE116,2)</f>
        <v>0</v>
      </c>
      <c r="AM116" s="184">
        <f t="shared" si="329"/>
        <v>0.06</v>
      </c>
      <c r="AN116" s="184">
        <f t="shared" ref="AN116:AO116" si="330">N116+Z116-AG116</f>
        <v>2</v>
      </c>
      <c r="AO116" s="184">
        <f t="shared" si="330"/>
        <v>1</v>
      </c>
      <c r="AP116" s="5"/>
      <c r="AQ116" s="176">
        <v>0.0</v>
      </c>
      <c r="AR116" s="176">
        <v>0.0</v>
      </c>
      <c r="AS116" s="176" t="s">
        <v>913</v>
      </c>
      <c r="AT116" s="176">
        <v>0.0</v>
      </c>
      <c r="AU116" s="176">
        <v>0.0</v>
      </c>
      <c r="AV116" s="176">
        <v>1.0</v>
      </c>
      <c r="AW116" s="180" t="s">
        <v>2137</v>
      </c>
      <c r="AX116" s="5"/>
      <c r="AY116" s="417"/>
      <c r="BA116" s="81"/>
      <c r="BB116" s="81"/>
      <c r="BC116" s="81"/>
      <c r="BD116" s="81"/>
      <c r="BE116" s="81"/>
      <c r="BF116" s="81"/>
      <c r="BG116" s="81"/>
    </row>
    <row r="117">
      <c r="A117" s="176">
        <v>136.0</v>
      </c>
      <c r="B117" s="456" t="s">
        <v>250</v>
      </c>
      <c r="C117" s="287" t="s">
        <v>249</v>
      </c>
      <c r="D117" s="245"/>
      <c r="E117" s="245"/>
      <c r="F117" s="373"/>
      <c r="G117" s="373"/>
      <c r="H117" s="373"/>
      <c r="I117" s="245">
        <v>3.0</v>
      </c>
      <c r="J117" s="245">
        <v>1.0</v>
      </c>
      <c r="K117" s="373"/>
      <c r="L117" s="373"/>
      <c r="M117" s="373"/>
      <c r="N117" s="180">
        <v>1.0</v>
      </c>
      <c r="O117" s="180">
        <v>1.0</v>
      </c>
      <c r="P117" s="5"/>
      <c r="Q117" s="176">
        <f t="shared" ref="Q117:T117" si="331">round(J117/6,2)</f>
        <v>0.17</v>
      </c>
      <c r="R117" s="176">
        <f t="shared" si="331"/>
        <v>0</v>
      </c>
      <c r="S117" s="176">
        <f t="shared" si="331"/>
        <v>0</v>
      </c>
      <c r="T117" s="176">
        <f t="shared" si="331"/>
        <v>0</v>
      </c>
      <c r="U117" s="5"/>
      <c r="V117" s="184"/>
      <c r="W117" s="176">
        <v>0.5</v>
      </c>
      <c r="X117" s="184"/>
      <c r="Y117" s="184"/>
      <c r="Z117" s="184"/>
      <c r="AA117" s="184"/>
      <c r="AB117" s="5"/>
      <c r="AC117" s="176">
        <v>0.5</v>
      </c>
      <c r="AD117" s="184"/>
      <c r="AE117" s="184"/>
      <c r="AF117" s="184"/>
      <c r="AG117" s="184"/>
      <c r="AH117" s="184"/>
      <c r="AI117" s="5"/>
      <c r="AJ117" s="184">
        <f t="shared" si="260"/>
        <v>0.09</v>
      </c>
      <c r="AK117" s="184">
        <f t="shared" si="253"/>
        <v>0.5</v>
      </c>
      <c r="AL117" s="184">
        <f t="shared" ref="AL117:AM117" si="332">ROUND(G117*(5/12)+L117*(5/12)+S117+X117-AE117,2)</f>
        <v>0</v>
      </c>
      <c r="AM117" s="184">
        <f t="shared" si="332"/>
        <v>0</v>
      </c>
      <c r="AN117" s="184">
        <f t="shared" ref="AN117:AO117" si="333">N117+Z117-AG117</f>
        <v>1</v>
      </c>
      <c r="AO117" s="184">
        <f t="shared" si="333"/>
        <v>1</v>
      </c>
      <c r="AP117" s="5"/>
      <c r="AQ117" s="176">
        <v>0.3</v>
      </c>
      <c r="AR117" s="176">
        <v>0.0</v>
      </c>
      <c r="AS117" s="176" t="s">
        <v>913</v>
      </c>
      <c r="AT117" s="176" t="s">
        <v>913</v>
      </c>
      <c r="AU117" s="176">
        <v>1.0</v>
      </c>
      <c r="AV117" s="176">
        <v>1.0</v>
      </c>
      <c r="AW117" s="180" t="s">
        <v>2138</v>
      </c>
      <c r="AX117" s="5"/>
      <c r="AY117" s="417"/>
      <c r="BA117" s="81"/>
      <c r="BB117" s="81"/>
      <c r="BC117" s="81"/>
      <c r="BD117" s="81"/>
      <c r="BE117" s="81"/>
      <c r="BF117" s="81"/>
      <c r="BG117" s="81"/>
    </row>
    <row r="118">
      <c r="A118" s="176">
        <v>137.0</v>
      </c>
      <c r="B118" s="456" t="s">
        <v>251</v>
      </c>
      <c r="C118" s="287" t="s">
        <v>249</v>
      </c>
      <c r="D118" s="245"/>
      <c r="E118" s="245"/>
      <c r="F118" s="401"/>
      <c r="G118" s="373"/>
      <c r="H118" s="401"/>
      <c r="I118" s="245">
        <v>3.66</v>
      </c>
      <c r="J118" s="401"/>
      <c r="K118" s="245">
        <v>0.1</v>
      </c>
      <c r="L118" s="401"/>
      <c r="M118" s="245">
        <v>0.3</v>
      </c>
      <c r="N118" s="180">
        <v>1.0</v>
      </c>
      <c r="O118" s="180">
        <v>1.0</v>
      </c>
      <c r="P118" s="5"/>
      <c r="Q118" s="176">
        <f t="shared" ref="Q118:T118" si="334">round(J118/6,2)</f>
        <v>0</v>
      </c>
      <c r="R118" s="176">
        <f t="shared" si="334"/>
        <v>0.02</v>
      </c>
      <c r="S118" s="176">
        <f t="shared" si="334"/>
        <v>0</v>
      </c>
      <c r="T118" s="176">
        <f t="shared" si="334"/>
        <v>0.05</v>
      </c>
      <c r="U118" s="5"/>
      <c r="V118" s="176">
        <v>1.0</v>
      </c>
      <c r="W118" s="184"/>
      <c r="X118" s="176">
        <v>1.0</v>
      </c>
      <c r="Y118" s="184"/>
      <c r="Z118" s="176">
        <v>1.0</v>
      </c>
      <c r="AA118" s="176">
        <v>1.0</v>
      </c>
      <c r="AB118" s="5"/>
      <c r="AC118" s="184"/>
      <c r="AD118" s="184"/>
      <c r="AE118" s="184"/>
      <c r="AF118" s="184"/>
      <c r="AG118" s="184"/>
      <c r="AH118" s="184"/>
      <c r="AI118" s="5"/>
      <c r="AJ118" s="184">
        <f t="shared" si="260"/>
        <v>1</v>
      </c>
      <c r="AK118" s="184">
        <f t="shared" si="253"/>
        <v>0.062</v>
      </c>
      <c r="AL118" s="184">
        <f t="shared" ref="AL118:AM118" si="335">ROUND(G118*(5/12)+L118*(5/12)+S118+X118-AE118,2)</f>
        <v>1</v>
      </c>
      <c r="AM118" s="184">
        <f t="shared" si="335"/>
        <v>0.18</v>
      </c>
      <c r="AN118" s="184">
        <f t="shared" ref="AN118:AO118" si="336">N118+Z118-AG118</f>
        <v>2</v>
      </c>
      <c r="AO118" s="184">
        <f t="shared" si="336"/>
        <v>2</v>
      </c>
      <c r="AP118" s="5"/>
      <c r="AQ118" s="176">
        <v>0.0</v>
      </c>
      <c r="AR118" s="176">
        <v>0.0</v>
      </c>
      <c r="AS118" s="176">
        <v>0.0</v>
      </c>
      <c r="AT118" s="176">
        <v>0.0</v>
      </c>
      <c r="AU118" s="176">
        <v>0.0</v>
      </c>
      <c r="AV118" s="176">
        <v>0.0</v>
      </c>
      <c r="AW118" s="180" t="s">
        <v>2139</v>
      </c>
      <c r="AX118" s="5"/>
      <c r="AY118" s="413"/>
      <c r="BA118" s="81"/>
      <c r="BB118" s="81"/>
      <c r="BC118" s="81"/>
      <c r="BD118" s="81"/>
      <c r="BE118" s="81"/>
      <c r="BF118" s="81"/>
      <c r="BG118" s="81"/>
    </row>
    <row r="119">
      <c r="A119" s="176">
        <v>138.0</v>
      </c>
      <c r="B119" s="459" t="s">
        <v>1831</v>
      </c>
      <c r="C119" s="287" t="s">
        <v>249</v>
      </c>
      <c r="D119" s="401"/>
      <c r="E119" s="401"/>
      <c r="F119" s="401"/>
      <c r="G119" s="373"/>
      <c r="H119" s="373"/>
      <c r="I119" s="245">
        <v>3.66</v>
      </c>
      <c r="J119" s="245">
        <v>0.14</v>
      </c>
      <c r="K119" s="245">
        <v>0.2</v>
      </c>
      <c r="L119" s="373"/>
      <c r="M119" s="373"/>
      <c r="N119" s="180">
        <v>1.0</v>
      </c>
      <c r="O119" s="180">
        <v>1.0</v>
      </c>
      <c r="P119" s="5"/>
      <c r="Q119" s="176">
        <f t="shared" ref="Q119:T119" si="337">round(J119/6,2)</f>
        <v>0.02</v>
      </c>
      <c r="R119" s="176">
        <f t="shared" si="337"/>
        <v>0.03</v>
      </c>
      <c r="S119" s="176">
        <f t="shared" si="337"/>
        <v>0</v>
      </c>
      <c r="T119" s="176">
        <f t="shared" si="337"/>
        <v>0</v>
      </c>
      <c r="U119" s="5"/>
      <c r="V119" s="176">
        <v>0.625</v>
      </c>
      <c r="W119" s="184"/>
      <c r="X119" s="184"/>
      <c r="Y119" s="184"/>
      <c r="Z119" s="176">
        <v>1.0</v>
      </c>
      <c r="AA119" s="184"/>
      <c r="AB119" s="5"/>
      <c r="AC119" s="184"/>
      <c r="AD119" s="184"/>
      <c r="AE119" s="184"/>
      <c r="AF119" s="184"/>
      <c r="AG119" s="184"/>
      <c r="AH119" s="184"/>
      <c r="AI119" s="5"/>
      <c r="AJ119" s="184">
        <f t="shared" si="260"/>
        <v>0.7</v>
      </c>
      <c r="AK119" s="184">
        <f t="shared" si="253"/>
        <v>0.113</v>
      </c>
      <c r="AL119" s="184">
        <f t="shared" ref="AL119:AM119" si="338">ROUND(G119*(5/12)+L119*(5/12)+S119+X119-AE119,2)</f>
        <v>0</v>
      </c>
      <c r="AM119" s="184">
        <f t="shared" si="338"/>
        <v>0</v>
      </c>
      <c r="AN119" s="184">
        <f t="shared" ref="AN119:AO119" si="339">N119+Z119-AG119</f>
        <v>2</v>
      </c>
      <c r="AO119" s="184">
        <f t="shared" si="339"/>
        <v>1</v>
      </c>
      <c r="AP119" s="5"/>
      <c r="AQ119" s="176">
        <v>0.0</v>
      </c>
      <c r="AR119" s="176">
        <v>0.0</v>
      </c>
      <c r="AS119" s="176" t="s">
        <v>913</v>
      </c>
      <c r="AT119" s="176" t="s">
        <v>913</v>
      </c>
      <c r="AU119" s="176">
        <v>2.0</v>
      </c>
      <c r="AV119" s="176">
        <v>1.0</v>
      </c>
      <c r="AW119" s="180" t="s">
        <v>2140</v>
      </c>
      <c r="AX119" s="5"/>
      <c r="AY119" s="416"/>
      <c r="BA119" s="81"/>
      <c r="BB119" s="81"/>
      <c r="BC119" s="81"/>
      <c r="BD119" s="81"/>
      <c r="BE119" s="81"/>
      <c r="BF119" s="81"/>
      <c r="BG119" s="81"/>
    </row>
    <row r="120">
      <c r="A120" s="176">
        <v>139.0</v>
      </c>
      <c r="B120" s="456" t="s">
        <v>1834</v>
      </c>
      <c r="C120" s="287" t="s">
        <v>249</v>
      </c>
      <c r="D120" s="401"/>
      <c r="E120" s="401"/>
      <c r="F120" s="373"/>
      <c r="G120" s="373"/>
      <c r="H120" s="373"/>
      <c r="I120" s="245">
        <v>3.66</v>
      </c>
      <c r="J120" s="245">
        <v>0.34</v>
      </c>
      <c r="K120" s="373"/>
      <c r="L120" s="373"/>
      <c r="M120" s="373"/>
      <c r="N120" s="180">
        <v>1.0</v>
      </c>
      <c r="O120" s="180">
        <v>1.0</v>
      </c>
      <c r="P120" s="5"/>
      <c r="Q120" s="176">
        <f t="shared" ref="Q120:T120" si="340">round(J120/6,2)</f>
        <v>0.06</v>
      </c>
      <c r="R120" s="176">
        <f t="shared" si="340"/>
        <v>0</v>
      </c>
      <c r="S120" s="176">
        <f t="shared" si="340"/>
        <v>0</v>
      </c>
      <c r="T120" s="176">
        <f t="shared" si="340"/>
        <v>0</v>
      </c>
      <c r="U120" s="5"/>
      <c r="V120" s="460">
        <v>1625.0</v>
      </c>
      <c r="W120" s="184"/>
      <c r="X120" s="184"/>
      <c r="Y120" s="184"/>
      <c r="Z120" s="176">
        <v>2.0</v>
      </c>
      <c r="AA120" s="184"/>
      <c r="AB120" s="5"/>
      <c r="AC120" s="184"/>
      <c r="AD120" s="184"/>
      <c r="AE120" s="184"/>
      <c r="AF120" s="184"/>
      <c r="AG120" s="184"/>
      <c r="AH120" s="184"/>
      <c r="AI120" s="5"/>
      <c r="AJ120" s="176">
        <v>1.625</v>
      </c>
      <c r="AK120" s="184">
        <f t="shared" si="253"/>
        <v>0</v>
      </c>
      <c r="AL120" s="184">
        <f t="shared" ref="AL120:AM120" si="341">ROUND(G120*(5/12)+L120*(5/12)+S120+X120-AE120,2)</f>
        <v>0</v>
      </c>
      <c r="AM120" s="184">
        <f t="shared" si="341"/>
        <v>0</v>
      </c>
      <c r="AN120" s="184">
        <f t="shared" ref="AN120:AO120" si="342">N120+Z120-AG120</f>
        <v>3</v>
      </c>
      <c r="AO120" s="184">
        <f t="shared" si="342"/>
        <v>1</v>
      </c>
      <c r="AP120" s="5"/>
      <c r="AQ120" s="176">
        <v>0.0</v>
      </c>
      <c r="AR120" s="176" t="s">
        <v>913</v>
      </c>
      <c r="AS120" s="176" t="s">
        <v>913</v>
      </c>
      <c r="AT120" s="176" t="s">
        <v>913</v>
      </c>
      <c r="AU120" s="176">
        <v>0.0</v>
      </c>
      <c r="AV120" s="176">
        <v>1.0</v>
      </c>
      <c r="AW120" s="180" t="s">
        <v>2141</v>
      </c>
      <c r="AX120" s="5"/>
      <c r="AY120" s="418"/>
      <c r="BA120" s="81"/>
      <c r="BB120" s="81"/>
      <c r="BC120" s="81"/>
      <c r="BD120" s="81"/>
      <c r="BE120" s="81"/>
      <c r="BF120" s="81"/>
      <c r="BG120" s="81"/>
    </row>
    <row r="121">
      <c r="A121" s="176">
        <v>140.0</v>
      </c>
      <c r="B121" s="456" t="s">
        <v>2142</v>
      </c>
      <c r="C121" s="287" t="s">
        <v>249</v>
      </c>
      <c r="D121" s="401"/>
      <c r="E121" s="401"/>
      <c r="F121" s="373"/>
      <c r="G121" s="373"/>
      <c r="H121" s="373"/>
      <c r="I121" s="245">
        <v>3.66</v>
      </c>
      <c r="J121" s="245">
        <v>0.34</v>
      </c>
      <c r="K121" s="373"/>
      <c r="L121" s="373"/>
      <c r="M121" s="373"/>
      <c r="N121" s="180">
        <v>1.0</v>
      </c>
      <c r="O121" s="180">
        <v>1.0</v>
      </c>
      <c r="P121" s="5"/>
      <c r="Q121" s="176">
        <f t="shared" ref="Q121:T121" si="343">round(J121/6,2)</f>
        <v>0.06</v>
      </c>
      <c r="R121" s="176">
        <f t="shared" si="343"/>
        <v>0</v>
      </c>
      <c r="S121" s="176">
        <f t="shared" si="343"/>
        <v>0</v>
      </c>
      <c r="T121" s="176">
        <f t="shared" si="343"/>
        <v>0</v>
      </c>
      <c r="U121" s="5"/>
      <c r="V121" s="176">
        <v>2.0</v>
      </c>
      <c r="W121" s="176">
        <v>0.6</v>
      </c>
      <c r="X121" s="184"/>
      <c r="Y121" s="184"/>
      <c r="Z121" s="176">
        <v>1.0</v>
      </c>
      <c r="AA121" s="184"/>
      <c r="AB121" s="5"/>
      <c r="AC121" s="184"/>
      <c r="AD121" s="184"/>
      <c r="AE121" s="184"/>
      <c r="AF121" s="184"/>
      <c r="AG121" s="184"/>
      <c r="AH121" s="184"/>
      <c r="AI121" s="5"/>
      <c r="AJ121" s="184">
        <f t="shared" ref="AJ121:AJ142" si="347">ROUND(E121*(5/12)+J121*(5/12)+Q121+V121-AC121,2)</f>
        <v>2.2</v>
      </c>
      <c r="AK121" s="184">
        <f t="shared" si="253"/>
        <v>0.6</v>
      </c>
      <c r="AL121" s="184">
        <f t="shared" ref="AL121:AM121" si="344">ROUND(G121*(5/12)+L121*(5/12)+S121+X121-AE121,2)</f>
        <v>0</v>
      </c>
      <c r="AM121" s="184">
        <f t="shared" si="344"/>
        <v>0</v>
      </c>
      <c r="AN121" s="184">
        <f t="shared" ref="AN121:AO121" si="345">N121+Z121-AG121</f>
        <v>2</v>
      </c>
      <c r="AO121" s="184">
        <f t="shared" si="345"/>
        <v>1</v>
      </c>
      <c r="AP121" s="5"/>
      <c r="AQ121" s="176">
        <v>0.0</v>
      </c>
      <c r="AR121" s="176">
        <v>0.0</v>
      </c>
      <c r="AS121" s="176" t="s">
        <v>913</v>
      </c>
      <c r="AT121" s="176" t="s">
        <v>913</v>
      </c>
      <c r="AU121" s="176">
        <v>1.0</v>
      </c>
      <c r="AV121" s="176">
        <v>0.0</v>
      </c>
      <c r="AW121" s="180" t="s">
        <v>2143</v>
      </c>
      <c r="AX121" s="5"/>
      <c r="AY121" s="457"/>
      <c r="BA121" s="81"/>
      <c r="BB121" s="81"/>
      <c r="BC121" s="81"/>
      <c r="BD121" s="81"/>
      <c r="BE121" s="81"/>
      <c r="BF121" s="81"/>
      <c r="BG121" s="81"/>
    </row>
    <row r="122">
      <c r="A122" s="176">
        <v>141.0</v>
      </c>
      <c r="B122" s="456" t="s">
        <v>254</v>
      </c>
      <c r="C122" s="287" t="s">
        <v>249</v>
      </c>
      <c r="D122" s="401"/>
      <c r="E122" s="401"/>
      <c r="F122" s="401"/>
      <c r="G122" s="373"/>
      <c r="H122" s="373"/>
      <c r="I122" s="245">
        <v>2.66</v>
      </c>
      <c r="J122" s="245">
        <v>1.14</v>
      </c>
      <c r="K122" s="245">
        <v>0.2</v>
      </c>
      <c r="L122" s="373"/>
      <c r="M122" s="373"/>
      <c r="N122" s="180">
        <v>1.0</v>
      </c>
      <c r="O122" s="180">
        <v>1.0</v>
      </c>
      <c r="P122" s="5"/>
      <c r="Q122" s="176">
        <f t="shared" ref="Q122:T122" si="346">round(J122/6,2)</f>
        <v>0.19</v>
      </c>
      <c r="R122" s="176">
        <f t="shared" si="346"/>
        <v>0.03</v>
      </c>
      <c r="S122" s="176">
        <f t="shared" si="346"/>
        <v>0</v>
      </c>
      <c r="T122" s="176">
        <f t="shared" si="346"/>
        <v>0</v>
      </c>
      <c r="U122" s="5"/>
      <c r="V122" s="184"/>
      <c r="W122" s="184"/>
      <c r="X122" s="184"/>
      <c r="Y122" s="184"/>
      <c r="Z122" s="184"/>
      <c r="AA122" s="184"/>
      <c r="AB122" s="5"/>
      <c r="AC122" s="176">
        <v>1.0</v>
      </c>
      <c r="AD122" s="184"/>
      <c r="AE122" s="184"/>
      <c r="AF122" s="184"/>
      <c r="AG122" s="184"/>
      <c r="AH122" s="184"/>
      <c r="AI122" s="5"/>
      <c r="AJ122" s="184">
        <f t="shared" si="347"/>
        <v>-0.34</v>
      </c>
      <c r="AK122" s="184">
        <f t="shared" si="253"/>
        <v>0.113</v>
      </c>
      <c r="AL122" s="184">
        <f t="shared" ref="AL122:AM122" si="348">ROUND(G122*(5/12)+L122*(5/12)+S122+X122-AE122,2)</f>
        <v>0</v>
      </c>
      <c r="AM122" s="184">
        <f t="shared" si="348"/>
        <v>0</v>
      </c>
      <c r="AN122" s="184">
        <f t="shared" ref="AN122:AO122" si="349">N122+Z122-AG122</f>
        <v>1</v>
      </c>
      <c r="AO122" s="184">
        <f t="shared" si="349"/>
        <v>1</v>
      </c>
      <c r="AP122" s="5"/>
      <c r="AQ122" s="176">
        <v>1.6</v>
      </c>
      <c r="AR122" s="176">
        <v>0.122</v>
      </c>
      <c r="AS122" s="176" t="s">
        <v>913</v>
      </c>
      <c r="AT122" s="176" t="s">
        <v>913</v>
      </c>
      <c r="AU122" s="176">
        <v>1.0</v>
      </c>
      <c r="AV122" s="176">
        <v>0.25</v>
      </c>
      <c r="AW122" s="180" t="s">
        <v>2144</v>
      </c>
      <c r="AX122" s="5"/>
      <c r="AY122" s="416"/>
      <c r="BA122" s="81"/>
      <c r="BB122" s="81"/>
      <c r="BC122" s="81"/>
      <c r="BD122" s="81"/>
      <c r="BE122" s="81"/>
      <c r="BF122" s="81"/>
      <c r="BG122" s="81"/>
    </row>
    <row r="123">
      <c r="A123" s="176">
        <v>142.0</v>
      </c>
      <c r="B123" s="456" t="s">
        <v>1839</v>
      </c>
      <c r="C123" s="287" t="s">
        <v>249</v>
      </c>
      <c r="D123" s="401"/>
      <c r="E123" s="401"/>
      <c r="F123" s="373"/>
      <c r="G123" s="401"/>
      <c r="H123" s="373"/>
      <c r="I123" s="245">
        <v>3.0</v>
      </c>
      <c r="J123" s="245">
        <v>0.6</v>
      </c>
      <c r="K123" s="373"/>
      <c r="L123" s="245">
        <v>0.4</v>
      </c>
      <c r="M123" s="373"/>
      <c r="N123" s="180">
        <v>1.0</v>
      </c>
      <c r="O123" s="180">
        <v>1.0</v>
      </c>
      <c r="P123" s="5"/>
      <c r="Q123" s="176">
        <f t="shared" ref="Q123:T123" si="350">round(J123/6,2)</f>
        <v>0.1</v>
      </c>
      <c r="R123" s="176">
        <f t="shared" si="350"/>
        <v>0</v>
      </c>
      <c r="S123" s="176">
        <f t="shared" si="350"/>
        <v>0.07</v>
      </c>
      <c r="T123" s="176">
        <f t="shared" si="350"/>
        <v>0</v>
      </c>
      <c r="U123" s="5"/>
      <c r="V123" s="176">
        <v>0.125</v>
      </c>
      <c r="W123" s="176">
        <v>0.49</v>
      </c>
      <c r="X123" s="176">
        <v>0.5</v>
      </c>
      <c r="Y123" s="184"/>
      <c r="Z123" s="198"/>
      <c r="AA123" s="198"/>
      <c r="AB123" s="5"/>
      <c r="AC123" s="184"/>
      <c r="AD123" s="184"/>
      <c r="AE123" s="184"/>
      <c r="AF123" s="184"/>
      <c r="AG123" s="184"/>
      <c r="AH123" s="184"/>
      <c r="AI123" s="5"/>
      <c r="AJ123" s="184">
        <f t="shared" si="347"/>
        <v>0.48</v>
      </c>
      <c r="AK123" s="184">
        <f t="shared" si="253"/>
        <v>0.49</v>
      </c>
      <c r="AL123" s="184">
        <f t="shared" ref="AL123:AM123" si="351">ROUND(G123*(5/12)+L123*(5/12)+S123+X123-AE123,2)</f>
        <v>0.74</v>
      </c>
      <c r="AM123" s="184">
        <f t="shared" si="351"/>
        <v>0</v>
      </c>
      <c r="AN123" s="184">
        <f t="shared" ref="AN123:AO123" si="352">N123+Z123-AG123</f>
        <v>1</v>
      </c>
      <c r="AO123" s="184">
        <f t="shared" si="352"/>
        <v>1</v>
      </c>
      <c r="AP123" s="5"/>
      <c r="AQ123" s="176">
        <v>1.2</v>
      </c>
      <c r="AR123" s="176">
        <v>0.0</v>
      </c>
      <c r="AS123" s="176">
        <v>0.0</v>
      </c>
      <c r="AT123" s="176" t="s">
        <v>913</v>
      </c>
      <c r="AU123" s="176">
        <v>1.0</v>
      </c>
      <c r="AV123" s="176">
        <v>1.0</v>
      </c>
      <c r="AW123" s="180" t="s">
        <v>2145</v>
      </c>
      <c r="AX123" s="5"/>
      <c r="AY123" s="417"/>
      <c r="BA123" s="81"/>
      <c r="BB123" s="81"/>
      <c r="BC123" s="81"/>
      <c r="BD123" s="81"/>
      <c r="BE123" s="198">
        <v>0.58</v>
      </c>
      <c r="BF123" s="198">
        <v>0.58</v>
      </c>
      <c r="BG123" s="198"/>
    </row>
    <row r="124">
      <c r="A124" s="176">
        <v>143.0</v>
      </c>
      <c r="B124" s="377" t="s">
        <v>160</v>
      </c>
      <c r="C124" s="287" t="s">
        <v>161</v>
      </c>
      <c r="D124" s="401"/>
      <c r="E124" s="401"/>
      <c r="F124" s="461"/>
      <c r="G124" s="462"/>
      <c r="H124" s="461"/>
      <c r="I124" s="380">
        <v>2.0</v>
      </c>
      <c r="J124" s="380">
        <v>1.0</v>
      </c>
      <c r="K124" s="461"/>
      <c r="L124" s="461"/>
      <c r="M124" s="461"/>
      <c r="N124" s="180">
        <v>1.0</v>
      </c>
      <c r="O124" s="180">
        <v>1.0</v>
      </c>
      <c r="P124" s="5"/>
      <c r="Q124" s="176">
        <f t="shared" ref="Q124:T124" si="353">round(J124/6,2)</f>
        <v>0.17</v>
      </c>
      <c r="R124" s="176">
        <f t="shared" si="353"/>
        <v>0</v>
      </c>
      <c r="S124" s="176">
        <f t="shared" si="353"/>
        <v>0</v>
      </c>
      <c r="T124" s="176">
        <f t="shared" si="353"/>
        <v>0</v>
      </c>
      <c r="U124" s="5"/>
      <c r="V124" s="184"/>
      <c r="W124" s="184"/>
      <c r="X124" s="176">
        <v>0.375</v>
      </c>
      <c r="Y124" s="184"/>
      <c r="Z124" s="176">
        <v>1.0</v>
      </c>
      <c r="AA124" s="176">
        <v>1.0</v>
      </c>
      <c r="AB124" s="5"/>
      <c r="AC124" s="184"/>
      <c r="AD124" s="184"/>
      <c r="AE124" s="184"/>
      <c r="AF124" s="184"/>
      <c r="AG124" s="184"/>
      <c r="AH124" s="184"/>
      <c r="AI124" s="5"/>
      <c r="AJ124" s="184">
        <f t="shared" si="347"/>
        <v>0.59</v>
      </c>
      <c r="AK124" s="184">
        <f t="shared" si="253"/>
        <v>0</v>
      </c>
      <c r="AL124" s="184">
        <f t="shared" ref="AL124:AM124" si="354">ROUND(G124*(5/12)+L124*(5/12)+S124+X124-AE124,2)</f>
        <v>0.38</v>
      </c>
      <c r="AM124" s="184">
        <f t="shared" si="354"/>
        <v>0</v>
      </c>
      <c r="AN124" s="184">
        <f t="shared" ref="AN124:AO124" si="355">N124+Z124-AG124</f>
        <v>2</v>
      </c>
      <c r="AO124" s="184">
        <f t="shared" si="355"/>
        <v>2</v>
      </c>
      <c r="AP124" s="5"/>
      <c r="AQ124" s="176">
        <v>0.1</v>
      </c>
      <c r="AR124" s="176" t="s">
        <v>913</v>
      </c>
      <c r="AS124" s="176">
        <v>0.0</v>
      </c>
      <c r="AT124" s="176" t="s">
        <v>913</v>
      </c>
      <c r="AU124" s="176">
        <v>0.0</v>
      </c>
      <c r="AV124" s="176">
        <v>1.0</v>
      </c>
      <c r="AW124" s="180" t="s">
        <v>2146</v>
      </c>
      <c r="AX124" s="5"/>
      <c r="AY124" s="416"/>
      <c r="BA124" s="81"/>
      <c r="BB124" s="81"/>
      <c r="BC124" s="81"/>
      <c r="BD124" s="81"/>
      <c r="BE124" s="81"/>
      <c r="BF124" s="81"/>
      <c r="BG124" s="81"/>
    </row>
    <row r="125">
      <c r="A125" s="176">
        <v>145.0</v>
      </c>
      <c r="B125" s="372" t="s">
        <v>2147</v>
      </c>
      <c r="C125" s="287" t="s">
        <v>161</v>
      </c>
      <c r="D125" s="401"/>
      <c r="E125" s="401"/>
      <c r="F125" s="461"/>
      <c r="G125" s="380"/>
      <c r="H125" s="461"/>
      <c r="I125" s="380">
        <v>2.0</v>
      </c>
      <c r="J125" s="380">
        <v>1.5</v>
      </c>
      <c r="K125" s="461"/>
      <c r="L125" s="380">
        <v>0.5</v>
      </c>
      <c r="M125" s="461"/>
      <c r="N125" s="180">
        <v>1.0</v>
      </c>
      <c r="O125" s="180">
        <v>1.0</v>
      </c>
      <c r="P125" s="5"/>
      <c r="Q125" s="176">
        <f t="shared" ref="Q125:T125" si="356">round(J125/6,2)</f>
        <v>0.25</v>
      </c>
      <c r="R125" s="176">
        <f t="shared" si="356"/>
        <v>0</v>
      </c>
      <c r="S125" s="176">
        <f t="shared" si="356"/>
        <v>0.08</v>
      </c>
      <c r="T125" s="176">
        <f t="shared" si="356"/>
        <v>0</v>
      </c>
      <c r="U125" s="5"/>
      <c r="V125" s="184"/>
      <c r="W125" s="184"/>
      <c r="X125" s="184"/>
      <c r="Y125" s="184"/>
      <c r="Z125" s="184"/>
      <c r="AA125" s="184"/>
      <c r="AB125" s="5"/>
      <c r="AC125" s="184"/>
      <c r="AD125" s="184"/>
      <c r="AE125" s="184"/>
      <c r="AF125" s="184"/>
      <c r="AG125" s="184"/>
      <c r="AH125" s="184"/>
      <c r="AI125" s="5"/>
      <c r="AJ125" s="184">
        <f t="shared" si="347"/>
        <v>0.88</v>
      </c>
      <c r="AK125" s="184">
        <f t="shared" si="253"/>
        <v>0</v>
      </c>
      <c r="AL125" s="184">
        <f t="shared" ref="AL125:AM125" si="357">ROUND(G125*(5/12)+L125*(5/12)+S125+X125-AE125,2)</f>
        <v>0.29</v>
      </c>
      <c r="AM125" s="184">
        <f t="shared" si="357"/>
        <v>0</v>
      </c>
      <c r="AN125" s="184">
        <f t="shared" ref="AN125:AO125" si="358">N125+Z125-AG125</f>
        <v>1</v>
      </c>
      <c r="AO125" s="184">
        <f t="shared" si="358"/>
        <v>1</v>
      </c>
      <c r="AP125" s="5"/>
      <c r="AQ125" s="176">
        <v>1.1</v>
      </c>
      <c r="AR125" s="176" t="s">
        <v>913</v>
      </c>
      <c r="AS125" s="176">
        <v>0.495</v>
      </c>
      <c r="AT125" s="176" t="s">
        <v>913</v>
      </c>
      <c r="AU125" s="176">
        <v>1.0</v>
      </c>
      <c r="AV125" s="176">
        <v>1.0</v>
      </c>
      <c r="AW125" s="180" t="s">
        <v>2148</v>
      </c>
      <c r="AX125" s="5"/>
      <c r="AY125" s="418"/>
      <c r="BA125" s="81"/>
      <c r="BB125" s="81"/>
      <c r="BC125" s="81"/>
      <c r="BD125" s="81"/>
      <c r="BE125" s="81"/>
      <c r="BF125" s="81"/>
      <c r="BG125" s="81"/>
    </row>
    <row r="126">
      <c r="A126" s="176">
        <v>146.0</v>
      </c>
      <c r="B126" s="377" t="s">
        <v>2149</v>
      </c>
      <c r="C126" s="287" t="s">
        <v>161</v>
      </c>
      <c r="D126" s="245"/>
      <c r="E126" s="401"/>
      <c r="F126" s="461"/>
      <c r="G126" s="380"/>
      <c r="H126" s="461"/>
      <c r="I126" s="380">
        <v>3.0</v>
      </c>
      <c r="J126" s="380">
        <v>0.5</v>
      </c>
      <c r="K126" s="461"/>
      <c r="L126" s="380">
        <v>0.5</v>
      </c>
      <c r="M126" s="461"/>
      <c r="N126" s="180">
        <v>1.0</v>
      </c>
      <c r="O126" s="180">
        <v>1.0</v>
      </c>
      <c r="P126" s="5"/>
      <c r="Q126" s="176">
        <f t="shared" ref="Q126:T126" si="359">round(J126/6,2)</f>
        <v>0.08</v>
      </c>
      <c r="R126" s="176">
        <f t="shared" si="359"/>
        <v>0</v>
      </c>
      <c r="S126" s="176">
        <f t="shared" si="359"/>
        <v>0.08</v>
      </c>
      <c r="T126" s="176">
        <f t="shared" si="359"/>
        <v>0</v>
      </c>
      <c r="U126" s="5"/>
      <c r="V126" s="198"/>
      <c r="W126" s="184"/>
      <c r="X126" s="184"/>
      <c r="Y126" s="184"/>
      <c r="Z126" s="198"/>
      <c r="AA126" s="198"/>
      <c r="AB126" s="5"/>
      <c r="AC126" s="184"/>
      <c r="AD126" s="184"/>
      <c r="AE126" s="184"/>
      <c r="AF126" s="184"/>
      <c r="AG126" s="184"/>
      <c r="AH126" s="184"/>
      <c r="AI126" s="5"/>
      <c r="AJ126" s="184">
        <f t="shared" si="347"/>
        <v>0.29</v>
      </c>
      <c r="AK126" s="184">
        <f t="shared" si="253"/>
        <v>0</v>
      </c>
      <c r="AL126" s="184">
        <f t="shared" ref="AL126:AM126" si="360">ROUND(G126*(5/12)+L126*(5/12)+S126+X126-AE126,2)</f>
        <v>0.29</v>
      </c>
      <c r="AM126" s="184">
        <f t="shared" si="360"/>
        <v>0</v>
      </c>
      <c r="AN126" s="184">
        <f t="shared" ref="AN126:AO126" si="361">N126+Z126-AG126</f>
        <v>1</v>
      </c>
      <c r="AO126" s="184">
        <f t="shared" si="361"/>
        <v>1</v>
      </c>
      <c r="AP126" s="5"/>
      <c r="AQ126" s="176">
        <v>0.5</v>
      </c>
      <c r="AR126" s="176">
        <v>0.0</v>
      </c>
      <c r="AS126" s="176">
        <v>0.165</v>
      </c>
      <c r="AT126" s="176">
        <v>0.0</v>
      </c>
      <c r="AU126" s="176">
        <v>0.0</v>
      </c>
      <c r="AV126" s="176">
        <v>0.0</v>
      </c>
      <c r="AW126" s="180" t="s">
        <v>2150</v>
      </c>
      <c r="AX126" s="5"/>
      <c r="AY126" s="418"/>
      <c r="BA126" s="198">
        <v>0.58</v>
      </c>
      <c r="BB126" s="184"/>
      <c r="BC126" s="184"/>
      <c r="BD126" s="184"/>
      <c r="BE126" s="198">
        <v>0.75</v>
      </c>
      <c r="BF126" s="339">
        <v>0.75</v>
      </c>
      <c r="BG126" s="256" t="s">
        <v>2151</v>
      </c>
    </row>
    <row r="127">
      <c r="A127" s="176">
        <v>147.0</v>
      </c>
      <c r="B127" s="372" t="s">
        <v>2152</v>
      </c>
      <c r="C127" s="287" t="s">
        <v>1409</v>
      </c>
      <c r="D127" s="245"/>
      <c r="E127" s="245"/>
      <c r="F127" s="461"/>
      <c r="G127" s="380"/>
      <c r="H127" s="461"/>
      <c r="I127" s="380">
        <v>1.0</v>
      </c>
      <c r="J127" s="380">
        <v>1.8</v>
      </c>
      <c r="K127" s="461"/>
      <c r="L127" s="380">
        <v>0.2</v>
      </c>
      <c r="M127" s="461"/>
      <c r="N127" s="180">
        <v>1.0</v>
      </c>
      <c r="O127" s="180">
        <v>1.0</v>
      </c>
      <c r="P127" s="5"/>
      <c r="Q127" s="176">
        <f t="shared" ref="Q127:T127" si="362">round(J127/6,2)</f>
        <v>0.3</v>
      </c>
      <c r="R127" s="176">
        <f t="shared" si="362"/>
        <v>0</v>
      </c>
      <c r="S127" s="176">
        <f t="shared" si="362"/>
        <v>0.03</v>
      </c>
      <c r="T127" s="176">
        <f t="shared" si="362"/>
        <v>0</v>
      </c>
      <c r="U127" s="5"/>
      <c r="V127" s="184"/>
      <c r="W127" s="184"/>
      <c r="X127" s="184"/>
      <c r="Y127" s="184"/>
      <c r="Z127" s="184"/>
      <c r="AA127" s="184"/>
      <c r="AB127" s="5"/>
      <c r="AC127" s="184"/>
      <c r="AD127" s="184"/>
      <c r="AE127" s="184"/>
      <c r="AF127" s="184"/>
      <c r="AG127" s="184"/>
      <c r="AH127" s="184"/>
      <c r="AI127" s="5"/>
      <c r="AJ127" s="184">
        <f t="shared" si="347"/>
        <v>1.05</v>
      </c>
      <c r="AK127" s="184">
        <f t="shared" si="253"/>
        <v>0</v>
      </c>
      <c r="AL127" s="184">
        <f t="shared" ref="AL127:AM127" si="363">ROUND(G127*(5/12)+L127*(5/12)+S127+X127-AE127,2)</f>
        <v>0.11</v>
      </c>
      <c r="AM127" s="184">
        <f t="shared" si="363"/>
        <v>0</v>
      </c>
      <c r="AN127" s="184">
        <f t="shared" ref="AN127:AO127" si="364">N127+Z127-AG127</f>
        <v>1</v>
      </c>
      <c r="AO127" s="184">
        <f t="shared" si="364"/>
        <v>1</v>
      </c>
      <c r="AP127" s="5"/>
      <c r="AQ127" s="176">
        <v>0.05</v>
      </c>
      <c r="AR127" s="176" t="s">
        <v>913</v>
      </c>
      <c r="AS127" s="176">
        <v>0.0</v>
      </c>
      <c r="AT127" s="176" t="s">
        <v>913</v>
      </c>
      <c r="AU127" s="176">
        <v>1.0</v>
      </c>
      <c r="AV127" s="176">
        <v>1.0</v>
      </c>
      <c r="AW127" s="180" t="s">
        <v>2153</v>
      </c>
      <c r="AX127" s="5"/>
      <c r="AY127" s="417"/>
      <c r="BA127" s="81"/>
      <c r="BB127" s="81"/>
      <c r="BC127" s="81"/>
      <c r="BD127" s="81"/>
      <c r="BE127" s="81"/>
      <c r="BF127" s="81"/>
      <c r="BG127" s="81"/>
    </row>
    <row r="128">
      <c r="A128" s="176">
        <v>148.0</v>
      </c>
      <c r="B128" s="372" t="s">
        <v>1411</v>
      </c>
      <c r="C128" s="287" t="s">
        <v>1409</v>
      </c>
      <c r="D128" s="401"/>
      <c r="E128" s="401"/>
      <c r="F128" s="461"/>
      <c r="G128" s="463"/>
      <c r="H128" s="461"/>
      <c r="I128" s="380">
        <v>3.0</v>
      </c>
      <c r="J128" s="380">
        <v>0.8</v>
      </c>
      <c r="K128" s="461"/>
      <c r="L128" s="380">
        <v>0.2</v>
      </c>
      <c r="M128" s="461"/>
      <c r="N128" s="180">
        <v>1.0</v>
      </c>
      <c r="O128" s="180">
        <v>1.0</v>
      </c>
      <c r="P128" s="5"/>
      <c r="Q128" s="176">
        <f t="shared" ref="Q128:T128" si="365">round(J128/6,2)</f>
        <v>0.13</v>
      </c>
      <c r="R128" s="176">
        <f t="shared" si="365"/>
        <v>0</v>
      </c>
      <c r="S128" s="176">
        <f t="shared" si="365"/>
        <v>0.03</v>
      </c>
      <c r="T128" s="176">
        <f t="shared" si="365"/>
        <v>0</v>
      </c>
      <c r="U128" s="5"/>
      <c r="V128" s="184"/>
      <c r="W128" s="184"/>
      <c r="X128" s="184"/>
      <c r="Y128" s="184"/>
      <c r="Z128" s="184"/>
      <c r="AA128" s="184"/>
      <c r="AB128" s="5"/>
      <c r="AC128" s="384">
        <v>0.04</v>
      </c>
      <c r="AD128" s="184"/>
      <c r="AE128" s="184"/>
      <c r="AF128" s="184"/>
      <c r="AG128" s="184"/>
      <c r="AH128" s="384">
        <v>0.57</v>
      </c>
      <c r="AI128" s="5"/>
      <c r="AJ128" s="184">
        <f t="shared" si="347"/>
        <v>0.42</v>
      </c>
      <c r="AK128" s="184">
        <f t="shared" si="253"/>
        <v>0</v>
      </c>
      <c r="AL128" s="184">
        <f t="shared" ref="AL128:AM128" si="366">ROUND(G128*(5/12)+L128*(5/12)+S128+X128-AE128,2)</f>
        <v>0.11</v>
      </c>
      <c r="AM128" s="184">
        <f t="shared" si="366"/>
        <v>0</v>
      </c>
      <c r="AN128" s="184">
        <f t="shared" ref="AN128:AO128" si="367">N128+Z128-AG128</f>
        <v>1</v>
      </c>
      <c r="AO128" s="184">
        <f t="shared" si="367"/>
        <v>0.43</v>
      </c>
      <c r="AP128" s="5"/>
      <c r="AQ128" s="176">
        <v>0.0</v>
      </c>
      <c r="AR128" s="176">
        <v>0.0</v>
      </c>
      <c r="AS128" s="176">
        <v>0.1</v>
      </c>
      <c r="AT128" s="176" t="s">
        <v>913</v>
      </c>
      <c r="AU128" s="176">
        <v>1.0</v>
      </c>
      <c r="AV128" s="176">
        <v>0.0</v>
      </c>
      <c r="AW128" s="180" t="s">
        <v>2154</v>
      </c>
      <c r="AX128" s="5"/>
      <c r="AY128" s="417"/>
      <c r="BA128" s="81"/>
      <c r="BB128" s="81"/>
      <c r="BC128" s="81"/>
      <c r="BD128" s="81"/>
      <c r="BE128" s="81"/>
      <c r="BF128" s="81"/>
      <c r="BG128" s="81"/>
    </row>
    <row r="129">
      <c r="A129" s="176">
        <v>150.0</v>
      </c>
      <c r="B129" s="377" t="s">
        <v>1413</v>
      </c>
      <c r="C129" s="287" t="s">
        <v>1409</v>
      </c>
      <c r="D129" s="245"/>
      <c r="E129" s="245"/>
      <c r="F129" s="461"/>
      <c r="G129" s="463"/>
      <c r="H129" s="461"/>
      <c r="I129" s="380">
        <v>3.0</v>
      </c>
      <c r="J129" s="380">
        <v>0.8</v>
      </c>
      <c r="K129" s="461"/>
      <c r="L129" s="380">
        <v>0.2</v>
      </c>
      <c r="M129" s="461"/>
      <c r="N129" s="180">
        <v>1.0</v>
      </c>
      <c r="O129" s="180">
        <v>1.0</v>
      </c>
      <c r="P129" s="5"/>
      <c r="Q129" s="176">
        <f t="shared" ref="Q129:T129" si="368">round(J129/6,2)</f>
        <v>0.13</v>
      </c>
      <c r="R129" s="176">
        <f t="shared" si="368"/>
        <v>0</v>
      </c>
      <c r="S129" s="176">
        <f t="shared" si="368"/>
        <v>0.03</v>
      </c>
      <c r="T129" s="176">
        <f t="shared" si="368"/>
        <v>0</v>
      </c>
      <c r="U129" s="5"/>
      <c r="V129" s="184"/>
      <c r="W129" s="184"/>
      <c r="X129" s="184"/>
      <c r="Y129" s="184"/>
      <c r="Z129" s="184"/>
      <c r="AA129" s="198"/>
      <c r="AB129" s="5"/>
      <c r="AC129" s="184"/>
      <c r="AD129" s="184"/>
      <c r="AE129" s="184"/>
      <c r="AF129" s="184"/>
      <c r="AG129" s="184"/>
      <c r="AH129" s="184"/>
      <c r="AI129" s="5"/>
      <c r="AJ129" s="184">
        <f t="shared" si="347"/>
        <v>0.46</v>
      </c>
      <c r="AK129" s="184">
        <f t="shared" si="253"/>
        <v>0</v>
      </c>
      <c r="AL129" s="184">
        <f t="shared" ref="AL129:AM129" si="369">ROUND(G129*(5/12)+L129*(5/12)+S129+X129-AE129,2)</f>
        <v>0.11</v>
      </c>
      <c r="AM129" s="184">
        <f t="shared" si="369"/>
        <v>0</v>
      </c>
      <c r="AN129" s="184">
        <f t="shared" ref="AN129:AO129" si="370">N129+Z129-AG129</f>
        <v>1</v>
      </c>
      <c r="AO129" s="184">
        <f t="shared" si="370"/>
        <v>1</v>
      </c>
      <c r="AP129" s="5"/>
      <c r="AQ129" s="176">
        <v>0.0</v>
      </c>
      <c r="AR129" s="176" t="s">
        <v>913</v>
      </c>
      <c r="AS129" s="176">
        <v>0.1</v>
      </c>
      <c r="AT129" s="176" t="s">
        <v>913</v>
      </c>
      <c r="AU129" s="176">
        <v>0.0</v>
      </c>
      <c r="AV129" s="176">
        <v>0.33</v>
      </c>
      <c r="AW129" s="180" t="s">
        <v>2155</v>
      </c>
      <c r="AX129" s="5"/>
      <c r="AY129" s="417"/>
      <c r="BA129" s="421"/>
      <c r="BB129" s="421"/>
      <c r="BC129" s="421"/>
      <c r="BD129" s="421"/>
      <c r="BE129" s="421"/>
      <c r="BF129" s="419">
        <v>0.67</v>
      </c>
      <c r="BG129" s="419" t="s">
        <v>1683</v>
      </c>
    </row>
    <row r="130">
      <c r="A130" s="176">
        <v>151.0</v>
      </c>
      <c r="B130" s="459" t="s">
        <v>1892</v>
      </c>
      <c r="C130" s="287" t="s">
        <v>1893</v>
      </c>
      <c r="D130" s="245"/>
      <c r="E130" s="245"/>
      <c r="F130" s="245"/>
      <c r="G130" s="373"/>
      <c r="H130" s="373"/>
      <c r="I130" s="176">
        <v>1.33</v>
      </c>
      <c r="J130" s="245">
        <v>1.92</v>
      </c>
      <c r="K130" s="401">
        <v>0.23</v>
      </c>
      <c r="L130" s="373"/>
      <c r="M130" s="373"/>
      <c r="N130" s="180">
        <v>1.0</v>
      </c>
      <c r="O130" s="180">
        <v>1.0</v>
      </c>
      <c r="P130" s="5"/>
      <c r="Q130" s="176">
        <f t="shared" ref="Q130:T130" si="371">round(J130/6,2)</f>
        <v>0.32</v>
      </c>
      <c r="R130" s="176">
        <f t="shared" si="371"/>
        <v>0.04</v>
      </c>
      <c r="S130" s="176">
        <f t="shared" si="371"/>
        <v>0</v>
      </c>
      <c r="T130" s="176">
        <f t="shared" si="371"/>
        <v>0</v>
      </c>
      <c r="U130" s="5"/>
      <c r="V130" s="184"/>
      <c r="W130" s="176">
        <v>0.087</v>
      </c>
      <c r="X130" s="184"/>
      <c r="Y130" s="184"/>
      <c r="Z130" s="184"/>
      <c r="AA130" s="184"/>
      <c r="AB130" s="5"/>
      <c r="AC130" s="184"/>
      <c r="AD130" s="176"/>
      <c r="AE130" s="184"/>
      <c r="AF130" s="184"/>
      <c r="AG130" s="184"/>
      <c r="AH130" s="184"/>
      <c r="AI130" s="5"/>
      <c r="AJ130" s="184">
        <f t="shared" si="347"/>
        <v>1.12</v>
      </c>
      <c r="AK130" s="184">
        <f t="shared" si="253"/>
        <v>0.223</v>
      </c>
      <c r="AL130" s="184">
        <f t="shared" ref="AL130:AM130" si="372">ROUND(G130*(5/12)+L130*(5/12)+S130+X130-AE130,2)</f>
        <v>0</v>
      </c>
      <c r="AM130" s="184">
        <f t="shared" si="372"/>
        <v>0</v>
      </c>
      <c r="AN130" s="184">
        <f t="shared" ref="AN130:AO130" si="373">N130+Z130-AG130</f>
        <v>1</v>
      </c>
      <c r="AO130" s="184">
        <f t="shared" si="373"/>
        <v>1</v>
      </c>
      <c r="AP130" s="5"/>
      <c r="AQ130" s="176">
        <v>2.0</v>
      </c>
      <c r="AR130" s="176">
        <v>0.125</v>
      </c>
      <c r="AS130" s="176" t="s">
        <v>913</v>
      </c>
      <c r="AT130" s="176" t="s">
        <v>913</v>
      </c>
      <c r="AU130" s="176">
        <v>1.0</v>
      </c>
      <c r="AV130" s="176">
        <v>1.0</v>
      </c>
      <c r="AW130" s="180" t="s">
        <v>2156</v>
      </c>
      <c r="AX130" s="5"/>
      <c r="AY130" s="417"/>
      <c r="BA130" s="81"/>
      <c r="BB130" s="81"/>
      <c r="BC130" s="81"/>
      <c r="BD130" s="81"/>
      <c r="BE130" s="81"/>
      <c r="BF130" s="81"/>
      <c r="BG130" s="81"/>
    </row>
    <row r="131">
      <c r="A131" s="176">
        <v>152.0</v>
      </c>
      <c r="B131" s="459" t="s">
        <v>1895</v>
      </c>
      <c r="C131" s="287" t="s">
        <v>1893</v>
      </c>
      <c r="D131" s="245"/>
      <c r="E131" s="373"/>
      <c r="F131" s="245"/>
      <c r="G131" s="245"/>
      <c r="H131" s="401"/>
      <c r="I131" s="176">
        <v>3.0</v>
      </c>
      <c r="J131" s="373"/>
      <c r="K131" s="401">
        <v>0.14</v>
      </c>
      <c r="L131" s="401">
        <v>0.16</v>
      </c>
      <c r="M131" s="401">
        <v>0.7</v>
      </c>
      <c r="N131" s="180">
        <v>1.0</v>
      </c>
      <c r="O131" s="180">
        <v>1.0</v>
      </c>
      <c r="P131" s="5"/>
      <c r="Q131" s="176">
        <f t="shared" ref="Q131:T131" si="374">round(J131/6,2)</f>
        <v>0</v>
      </c>
      <c r="R131" s="176">
        <f t="shared" si="374"/>
        <v>0.02</v>
      </c>
      <c r="S131" s="176">
        <f t="shared" si="374"/>
        <v>0.03</v>
      </c>
      <c r="T131" s="176">
        <f t="shared" si="374"/>
        <v>0.12</v>
      </c>
      <c r="U131" s="5"/>
      <c r="V131" s="184"/>
      <c r="W131" s="176">
        <v>0.087</v>
      </c>
      <c r="X131" s="184"/>
      <c r="Y131" s="184"/>
      <c r="Z131" s="176">
        <v>2.0</v>
      </c>
      <c r="AA131" s="184"/>
      <c r="AB131" s="5"/>
      <c r="AC131" s="184"/>
      <c r="AD131" s="184"/>
      <c r="AE131" s="184"/>
      <c r="AF131" s="184"/>
      <c r="AG131" s="184"/>
      <c r="AH131" s="184"/>
      <c r="AI131" s="5"/>
      <c r="AJ131" s="184">
        <f t="shared" si="347"/>
        <v>0</v>
      </c>
      <c r="AK131" s="184">
        <f t="shared" si="253"/>
        <v>0.165</v>
      </c>
      <c r="AL131" s="184">
        <f t="shared" ref="AL131:AM131" si="375">ROUND(G131*(5/12)+L131*(5/12)+S131+X131-AE131,2)</f>
        <v>0.1</v>
      </c>
      <c r="AM131" s="184">
        <f t="shared" si="375"/>
        <v>0.41</v>
      </c>
      <c r="AN131" s="184">
        <f t="shared" ref="AN131:AO131" si="376">N131+Z131-AG131</f>
        <v>3</v>
      </c>
      <c r="AO131" s="184">
        <f t="shared" si="376"/>
        <v>1</v>
      </c>
      <c r="AP131" s="5"/>
      <c r="AQ131" s="176" t="s">
        <v>913</v>
      </c>
      <c r="AR131" s="176">
        <v>0.009</v>
      </c>
      <c r="AS131" s="176" t="s">
        <v>913</v>
      </c>
      <c r="AT131" s="176" t="s">
        <v>913</v>
      </c>
      <c r="AU131" s="176">
        <v>0.0</v>
      </c>
      <c r="AV131" s="176">
        <v>1.0</v>
      </c>
      <c r="AW131" s="180" t="s">
        <v>2157</v>
      </c>
      <c r="AX131" s="5"/>
      <c r="AY131" s="417"/>
      <c r="BA131" s="81"/>
      <c r="BB131" s="81"/>
      <c r="BC131" s="81"/>
      <c r="BD131" s="81"/>
      <c r="BE131" s="81"/>
      <c r="BF131" s="81"/>
      <c r="BG131" s="81"/>
    </row>
    <row r="132">
      <c r="A132" s="176">
        <v>153.0</v>
      </c>
      <c r="B132" s="459" t="s">
        <v>1896</v>
      </c>
      <c r="C132" s="287" t="s">
        <v>1893</v>
      </c>
      <c r="D132" s="245"/>
      <c r="E132" s="373"/>
      <c r="F132" s="245"/>
      <c r="G132" s="401"/>
      <c r="H132" s="373"/>
      <c r="I132" s="176">
        <v>4.0</v>
      </c>
      <c r="J132" s="373"/>
      <c r="K132" s="401">
        <v>0.14</v>
      </c>
      <c r="L132" s="373"/>
      <c r="M132" s="373"/>
      <c r="N132" s="180">
        <v>1.0</v>
      </c>
      <c r="O132" s="180">
        <v>1.0</v>
      </c>
      <c r="P132" s="5"/>
      <c r="Q132" s="176">
        <f t="shared" ref="Q132:T132" si="377">round(J132/6,2)</f>
        <v>0</v>
      </c>
      <c r="R132" s="176">
        <f t="shared" si="377"/>
        <v>0.02</v>
      </c>
      <c r="S132" s="176">
        <f t="shared" si="377"/>
        <v>0</v>
      </c>
      <c r="T132" s="176">
        <f t="shared" si="377"/>
        <v>0</v>
      </c>
      <c r="U132" s="5"/>
      <c r="V132" s="184"/>
      <c r="W132" s="176">
        <v>0.087</v>
      </c>
      <c r="X132" s="184"/>
      <c r="Y132" s="184"/>
      <c r="Z132" s="184"/>
      <c r="AA132" s="184"/>
      <c r="AB132" s="5"/>
      <c r="AC132" s="184"/>
      <c r="AD132" s="184"/>
      <c r="AE132" s="184"/>
      <c r="AF132" s="184"/>
      <c r="AG132" s="184"/>
      <c r="AH132" s="184"/>
      <c r="AI132" s="5"/>
      <c r="AJ132" s="184">
        <f t="shared" si="347"/>
        <v>0</v>
      </c>
      <c r="AK132" s="184">
        <f t="shared" si="253"/>
        <v>0.165</v>
      </c>
      <c r="AL132" s="184">
        <f t="shared" ref="AL132:AM132" si="378">ROUND(G132*(5/12)+L132*(5/12)+S132+X132-AE132,2)</f>
        <v>0</v>
      </c>
      <c r="AM132" s="184">
        <f t="shared" si="378"/>
        <v>0</v>
      </c>
      <c r="AN132" s="184">
        <f t="shared" ref="AN132:AO132" si="379">N132+Z132-AG132</f>
        <v>1</v>
      </c>
      <c r="AO132" s="184">
        <f t="shared" si="379"/>
        <v>1</v>
      </c>
      <c r="AP132" s="5"/>
      <c r="AQ132" s="176">
        <v>0.5</v>
      </c>
      <c r="AR132" s="176">
        <v>0.031</v>
      </c>
      <c r="AS132" s="176">
        <v>0.0</v>
      </c>
      <c r="AT132" s="176" t="s">
        <v>913</v>
      </c>
      <c r="AU132" s="176">
        <v>1.0</v>
      </c>
      <c r="AV132" s="176">
        <v>1.0</v>
      </c>
      <c r="AW132" s="180" t="s">
        <v>2158</v>
      </c>
      <c r="AX132" s="5"/>
      <c r="AY132" s="417"/>
      <c r="BA132" s="81"/>
      <c r="BB132" s="81"/>
      <c r="BC132" s="81"/>
      <c r="BD132" s="81"/>
      <c r="BE132" s="81"/>
      <c r="BF132" s="81"/>
      <c r="BG132" s="81"/>
    </row>
    <row r="133">
      <c r="A133" s="176">
        <v>154.0</v>
      </c>
      <c r="B133" s="459" t="s">
        <v>1898</v>
      </c>
      <c r="C133" s="287" t="s">
        <v>1893</v>
      </c>
      <c r="D133" s="245"/>
      <c r="E133" s="245"/>
      <c r="F133" s="245"/>
      <c r="G133" s="373"/>
      <c r="H133" s="373"/>
      <c r="I133" s="176">
        <v>3.0</v>
      </c>
      <c r="J133" s="401">
        <v>0.84</v>
      </c>
      <c r="K133" s="401">
        <v>0.16</v>
      </c>
      <c r="L133" s="373"/>
      <c r="M133" s="373"/>
      <c r="N133" s="180">
        <v>1.0</v>
      </c>
      <c r="O133" s="180">
        <v>1.0</v>
      </c>
      <c r="P133" s="5"/>
      <c r="Q133" s="176">
        <f t="shared" ref="Q133:T133" si="380">round(J133/6,2)</f>
        <v>0.14</v>
      </c>
      <c r="R133" s="176">
        <f t="shared" si="380"/>
        <v>0.03</v>
      </c>
      <c r="S133" s="176">
        <f t="shared" si="380"/>
        <v>0</v>
      </c>
      <c r="T133" s="176">
        <f t="shared" si="380"/>
        <v>0</v>
      </c>
      <c r="U133" s="5"/>
      <c r="V133" s="184"/>
      <c r="W133" s="176">
        <v>0.087</v>
      </c>
      <c r="X133" s="184"/>
      <c r="Y133" s="184"/>
      <c r="Z133" s="184"/>
      <c r="AA133" s="184"/>
      <c r="AB133" s="5"/>
      <c r="AC133" s="176">
        <v>0.5</v>
      </c>
      <c r="AD133" s="184"/>
      <c r="AE133" s="184"/>
      <c r="AF133" s="184"/>
      <c r="AG133" s="184"/>
      <c r="AH133" s="184"/>
      <c r="AI133" s="5"/>
      <c r="AJ133" s="184">
        <f t="shared" si="347"/>
        <v>-0.01</v>
      </c>
      <c r="AK133" s="184">
        <f t="shared" si="253"/>
        <v>0.184</v>
      </c>
      <c r="AL133" s="184">
        <f t="shared" ref="AL133:AM133" si="381">ROUND(G133*(5/12)+L133*(5/12)+S133+X133-AE133,2)</f>
        <v>0</v>
      </c>
      <c r="AM133" s="184">
        <f t="shared" si="381"/>
        <v>0</v>
      </c>
      <c r="AN133" s="184">
        <f t="shared" ref="AN133:AO133" si="382">N133+Z133-AG133</f>
        <v>1</v>
      </c>
      <c r="AO133" s="184">
        <f t="shared" si="382"/>
        <v>1</v>
      </c>
      <c r="AP133" s="5"/>
      <c r="AQ133" s="176">
        <v>0.1</v>
      </c>
      <c r="AR133" s="176">
        <v>0.009</v>
      </c>
      <c r="AS133" s="176" t="s">
        <v>913</v>
      </c>
      <c r="AT133" s="176" t="s">
        <v>913</v>
      </c>
      <c r="AU133" s="176">
        <v>1.0</v>
      </c>
      <c r="AV133" s="176">
        <v>1.0</v>
      </c>
      <c r="AW133" s="180" t="s">
        <v>2159</v>
      </c>
      <c r="AX133" s="5"/>
      <c r="AY133" s="464"/>
      <c r="BA133" s="81"/>
      <c r="BB133" s="81"/>
      <c r="BC133" s="81"/>
      <c r="BD133" s="81"/>
      <c r="BE133" s="81"/>
      <c r="BF133" s="81"/>
      <c r="BG133" s="81"/>
    </row>
    <row r="134">
      <c r="A134" s="176">
        <v>156.0</v>
      </c>
      <c r="B134" s="459" t="s">
        <v>1900</v>
      </c>
      <c r="C134" s="287" t="s">
        <v>1893</v>
      </c>
      <c r="D134" s="245"/>
      <c r="E134" s="401"/>
      <c r="F134" s="245"/>
      <c r="G134" s="373"/>
      <c r="H134" s="373"/>
      <c r="I134" s="245">
        <v>4.0</v>
      </c>
      <c r="J134" s="373"/>
      <c r="K134" s="245">
        <v>0.05</v>
      </c>
      <c r="L134" s="373"/>
      <c r="M134" s="373"/>
      <c r="N134" s="180">
        <v>1.0</v>
      </c>
      <c r="O134" s="180">
        <v>1.0</v>
      </c>
      <c r="P134" s="5"/>
      <c r="Q134" s="176">
        <f t="shared" ref="Q134:T134" si="383">round(J134/6,2)</f>
        <v>0</v>
      </c>
      <c r="R134" s="176">
        <f t="shared" si="383"/>
        <v>0.01</v>
      </c>
      <c r="S134" s="176">
        <f t="shared" si="383"/>
        <v>0</v>
      </c>
      <c r="T134" s="176">
        <f t="shared" si="383"/>
        <v>0</v>
      </c>
      <c r="U134" s="5"/>
      <c r="V134" s="184"/>
      <c r="W134" s="184"/>
      <c r="X134" s="184"/>
      <c r="Y134" s="184"/>
      <c r="Z134" s="184"/>
      <c r="AA134" s="184"/>
      <c r="AB134" s="5"/>
      <c r="AC134" s="184"/>
      <c r="AD134" s="184"/>
      <c r="AE134" s="184"/>
      <c r="AF134" s="184"/>
      <c r="AG134" s="184"/>
      <c r="AH134" s="184"/>
      <c r="AI134" s="5"/>
      <c r="AJ134" s="184">
        <f t="shared" si="347"/>
        <v>0</v>
      </c>
      <c r="AK134" s="184">
        <f t="shared" si="253"/>
        <v>0.031</v>
      </c>
      <c r="AL134" s="184">
        <f t="shared" ref="AL134:AM134" si="384">ROUND(G134*(5/12)+L134*(5/12)+S134+X134-AE134,2)</f>
        <v>0</v>
      </c>
      <c r="AM134" s="184">
        <f t="shared" si="384"/>
        <v>0</v>
      </c>
      <c r="AN134" s="184">
        <f t="shared" ref="AN134:AO134" si="385">N134+Z134-AG134</f>
        <v>1</v>
      </c>
      <c r="AO134" s="184">
        <f t="shared" si="385"/>
        <v>1</v>
      </c>
      <c r="AP134" s="5"/>
      <c r="AQ134" s="176">
        <v>0.5</v>
      </c>
      <c r="AR134" s="176">
        <v>0.022</v>
      </c>
      <c r="AS134" s="176" t="s">
        <v>913</v>
      </c>
      <c r="AT134" s="176" t="s">
        <v>913</v>
      </c>
      <c r="AU134" s="176">
        <v>1.0</v>
      </c>
      <c r="AV134" s="176">
        <v>0.0</v>
      </c>
      <c r="AW134" s="180" t="s">
        <v>2160</v>
      </c>
      <c r="AX134" s="5"/>
      <c r="AY134" s="417"/>
      <c r="BA134" s="81"/>
      <c r="BB134" s="81"/>
      <c r="BC134" s="81"/>
      <c r="BD134" s="81"/>
      <c r="BE134" s="81"/>
      <c r="BF134" s="81"/>
      <c r="BG134" s="81"/>
    </row>
    <row r="135">
      <c r="A135" s="176">
        <v>158.0</v>
      </c>
      <c r="B135" s="465" t="s">
        <v>1902</v>
      </c>
      <c r="C135" s="287" t="s">
        <v>1893</v>
      </c>
      <c r="D135" s="176"/>
      <c r="E135" s="466"/>
      <c r="F135" s="176"/>
      <c r="G135" s="184"/>
      <c r="H135" s="373"/>
      <c r="I135" s="245">
        <v>4.0</v>
      </c>
      <c r="J135" s="373"/>
      <c r="K135" s="245">
        <v>0.03</v>
      </c>
      <c r="L135" s="373"/>
      <c r="M135" s="373"/>
      <c r="N135" s="180">
        <v>1.0</v>
      </c>
      <c r="O135" s="180">
        <v>1.0</v>
      </c>
      <c r="P135" s="5"/>
      <c r="Q135" s="176">
        <f t="shared" ref="Q135:T135" si="386">round(J135/6,2)</f>
        <v>0</v>
      </c>
      <c r="R135" s="176">
        <f t="shared" si="386"/>
        <v>0.01</v>
      </c>
      <c r="S135" s="176">
        <f t="shared" si="386"/>
        <v>0</v>
      </c>
      <c r="T135" s="176">
        <f t="shared" si="386"/>
        <v>0</v>
      </c>
      <c r="U135" s="5"/>
      <c r="V135" s="184"/>
      <c r="W135" s="184"/>
      <c r="X135" s="184"/>
      <c r="Y135" s="184"/>
      <c r="Z135" s="184"/>
      <c r="AA135" s="184"/>
      <c r="AB135" s="5"/>
      <c r="AC135" s="184"/>
      <c r="AD135" s="184"/>
      <c r="AE135" s="184"/>
      <c r="AF135" s="184"/>
      <c r="AG135" s="184"/>
      <c r="AH135" s="184"/>
      <c r="AI135" s="5"/>
      <c r="AJ135" s="184">
        <f t="shared" si="347"/>
        <v>0</v>
      </c>
      <c r="AK135" s="184">
        <f t="shared" si="253"/>
        <v>0.023</v>
      </c>
      <c r="AL135" s="184">
        <f t="shared" ref="AL135:AM135" si="387">ROUND(G135*(5/12)+L135*(5/12)+S135+X135-AE135,2)</f>
        <v>0</v>
      </c>
      <c r="AM135" s="184">
        <f t="shared" si="387"/>
        <v>0</v>
      </c>
      <c r="AN135" s="184">
        <f t="shared" ref="AN135:AO135" si="388">N135+Z135-AG135</f>
        <v>1</v>
      </c>
      <c r="AO135" s="184">
        <f t="shared" si="388"/>
        <v>1</v>
      </c>
      <c r="AP135" s="5"/>
      <c r="AQ135" s="176">
        <v>0.0</v>
      </c>
      <c r="AR135" s="176">
        <v>0.011</v>
      </c>
      <c r="AS135" s="176" t="s">
        <v>913</v>
      </c>
      <c r="AT135" s="176" t="s">
        <v>913</v>
      </c>
      <c r="AU135" s="176">
        <v>1.0</v>
      </c>
      <c r="AV135" s="176">
        <v>0.0</v>
      </c>
      <c r="AW135" s="180" t="s">
        <v>2161</v>
      </c>
      <c r="AX135" s="5"/>
      <c r="AY135" s="417"/>
      <c r="BA135" s="81"/>
      <c r="BB135" s="81"/>
      <c r="BC135" s="81"/>
      <c r="BD135" s="81"/>
      <c r="BE135" s="81"/>
      <c r="BF135" s="81"/>
      <c r="BG135" s="81"/>
    </row>
    <row r="136">
      <c r="A136" s="176">
        <v>159.0</v>
      </c>
      <c r="B136" s="467" t="s">
        <v>1904</v>
      </c>
      <c r="C136" s="287" t="s">
        <v>1893</v>
      </c>
      <c r="D136" s="176"/>
      <c r="E136" s="176"/>
      <c r="F136" s="176"/>
      <c r="G136" s="176"/>
      <c r="H136" s="373"/>
      <c r="I136" s="245">
        <v>1.66</v>
      </c>
      <c r="J136" s="245">
        <v>1.6</v>
      </c>
      <c r="K136" s="245">
        <v>0.2</v>
      </c>
      <c r="L136" s="245">
        <v>0.54</v>
      </c>
      <c r="M136" s="373"/>
      <c r="N136" s="180">
        <v>1.0</v>
      </c>
      <c r="O136" s="180">
        <v>1.0</v>
      </c>
      <c r="P136" s="5"/>
      <c r="Q136" s="176">
        <f t="shared" ref="Q136:T136" si="389">round(J136/6,2)</f>
        <v>0.27</v>
      </c>
      <c r="R136" s="176">
        <f t="shared" si="389"/>
        <v>0.03</v>
      </c>
      <c r="S136" s="176">
        <f t="shared" si="389"/>
        <v>0.09</v>
      </c>
      <c r="T136" s="176">
        <f t="shared" si="389"/>
        <v>0</v>
      </c>
      <c r="U136" s="5"/>
      <c r="V136" s="184"/>
      <c r="W136" s="176">
        <v>0.087</v>
      </c>
      <c r="X136" s="184"/>
      <c r="Y136" s="184"/>
      <c r="Z136" s="184"/>
      <c r="AA136" s="184"/>
      <c r="AB136" s="5"/>
      <c r="AC136" s="184"/>
      <c r="AD136" s="184"/>
      <c r="AE136" s="184"/>
      <c r="AF136" s="184"/>
      <c r="AG136" s="184"/>
      <c r="AH136" s="184"/>
      <c r="AI136" s="5"/>
      <c r="AJ136" s="184">
        <f t="shared" si="347"/>
        <v>0.94</v>
      </c>
      <c r="AK136" s="184">
        <f t="shared" si="253"/>
        <v>0.2</v>
      </c>
      <c r="AL136" s="184">
        <f t="shared" ref="AL136:AM136" si="390">ROUND(G136*(5/12)+L136*(5/12)+S136+X136-AE136,2)</f>
        <v>0.32</v>
      </c>
      <c r="AM136" s="184">
        <f t="shared" si="390"/>
        <v>0</v>
      </c>
      <c r="AN136" s="184">
        <f t="shared" ref="AN136:AO136" si="391">N136+Z136-AG136</f>
        <v>1</v>
      </c>
      <c r="AO136" s="184">
        <f t="shared" si="391"/>
        <v>1</v>
      </c>
      <c r="AP136" s="5"/>
      <c r="AQ136" s="176">
        <v>0.1</v>
      </c>
      <c r="AR136" s="176">
        <v>0.025</v>
      </c>
      <c r="AS136" s="176">
        <v>0.66</v>
      </c>
      <c r="AT136" s="176" t="s">
        <v>913</v>
      </c>
      <c r="AU136" s="176">
        <v>1.0</v>
      </c>
      <c r="AV136" s="176">
        <v>2.0</v>
      </c>
      <c r="AW136" s="180" t="s">
        <v>2162</v>
      </c>
      <c r="AX136" s="5"/>
      <c r="AY136" s="417"/>
      <c r="BA136" s="81"/>
      <c r="BB136" s="81"/>
      <c r="BC136" s="81"/>
      <c r="BD136" s="81"/>
      <c r="BE136" s="81"/>
      <c r="BF136" s="81"/>
      <c r="BG136" s="81"/>
    </row>
    <row r="137">
      <c r="A137" s="176">
        <v>160.0</v>
      </c>
      <c r="B137" s="467" t="s">
        <v>1906</v>
      </c>
      <c r="C137" s="287" t="s">
        <v>1893</v>
      </c>
      <c r="D137" s="176"/>
      <c r="E137" s="466"/>
      <c r="F137" s="176"/>
      <c r="G137" s="466"/>
      <c r="H137" s="373"/>
      <c r="I137" s="245">
        <v>4.0</v>
      </c>
      <c r="J137" s="373"/>
      <c r="K137" s="245">
        <v>0.14</v>
      </c>
      <c r="L137" s="373"/>
      <c r="M137" s="373"/>
      <c r="N137" s="180">
        <v>1.0</v>
      </c>
      <c r="O137" s="180">
        <v>1.0</v>
      </c>
      <c r="P137" s="5"/>
      <c r="Q137" s="176">
        <f t="shared" ref="Q137:T137" si="392">round(J137/6,2)</f>
        <v>0</v>
      </c>
      <c r="R137" s="176">
        <f t="shared" si="392"/>
        <v>0.02</v>
      </c>
      <c r="S137" s="176">
        <f t="shared" si="392"/>
        <v>0</v>
      </c>
      <c r="T137" s="176">
        <f t="shared" si="392"/>
        <v>0</v>
      </c>
      <c r="U137" s="5"/>
      <c r="V137" s="184"/>
      <c r="W137" s="176">
        <v>0.087</v>
      </c>
      <c r="X137" s="184"/>
      <c r="Y137" s="184"/>
      <c r="Z137" s="184"/>
      <c r="AA137" s="184"/>
      <c r="AB137" s="5"/>
      <c r="AC137" s="184"/>
      <c r="AD137" s="184"/>
      <c r="AE137" s="184"/>
      <c r="AF137" s="184"/>
      <c r="AG137" s="184"/>
      <c r="AH137" s="184"/>
      <c r="AI137" s="5"/>
      <c r="AJ137" s="184">
        <f t="shared" si="347"/>
        <v>0</v>
      </c>
      <c r="AK137" s="184">
        <f t="shared" si="253"/>
        <v>0.165</v>
      </c>
      <c r="AL137" s="184">
        <f t="shared" ref="AL137:AM137" si="393">ROUND(G137*(5/12)+L137*(5/12)+S137+X137-AE137,2)</f>
        <v>0</v>
      </c>
      <c r="AM137" s="184">
        <f t="shared" si="393"/>
        <v>0</v>
      </c>
      <c r="AN137" s="184">
        <f t="shared" ref="AN137:AO137" si="394">N137+Z137-AG137</f>
        <v>1</v>
      </c>
      <c r="AO137" s="184">
        <f t="shared" si="394"/>
        <v>1</v>
      </c>
      <c r="AP137" s="5"/>
      <c r="AQ137" s="176">
        <v>0.0</v>
      </c>
      <c r="AR137" s="176">
        <v>0.025</v>
      </c>
      <c r="AS137" s="176" t="s">
        <v>913</v>
      </c>
      <c r="AT137" s="176" t="s">
        <v>913</v>
      </c>
      <c r="AU137" s="176">
        <v>1.0</v>
      </c>
      <c r="AV137" s="176">
        <v>1.0</v>
      </c>
      <c r="AW137" s="180" t="s">
        <v>2163</v>
      </c>
      <c r="AX137" s="5"/>
      <c r="AY137" s="417"/>
      <c r="BA137" s="81"/>
      <c r="BB137" s="81"/>
      <c r="BC137" s="81"/>
      <c r="BD137" s="81"/>
      <c r="BE137" s="81"/>
      <c r="BF137" s="81"/>
      <c r="BG137" s="81"/>
    </row>
    <row r="138">
      <c r="A138" s="176">
        <v>161.0</v>
      </c>
      <c r="B138" s="467" t="s">
        <v>1908</v>
      </c>
      <c r="C138" s="287" t="s">
        <v>1893</v>
      </c>
      <c r="D138" s="176"/>
      <c r="E138" s="176"/>
      <c r="F138" s="466"/>
      <c r="G138" s="184"/>
      <c r="H138" s="373"/>
      <c r="I138" s="245">
        <v>4.0</v>
      </c>
      <c r="J138" s="373"/>
      <c r="K138" s="245">
        <v>0.06</v>
      </c>
      <c r="L138" s="373"/>
      <c r="M138" s="373"/>
      <c r="N138" s="180">
        <v>1.0</v>
      </c>
      <c r="O138" s="180">
        <v>1.0</v>
      </c>
      <c r="P138" s="5"/>
      <c r="Q138" s="176">
        <f t="shared" ref="Q138:T138" si="395">round(J138/6,2)</f>
        <v>0</v>
      </c>
      <c r="R138" s="176">
        <f t="shared" si="395"/>
        <v>0.01</v>
      </c>
      <c r="S138" s="176">
        <f t="shared" si="395"/>
        <v>0</v>
      </c>
      <c r="T138" s="176">
        <f t="shared" si="395"/>
        <v>0</v>
      </c>
      <c r="U138" s="5"/>
      <c r="V138" s="184"/>
      <c r="W138" s="176">
        <v>0.087</v>
      </c>
      <c r="X138" s="184"/>
      <c r="Y138" s="184"/>
      <c r="Z138" s="184"/>
      <c r="AA138" s="184"/>
      <c r="AB138" s="5"/>
      <c r="AC138" s="184"/>
      <c r="AD138" s="184"/>
      <c r="AE138" s="184"/>
      <c r="AF138" s="184"/>
      <c r="AG138" s="184"/>
      <c r="AH138" s="184"/>
      <c r="AI138" s="5"/>
      <c r="AJ138" s="184">
        <f t="shared" si="347"/>
        <v>0</v>
      </c>
      <c r="AK138" s="184">
        <f t="shared" si="253"/>
        <v>0.122</v>
      </c>
      <c r="AL138" s="184">
        <f t="shared" ref="AL138:AM138" si="396">ROUND(G138*(5/12)+L138*(5/12)+S138+X138-AE138,2)</f>
        <v>0</v>
      </c>
      <c r="AM138" s="184">
        <f t="shared" si="396"/>
        <v>0</v>
      </c>
      <c r="AN138" s="184">
        <f t="shared" ref="AN138:AO138" si="397">N138+Z138-AG138</f>
        <v>1</v>
      </c>
      <c r="AO138" s="184">
        <f t="shared" si="397"/>
        <v>1</v>
      </c>
      <c r="AP138" s="5"/>
      <c r="AQ138" s="176">
        <v>0.0</v>
      </c>
      <c r="AR138" s="176">
        <v>0.011</v>
      </c>
      <c r="AS138" s="176">
        <v>0.0</v>
      </c>
      <c r="AT138" s="176" t="s">
        <v>913</v>
      </c>
      <c r="AU138" s="176">
        <v>1.0</v>
      </c>
      <c r="AV138" s="176">
        <v>1.0</v>
      </c>
      <c r="AW138" s="180" t="s">
        <v>2164</v>
      </c>
      <c r="AX138" s="5"/>
      <c r="AY138" s="417"/>
      <c r="BA138" s="81"/>
      <c r="BB138" s="81"/>
      <c r="BC138" s="81"/>
      <c r="BD138" s="81"/>
      <c r="BE138" s="81"/>
      <c r="BF138" s="81"/>
      <c r="BG138" s="81"/>
    </row>
    <row r="139">
      <c r="A139" s="176">
        <v>162.0</v>
      </c>
      <c r="B139" s="467" t="s">
        <v>1910</v>
      </c>
      <c r="C139" s="287" t="s">
        <v>1893</v>
      </c>
      <c r="D139" s="176"/>
      <c r="E139" s="176"/>
      <c r="F139" s="466"/>
      <c r="G139" s="176"/>
      <c r="H139" s="373"/>
      <c r="I139" s="245">
        <v>4.0</v>
      </c>
      <c r="J139" s="373"/>
      <c r="K139" s="245">
        <v>0.05</v>
      </c>
      <c r="L139" s="373"/>
      <c r="M139" s="373"/>
      <c r="N139" s="180">
        <v>1.0</v>
      </c>
      <c r="O139" s="180">
        <v>1.0</v>
      </c>
      <c r="P139" s="5"/>
      <c r="Q139" s="176">
        <f t="shared" ref="Q139:T139" si="398">round(J139/6,2)</f>
        <v>0</v>
      </c>
      <c r="R139" s="176">
        <f t="shared" si="398"/>
        <v>0.01</v>
      </c>
      <c r="S139" s="176">
        <f t="shared" si="398"/>
        <v>0</v>
      </c>
      <c r="T139" s="176">
        <f t="shared" si="398"/>
        <v>0</v>
      </c>
      <c r="U139" s="5"/>
      <c r="V139" s="184"/>
      <c r="W139" s="176">
        <v>0.087</v>
      </c>
      <c r="X139" s="184"/>
      <c r="Y139" s="184"/>
      <c r="Z139" s="184"/>
      <c r="AA139" s="184"/>
      <c r="AB139" s="5"/>
      <c r="AC139" s="184"/>
      <c r="AD139" s="184"/>
      <c r="AE139" s="184"/>
      <c r="AF139" s="184"/>
      <c r="AG139" s="184"/>
      <c r="AH139" s="184"/>
      <c r="AI139" s="5"/>
      <c r="AJ139" s="184">
        <f t="shared" si="347"/>
        <v>0</v>
      </c>
      <c r="AK139" s="184">
        <f t="shared" si="253"/>
        <v>0.118</v>
      </c>
      <c r="AL139" s="184">
        <f t="shared" ref="AL139:AM139" si="399">ROUND(G139*(5/12)+L139*(5/12)+S139+X139-AE139,2)</f>
        <v>0</v>
      </c>
      <c r="AM139" s="184">
        <f t="shared" si="399"/>
        <v>0</v>
      </c>
      <c r="AN139" s="184">
        <f t="shared" ref="AN139:AO139" si="400">N139+Z139-AG139</f>
        <v>1</v>
      </c>
      <c r="AO139" s="184">
        <f t="shared" si="400"/>
        <v>1</v>
      </c>
      <c r="AP139" s="5"/>
      <c r="AQ139" s="176">
        <v>0.0</v>
      </c>
      <c r="AR139" s="176">
        <v>0.016</v>
      </c>
      <c r="AS139" s="176">
        <v>0.33</v>
      </c>
      <c r="AT139" s="176" t="s">
        <v>913</v>
      </c>
      <c r="AU139" s="176">
        <v>1.0</v>
      </c>
      <c r="AV139" s="176">
        <v>1.0</v>
      </c>
      <c r="AW139" s="180" t="s">
        <v>2165</v>
      </c>
      <c r="AX139" s="5"/>
      <c r="AY139" s="417"/>
      <c r="BA139" s="81"/>
      <c r="BB139" s="81"/>
      <c r="BC139" s="81"/>
      <c r="BD139" s="81"/>
      <c r="BE139" s="81"/>
      <c r="BF139" s="81"/>
      <c r="BG139" s="81"/>
    </row>
    <row r="140">
      <c r="A140" s="468">
        <v>164.0</v>
      </c>
      <c r="B140" s="469" t="s">
        <v>1912</v>
      </c>
      <c r="C140" s="470" t="s">
        <v>1893</v>
      </c>
      <c r="D140" s="468"/>
      <c r="E140" s="468"/>
      <c r="F140" s="468"/>
      <c r="G140" s="471"/>
      <c r="H140" s="472"/>
      <c r="I140" s="473">
        <v>3.0</v>
      </c>
      <c r="J140" s="473">
        <v>0.95</v>
      </c>
      <c r="K140" s="473">
        <v>0.05</v>
      </c>
      <c r="L140" s="472"/>
      <c r="M140" s="472"/>
      <c r="N140" s="474">
        <v>1.0</v>
      </c>
      <c r="O140" s="474">
        <v>1.0</v>
      </c>
      <c r="P140" s="475"/>
      <c r="Q140" s="468">
        <v>0.0</v>
      </c>
      <c r="R140" s="468">
        <v>0.0</v>
      </c>
      <c r="S140" s="468">
        <f t="shared" ref="S140:T140" si="401">round(L140/6,2)</f>
        <v>0</v>
      </c>
      <c r="T140" s="468">
        <f t="shared" si="401"/>
        <v>0</v>
      </c>
      <c r="U140" s="475"/>
      <c r="V140" s="471"/>
      <c r="W140" s="468"/>
      <c r="X140" s="471"/>
      <c r="Y140" s="471"/>
      <c r="Z140" s="471"/>
      <c r="AA140" s="471"/>
      <c r="AB140" s="475"/>
      <c r="AC140" s="468"/>
      <c r="AD140" s="471"/>
      <c r="AE140" s="471"/>
      <c r="AF140" s="471"/>
      <c r="AG140" s="471"/>
      <c r="AH140" s="471"/>
      <c r="AI140" s="475"/>
      <c r="AJ140" s="471">
        <f t="shared" si="347"/>
        <v>0.4</v>
      </c>
      <c r="AK140" s="471">
        <f t="shared" si="253"/>
        <v>0.021</v>
      </c>
      <c r="AL140" s="471">
        <f t="shared" ref="AL140:AM140" si="402">ROUND(G140*(5/12)+L140*(5/12)+S140+X140-AE140,2)</f>
        <v>0</v>
      </c>
      <c r="AM140" s="471">
        <f t="shared" si="402"/>
        <v>0</v>
      </c>
      <c r="AN140" s="468">
        <v>0.5</v>
      </c>
      <c r="AO140" s="468">
        <v>0.5</v>
      </c>
      <c r="AP140" s="475"/>
      <c r="AQ140" s="468">
        <v>0.5</v>
      </c>
      <c r="AR140" s="468">
        <v>0.011</v>
      </c>
      <c r="AS140" s="468" t="s">
        <v>913</v>
      </c>
      <c r="AT140" s="468" t="s">
        <v>913</v>
      </c>
      <c r="AU140" s="468">
        <v>0.0</v>
      </c>
      <c r="AV140" s="468">
        <v>0.0</v>
      </c>
      <c r="AW140" s="474" t="s">
        <v>2166</v>
      </c>
      <c r="AX140" s="475"/>
      <c r="AY140" s="476"/>
      <c r="AZ140" s="477"/>
      <c r="BA140" s="478"/>
      <c r="BB140" s="478"/>
      <c r="BC140" s="478"/>
      <c r="BD140" s="478"/>
      <c r="BE140" s="478"/>
      <c r="BF140" s="478"/>
      <c r="BG140" s="478"/>
      <c r="BH140" s="477"/>
    </row>
    <row r="141">
      <c r="A141" s="176">
        <v>165.0</v>
      </c>
      <c r="B141" s="465" t="s">
        <v>1914</v>
      </c>
      <c r="C141" s="287" t="s">
        <v>1893</v>
      </c>
      <c r="D141" s="176"/>
      <c r="E141" s="176"/>
      <c r="F141" s="466"/>
      <c r="G141" s="184"/>
      <c r="H141" s="373"/>
      <c r="I141" s="245">
        <v>3.66</v>
      </c>
      <c r="J141" s="245">
        <v>0.29</v>
      </c>
      <c r="K141" s="245">
        <v>0.05</v>
      </c>
      <c r="L141" s="373"/>
      <c r="M141" s="373"/>
      <c r="N141" s="180">
        <v>1.0</v>
      </c>
      <c r="O141" s="180">
        <v>1.0</v>
      </c>
      <c r="P141" s="5"/>
      <c r="Q141" s="176">
        <f t="shared" ref="Q141:T141" si="403">round(J141/6,2)</f>
        <v>0.05</v>
      </c>
      <c r="R141" s="176">
        <f t="shared" si="403"/>
        <v>0.01</v>
      </c>
      <c r="S141" s="176">
        <f t="shared" si="403"/>
        <v>0</v>
      </c>
      <c r="T141" s="176">
        <f t="shared" si="403"/>
        <v>0</v>
      </c>
      <c r="U141" s="5"/>
      <c r="V141" s="184"/>
      <c r="W141" s="176">
        <v>0.087</v>
      </c>
      <c r="X141" s="184"/>
      <c r="Y141" s="184"/>
      <c r="Z141" s="176">
        <v>0.0</v>
      </c>
      <c r="AA141" s="176">
        <v>0.0</v>
      </c>
      <c r="AB141" s="5"/>
      <c r="AC141" s="184"/>
      <c r="AD141" s="184"/>
      <c r="AE141" s="184"/>
      <c r="AF141" s="184"/>
      <c r="AG141" s="184"/>
      <c r="AH141" s="184"/>
      <c r="AI141" s="5"/>
      <c r="AJ141" s="184">
        <f t="shared" si="347"/>
        <v>0.17</v>
      </c>
      <c r="AK141" s="184">
        <f t="shared" si="253"/>
        <v>0.118</v>
      </c>
      <c r="AL141" s="184">
        <f t="shared" ref="AL141:AM141" si="404">ROUND(G141*(5/12)+L141*(5/12)+S141+X141-AE141,2)</f>
        <v>0</v>
      </c>
      <c r="AM141" s="184">
        <f t="shared" si="404"/>
        <v>0</v>
      </c>
      <c r="AN141" s="184">
        <f t="shared" ref="AN141:AO141" si="405">N141+Z141-AG141</f>
        <v>1</v>
      </c>
      <c r="AO141" s="184">
        <f t="shared" si="405"/>
        <v>1</v>
      </c>
      <c r="AP141" s="5"/>
      <c r="AQ141" s="176">
        <v>0.0</v>
      </c>
      <c r="AR141" s="176">
        <v>0.031</v>
      </c>
      <c r="AS141" s="176" t="s">
        <v>913</v>
      </c>
      <c r="AT141" s="176" t="s">
        <v>913</v>
      </c>
      <c r="AU141" s="176">
        <v>1.0</v>
      </c>
      <c r="AV141" s="176">
        <v>0.0</v>
      </c>
      <c r="AW141" s="180" t="s">
        <v>2167</v>
      </c>
      <c r="AX141" s="5"/>
      <c r="AY141" s="417"/>
      <c r="BA141" s="81"/>
      <c r="BB141" s="81"/>
      <c r="BC141" s="81"/>
      <c r="BD141" s="81"/>
      <c r="BE141" s="81"/>
      <c r="BF141" s="81"/>
      <c r="BG141" s="81"/>
    </row>
    <row r="142">
      <c r="A142" s="176">
        <v>166.0</v>
      </c>
      <c r="B142" s="465" t="s">
        <v>1916</v>
      </c>
      <c r="C142" s="287" t="s">
        <v>1893</v>
      </c>
      <c r="D142" s="245"/>
      <c r="E142" s="401"/>
      <c r="F142" s="245"/>
      <c r="G142" s="373"/>
      <c r="H142" s="373"/>
      <c r="I142" s="245">
        <v>4.08</v>
      </c>
      <c r="J142" s="373"/>
      <c r="K142" s="245">
        <v>0.06</v>
      </c>
      <c r="L142" s="373"/>
      <c r="M142" s="373"/>
      <c r="N142" s="180">
        <v>1.0</v>
      </c>
      <c r="O142" s="180">
        <v>1.0</v>
      </c>
      <c r="P142" s="5"/>
      <c r="Q142" s="176">
        <f t="shared" ref="Q142:T142" si="406">round(J142/6,2)</f>
        <v>0</v>
      </c>
      <c r="R142" s="176">
        <f t="shared" si="406"/>
        <v>0.01</v>
      </c>
      <c r="S142" s="176">
        <f t="shared" si="406"/>
        <v>0</v>
      </c>
      <c r="T142" s="176">
        <f t="shared" si="406"/>
        <v>0</v>
      </c>
      <c r="U142" s="5"/>
      <c r="V142" s="184"/>
      <c r="W142" s="184"/>
      <c r="X142" s="184"/>
      <c r="Y142" s="184"/>
      <c r="Z142" s="184"/>
      <c r="AA142" s="184"/>
      <c r="AB142" s="5"/>
      <c r="AC142" s="184"/>
      <c r="AD142" s="184"/>
      <c r="AE142" s="184"/>
      <c r="AF142" s="184"/>
      <c r="AG142" s="184"/>
      <c r="AH142" s="184"/>
      <c r="AI142" s="5"/>
      <c r="AJ142" s="184">
        <f t="shared" si="347"/>
        <v>0</v>
      </c>
      <c r="AK142" s="184">
        <f t="shared" si="253"/>
        <v>0.035</v>
      </c>
      <c r="AL142" s="184">
        <f t="shared" ref="AL142:AM142" si="407">ROUND(G142*(5/12)+L142*(5/12)+S142+X142-AE142,2)</f>
        <v>0</v>
      </c>
      <c r="AM142" s="184">
        <f t="shared" si="407"/>
        <v>0</v>
      </c>
      <c r="AN142" s="184">
        <f t="shared" ref="AN142:AO142" si="408">N142+Z142-AG142</f>
        <v>1</v>
      </c>
      <c r="AO142" s="184">
        <f t="shared" si="408"/>
        <v>1</v>
      </c>
      <c r="AP142" s="5"/>
      <c r="AQ142" s="176">
        <v>0.0</v>
      </c>
      <c r="AR142" s="176">
        <v>0.011</v>
      </c>
      <c r="AS142" s="176" t="s">
        <v>913</v>
      </c>
      <c r="AT142" s="176" t="s">
        <v>913</v>
      </c>
      <c r="AU142" s="176">
        <v>1.0</v>
      </c>
      <c r="AV142" s="176">
        <v>0.0</v>
      </c>
      <c r="AW142" s="180" t="s">
        <v>2168</v>
      </c>
      <c r="AX142" s="5"/>
      <c r="AY142" s="417"/>
      <c r="BA142" s="81"/>
      <c r="BB142" s="81"/>
      <c r="BC142" s="81"/>
      <c r="BD142" s="81"/>
      <c r="BE142" s="81"/>
      <c r="BF142" s="81"/>
      <c r="BG142" s="81"/>
    </row>
    <row r="143">
      <c r="A143" s="176">
        <v>167.0</v>
      </c>
      <c r="B143" s="459" t="s">
        <v>1918</v>
      </c>
      <c r="C143" s="287" t="s">
        <v>1893</v>
      </c>
      <c r="D143" s="245"/>
      <c r="E143" s="401"/>
      <c r="F143" s="245"/>
      <c r="G143" s="373"/>
      <c r="H143" s="373"/>
      <c r="I143" s="245">
        <v>4.0</v>
      </c>
      <c r="J143" s="373"/>
      <c r="K143" s="245">
        <v>0.0</v>
      </c>
      <c r="L143" s="373"/>
      <c r="M143" s="373"/>
      <c r="N143" s="180">
        <v>1.0</v>
      </c>
      <c r="O143" s="180">
        <v>1.0</v>
      </c>
      <c r="P143" s="5"/>
      <c r="Q143" s="176">
        <f t="shared" ref="Q143:T143" si="409">round(J143/6,2)</f>
        <v>0</v>
      </c>
      <c r="R143" s="176">
        <f t="shared" si="409"/>
        <v>0</v>
      </c>
      <c r="S143" s="176">
        <f t="shared" si="409"/>
        <v>0</v>
      </c>
      <c r="T143" s="176">
        <f t="shared" si="409"/>
        <v>0</v>
      </c>
      <c r="U143" s="5"/>
      <c r="V143" s="184"/>
      <c r="W143" s="184"/>
      <c r="X143" s="184"/>
      <c r="Y143" s="184"/>
      <c r="Z143" s="184"/>
      <c r="AA143" s="184"/>
      <c r="AB143" s="5"/>
      <c r="AC143" s="184"/>
      <c r="AD143" s="184"/>
      <c r="AE143" s="184"/>
      <c r="AF143" s="184"/>
      <c r="AG143" s="184"/>
      <c r="AH143" s="184"/>
      <c r="AI143" s="5"/>
      <c r="AJ143" s="184"/>
      <c r="AK143" s="184">
        <f t="shared" si="253"/>
        <v>0</v>
      </c>
      <c r="AL143" s="184"/>
      <c r="AM143" s="184"/>
      <c r="AN143" s="184"/>
      <c r="AO143" s="184"/>
      <c r="AP143" s="5"/>
      <c r="AQ143" s="176" t="s">
        <v>913</v>
      </c>
      <c r="AR143" s="176" t="s">
        <v>913</v>
      </c>
      <c r="AS143" s="176" t="s">
        <v>913</v>
      </c>
      <c r="AT143" s="176" t="s">
        <v>913</v>
      </c>
      <c r="AU143" s="176" t="s">
        <v>913</v>
      </c>
      <c r="AV143" s="176" t="s">
        <v>913</v>
      </c>
      <c r="AW143" s="354"/>
      <c r="AX143" s="5"/>
      <c r="AY143" s="417"/>
      <c r="BA143" s="81"/>
      <c r="BB143" s="81"/>
      <c r="BC143" s="81"/>
      <c r="BD143" s="81"/>
      <c r="BE143" s="81"/>
      <c r="BF143" s="81"/>
      <c r="BG143" s="81"/>
    </row>
    <row r="144">
      <c r="A144" s="176">
        <v>168.0</v>
      </c>
      <c r="B144" s="456" t="s">
        <v>1924</v>
      </c>
      <c r="C144" s="287" t="s">
        <v>221</v>
      </c>
      <c r="D144" s="401"/>
      <c r="E144" s="401"/>
      <c r="F144" s="401"/>
      <c r="G144" s="373"/>
      <c r="H144" s="401"/>
      <c r="I144" s="401">
        <v>0.0</v>
      </c>
      <c r="J144" s="401">
        <v>1.0</v>
      </c>
      <c r="K144" s="373"/>
      <c r="L144" s="401">
        <v>0.67</v>
      </c>
      <c r="M144" s="401">
        <v>0.33</v>
      </c>
      <c r="N144" s="180">
        <v>1.0</v>
      </c>
      <c r="O144" s="180">
        <v>1.0</v>
      </c>
      <c r="P144" s="5"/>
      <c r="Q144" s="176">
        <f t="shared" ref="Q144:T144" si="410">round(J144/6,2)</f>
        <v>0.17</v>
      </c>
      <c r="R144" s="176">
        <f t="shared" si="410"/>
        <v>0</v>
      </c>
      <c r="S144" s="176">
        <f t="shared" si="410"/>
        <v>0.11</v>
      </c>
      <c r="T144" s="176">
        <f t="shared" si="410"/>
        <v>0.06</v>
      </c>
      <c r="U144" s="5"/>
      <c r="V144" s="184"/>
      <c r="W144" s="184"/>
      <c r="X144" s="184"/>
      <c r="Y144" s="184"/>
      <c r="Z144" s="184"/>
      <c r="AA144" s="184"/>
      <c r="AB144" s="5"/>
      <c r="AC144" s="184"/>
      <c r="AD144" s="184"/>
      <c r="AE144" s="184"/>
      <c r="AF144" s="176">
        <v>0.33</v>
      </c>
      <c r="AG144" s="184"/>
      <c r="AH144" s="184"/>
      <c r="AI144" s="5"/>
      <c r="AJ144" s="184">
        <f t="shared" ref="AJ144:AJ163" si="414">ROUND(E144*(6/12)+J144*(4/12)+Q144+V144-AC144,2)</f>
        <v>0.5</v>
      </c>
      <c r="AK144" s="184">
        <f t="shared" ref="AK144:AK166" si="415">ROUND(F144*(6/12)+K144*(4/12)+R144+W144-AD144,3)</f>
        <v>0</v>
      </c>
      <c r="AL144" s="184">
        <f t="shared" ref="AL144:AM144" si="411">ROUND(G144*(6/12)+L144*(4/12)+S144+X144-AE144,2)</f>
        <v>0.33</v>
      </c>
      <c r="AM144" s="184">
        <f t="shared" si="411"/>
        <v>-0.16</v>
      </c>
      <c r="AN144" s="184">
        <f t="shared" ref="AN144:AO144" si="412">N144+Z144-AG144</f>
        <v>1</v>
      </c>
      <c r="AO144" s="184">
        <f t="shared" si="412"/>
        <v>1</v>
      </c>
      <c r="AP144" s="5"/>
      <c r="AQ144" s="176">
        <v>0.75</v>
      </c>
      <c r="AR144" s="176">
        <v>0.17</v>
      </c>
      <c r="AS144" s="176">
        <v>0.22</v>
      </c>
      <c r="AT144" s="176" t="s">
        <v>913</v>
      </c>
      <c r="AU144" s="176">
        <v>1.0</v>
      </c>
      <c r="AV144" s="176">
        <v>1.0</v>
      </c>
      <c r="AW144" s="180" t="s">
        <v>2169</v>
      </c>
      <c r="AX144" s="5"/>
      <c r="AY144" s="417"/>
      <c r="BA144" s="479">
        <v>0.5</v>
      </c>
      <c r="BB144" s="480"/>
      <c r="BC144" s="480"/>
      <c r="BD144" s="480"/>
      <c r="BE144" s="479">
        <v>1.0</v>
      </c>
      <c r="BF144" s="81"/>
      <c r="BG144" s="81"/>
    </row>
    <row r="145">
      <c r="A145" s="176">
        <v>169.0</v>
      </c>
      <c r="B145" s="456" t="s">
        <v>222</v>
      </c>
      <c r="C145" s="287" t="s">
        <v>221</v>
      </c>
      <c r="D145" s="401"/>
      <c r="E145" s="401"/>
      <c r="F145" s="401"/>
      <c r="G145" s="401"/>
      <c r="H145" s="373"/>
      <c r="I145" s="401">
        <v>0.0</v>
      </c>
      <c r="J145" s="401">
        <v>3.45</v>
      </c>
      <c r="K145" s="401">
        <v>0.25</v>
      </c>
      <c r="L145" s="401">
        <v>0.3</v>
      </c>
      <c r="M145" s="373"/>
      <c r="N145" s="180">
        <v>1.0</v>
      </c>
      <c r="O145" s="180">
        <v>1.0</v>
      </c>
      <c r="P145" s="5"/>
      <c r="Q145" s="176">
        <f t="shared" ref="Q145:T145" si="413">round(J145/6,2)</f>
        <v>0.58</v>
      </c>
      <c r="R145" s="176">
        <f t="shared" si="413"/>
        <v>0.04</v>
      </c>
      <c r="S145" s="176">
        <f t="shared" si="413"/>
        <v>0.05</v>
      </c>
      <c r="T145" s="176">
        <f t="shared" si="413"/>
        <v>0</v>
      </c>
      <c r="U145" s="5"/>
      <c r="V145" s="184"/>
      <c r="W145" s="184"/>
      <c r="X145" s="184"/>
      <c r="Y145" s="184"/>
      <c r="Z145" s="184"/>
      <c r="AA145" s="184"/>
      <c r="AB145" s="5"/>
      <c r="AC145" s="176">
        <v>0.75</v>
      </c>
      <c r="AD145" s="184"/>
      <c r="AE145" s="176">
        <v>0.16</v>
      </c>
      <c r="AF145" s="184"/>
      <c r="AG145" s="184"/>
      <c r="AH145" s="184"/>
      <c r="AI145" s="5"/>
      <c r="AJ145" s="184">
        <f t="shared" si="414"/>
        <v>0.98</v>
      </c>
      <c r="AK145" s="184">
        <f t="shared" si="415"/>
        <v>0.123</v>
      </c>
      <c r="AL145" s="184">
        <f t="shared" ref="AL145:AM145" si="416">ROUND(G145*(6/12)+L145*(4/12)+S145+X145-AE145,2)</f>
        <v>-0.01</v>
      </c>
      <c r="AM145" s="184">
        <f t="shared" si="416"/>
        <v>0</v>
      </c>
      <c r="AN145" s="184">
        <f t="shared" ref="AN145:AO145" si="417">N145+Z145-AG145</f>
        <v>1</v>
      </c>
      <c r="AO145" s="184">
        <f t="shared" si="417"/>
        <v>1</v>
      </c>
      <c r="AP145" s="5"/>
      <c r="AQ145" s="176">
        <v>1.5</v>
      </c>
      <c r="AR145" s="176">
        <v>0.17</v>
      </c>
      <c r="AS145" s="176">
        <v>0.0</v>
      </c>
      <c r="AT145" s="176" t="s">
        <v>913</v>
      </c>
      <c r="AU145" s="176">
        <v>0.0</v>
      </c>
      <c r="AV145" s="176">
        <v>1.0</v>
      </c>
      <c r="AW145" s="180" t="s">
        <v>2170</v>
      </c>
      <c r="AX145" s="5"/>
      <c r="AY145" s="418"/>
      <c r="BA145" s="81"/>
      <c r="BB145" s="81"/>
      <c r="BC145" s="81"/>
      <c r="BD145" s="81"/>
      <c r="BE145" s="81"/>
      <c r="BF145" s="81"/>
      <c r="BG145" s="81"/>
    </row>
    <row r="146">
      <c r="A146" s="176">
        <v>170.0</v>
      </c>
      <c r="B146" s="456" t="s">
        <v>223</v>
      </c>
      <c r="C146" s="287" t="s">
        <v>221</v>
      </c>
      <c r="D146" s="401"/>
      <c r="E146" s="401"/>
      <c r="F146" s="401"/>
      <c r="G146" s="401"/>
      <c r="H146" s="373"/>
      <c r="I146" s="401">
        <v>1.0</v>
      </c>
      <c r="J146" s="401">
        <v>2.45</v>
      </c>
      <c r="K146" s="401">
        <v>0.25</v>
      </c>
      <c r="L146" s="401">
        <v>0.3</v>
      </c>
      <c r="M146" s="373"/>
      <c r="N146" s="180">
        <v>1.0</v>
      </c>
      <c r="O146" s="180">
        <v>1.0</v>
      </c>
      <c r="P146" s="5"/>
      <c r="Q146" s="176">
        <f t="shared" ref="Q146:T146" si="418">round(J146/6,2)</f>
        <v>0.41</v>
      </c>
      <c r="R146" s="176">
        <f t="shared" si="418"/>
        <v>0.04</v>
      </c>
      <c r="S146" s="176">
        <f t="shared" si="418"/>
        <v>0.05</v>
      </c>
      <c r="T146" s="176">
        <f t="shared" si="418"/>
        <v>0</v>
      </c>
      <c r="U146" s="5"/>
      <c r="V146" s="184"/>
      <c r="W146" s="176">
        <v>0.11</v>
      </c>
      <c r="X146" s="184"/>
      <c r="Y146" s="184"/>
      <c r="Z146" s="184"/>
      <c r="AA146" s="184"/>
      <c r="AB146" s="5"/>
      <c r="AC146" s="176">
        <v>0.5</v>
      </c>
      <c r="AD146" s="184"/>
      <c r="AE146" s="176">
        <v>0.16</v>
      </c>
      <c r="AF146" s="184"/>
      <c r="AG146" s="184"/>
      <c r="AH146" s="184"/>
      <c r="AI146" s="5"/>
      <c r="AJ146" s="184">
        <f t="shared" si="414"/>
        <v>0.73</v>
      </c>
      <c r="AK146" s="184">
        <f t="shared" si="415"/>
        <v>0.233</v>
      </c>
      <c r="AL146" s="184">
        <f t="shared" ref="AL146:AM146" si="419">ROUND(G146*(6/12)+L146*(4/12)+S146+X146-AE146,2)</f>
        <v>-0.01</v>
      </c>
      <c r="AM146" s="184">
        <f t="shared" si="419"/>
        <v>0</v>
      </c>
      <c r="AN146" s="184">
        <f t="shared" ref="AN146:AO146" si="420">N146+Z146-AG146</f>
        <v>1</v>
      </c>
      <c r="AO146" s="184">
        <f t="shared" si="420"/>
        <v>1</v>
      </c>
      <c r="AP146" s="5"/>
      <c r="AQ146" s="176">
        <v>1.1</v>
      </c>
      <c r="AR146" s="176">
        <v>0.237</v>
      </c>
      <c r="AS146" s="176">
        <v>0.0</v>
      </c>
      <c r="AT146" s="176" t="s">
        <v>913</v>
      </c>
      <c r="AU146" s="176">
        <v>1.0</v>
      </c>
      <c r="AV146" s="176">
        <v>1.0</v>
      </c>
      <c r="AW146" s="180" t="s">
        <v>2171</v>
      </c>
      <c r="AX146" s="5"/>
      <c r="AY146" s="418"/>
      <c r="BA146" s="81"/>
      <c r="BB146" s="81"/>
      <c r="BC146" s="81"/>
      <c r="BD146" s="81"/>
      <c r="BE146" s="81"/>
      <c r="BF146" s="81"/>
      <c r="BG146" s="81"/>
    </row>
    <row r="147">
      <c r="A147" s="176">
        <v>171.0</v>
      </c>
      <c r="B147" s="456" t="s">
        <v>1929</v>
      </c>
      <c r="C147" s="287" t="s">
        <v>221</v>
      </c>
      <c r="D147" s="401"/>
      <c r="E147" s="401"/>
      <c r="F147" s="401"/>
      <c r="G147" s="373"/>
      <c r="H147" s="373"/>
      <c r="I147" s="401">
        <v>3.0</v>
      </c>
      <c r="J147" s="401">
        <v>1.0</v>
      </c>
      <c r="K147" s="373"/>
      <c r="L147" s="373"/>
      <c r="M147" s="373"/>
      <c r="N147" s="180">
        <v>1.0</v>
      </c>
      <c r="O147" s="180">
        <v>1.0</v>
      </c>
      <c r="P147" s="5"/>
      <c r="Q147" s="176">
        <f t="shared" ref="Q147:T147" si="421">round(J147/6,2)</f>
        <v>0.17</v>
      </c>
      <c r="R147" s="176">
        <f t="shared" si="421"/>
        <v>0</v>
      </c>
      <c r="S147" s="176">
        <f t="shared" si="421"/>
        <v>0</v>
      </c>
      <c r="T147" s="176">
        <f t="shared" si="421"/>
        <v>0</v>
      </c>
      <c r="U147" s="5"/>
      <c r="V147" s="184"/>
      <c r="W147" s="184"/>
      <c r="X147" s="184"/>
      <c r="Y147" s="184"/>
      <c r="Z147" s="184"/>
      <c r="AA147" s="184"/>
      <c r="AB147" s="5"/>
      <c r="AC147" s="184"/>
      <c r="AD147" s="184"/>
      <c r="AE147" s="184"/>
      <c r="AF147" s="184"/>
      <c r="AG147" s="184"/>
      <c r="AH147" s="184"/>
      <c r="AI147" s="5"/>
      <c r="AJ147" s="184">
        <f t="shared" si="414"/>
        <v>0.5</v>
      </c>
      <c r="AK147" s="184">
        <f t="shared" si="415"/>
        <v>0</v>
      </c>
      <c r="AL147" s="184">
        <f t="shared" ref="AL147:AM147" si="422">ROUND(G147*(6/12)+L147*(4/12)+S147+X147-AE147,2)</f>
        <v>0</v>
      </c>
      <c r="AM147" s="184">
        <f t="shared" si="422"/>
        <v>0</v>
      </c>
      <c r="AN147" s="184">
        <f t="shared" ref="AN147:AO147" si="423">N147+Z147-AG147</f>
        <v>1</v>
      </c>
      <c r="AO147" s="184">
        <f t="shared" si="423"/>
        <v>1</v>
      </c>
      <c r="AP147" s="5"/>
      <c r="AQ147" s="176">
        <v>0.5</v>
      </c>
      <c r="AR147" s="176">
        <v>0.219</v>
      </c>
      <c r="AS147" s="176" t="s">
        <v>913</v>
      </c>
      <c r="AT147" s="176" t="s">
        <v>913</v>
      </c>
      <c r="AU147" s="176">
        <v>1.0</v>
      </c>
      <c r="AV147" s="176">
        <v>1.0</v>
      </c>
      <c r="AW147" s="180" t="s">
        <v>2172</v>
      </c>
      <c r="AX147" s="5"/>
      <c r="AY147" s="416"/>
      <c r="BA147" s="81"/>
      <c r="BB147" s="81"/>
      <c r="BC147" s="81"/>
      <c r="BD147" s="81"/>
      <c r="BE147" s="81"/>
      <c r="BF147" s="81"/>
      <c r="BG147" s="81"/>
    </row>
    <row r="148">
      <c r="A148" s="176">
        <v>172.0</v>
      </c>
      <c r="B148" s="456" t="s">
        <v>1488</v>
      </c>
      <c r="C148" s="287" t="s">
        <v>221</v>
      </c>
      <c r="D148" s="401"/>
      <c r="E148" s="401"/>
      <c r="F148" s="373"/>
      <c r="G148" s="373"/>
      <c r="H148" s="373"/>
      <c r="I148" s="401">
        <v>2.67</v>
      </c>
      <c r="J148" s="401">
        <v>1.0</v>
      </c>
      <c r="K148" s="373"/>
      <c r="L148" s="401">
        <v>0.33</v>
      </c>
      <c r="M148" s="373"/>
      <c r="N148" s="180">
        <v>1.0</v>
      </c>
      <c r="O148" s="180">
        <v>1.0</v>
      </c>
      <c r="P148" s="5"/>
      <c r="Q148" s="176">
        <f t="shared" ref="Q148:T148" si="424">round(J148/6,2)</f>
        <v>0.17</v>
      </c>
      <c r="R148" s="176">
        <f t="shared" si="424"/>
        <v>0</v>
      </c>
      <c r="S148" s="176">
        <f t="shared" si="424"/>
        <v>0.06</v>
      </c>
      <c r="T148" s="176">
        <f t="shared" si="424"/>
        <v>0</v>
      </c>
      <c r="U148" s="5"/>
      <c r="V148" s="184"/>
      <c r="W148" s="184"/>
      <c r="X148" s="184"/>
      <c r="Y148" s="184"/>
      <c r="Z148" s="184"/>
      <c r="AA148" s="184"/>
      <c r="AB148" s="5"/>
      <c r="AC148" s="184"/>
      <c r="AD148" s="184"/>
      <c r="AE148" s="184"/>
      <c r="AF148" s="184"/>
      <c r="AG148" s="184"/>
      <c r="AH148" s="184"/>
      <c r="AI148" s="5"/>
      <c r="AJ148" s="184">
        <f t="shared" si="414"/>
        <v>0.5</v>
      </c>
      <c r="AK148" s="184">
        <f t="shared" si="415"/>
        <v>0</v>
      </c>
      <c r="AL148" s="184">
        <f t="shared" ref="AL148:AM148" si="425">ROUND(G148*(6/12)+L148*(4/12)+S148+X148-AE148,2)</f>
        <v>0.17</v>
      </c>
      <c r="AM148" s="184">
        <f t="shared" si="425"/>
        <v>0</v>
      </c>
      <c r="AN148" s="184">
        <f t="shared" ref="AN148:AO148" si="426">N148+Z148-AG148</f>
        <v>1</v>
      </c>
      <c r="AO148" s="184">
        <f t="shared" si="426"/>
        <v>1</v>
      </c>
      <c r="AP148" s="5"/>
      <c r="AQ148" s="176">
        <v>0.5</v>
      </c>
      <c r="AR148" s="176" t="s">
        <v>913</v>
      </c>
      <c r="AS148" s="176">
        <v>0.11</v>
      </c>
      <c r="AT148" s="176" t="s">
        <v>913</v>
      </c>
      <c r="AU148" s="176">
        <v>1.0</v>
      </c>
      <c r="AV148" s="176">
        <v>1.0</v>
      </c>
      <c r="AW148" s="354"/>
      <c r="AX148" s="5"/>
      <c r="AY148" s="416"/>
      <c r="BA148" s="81"/>
      <c r="BB148" s="81"/>
      <c r="BC148" s="81"/>
      <c r="BD148" s="81"/>
      <c r="BE148" s="81"/>
      <c r="BF148" s="81"/>
      <c r="BG148" s="81"/>
    </row>
    <row r="149">
      <c r="A149" s="176">
        <v>173.0</v>
      </c>
      <c r="B149" s="456" t="s">
        <v>2173</v>
      </c>
      <c r="C149" s="287" t="s">
        <v>221</v>
      </c>
      <c r="D149" s="401"/>
      <c r="E149" s="401"/>
      <c r="F149" s="373"/>
      <c r="G149" s="373"/>
      <c r="H149" s="373"/>
      <c r="I149" s="401">
        <v>2.66</v>
      </c>
      <c r="J149" s="401">
        <v>0.89</v>
      </c>
      <c r="K149" s="401">
        <v>0.45</v>
      </c>
      <c r="L149" s="373"/>
      <c r="M149" s="373"/>
      <c r="N149" s="180">
        <v>1.0</v>
      </c>
      <c r="O149" s="180">
        <v>1.0</v>
      </c>
      <c r="P149" s="5"/>
      <c r="Q149" s="176">
        <f t="shared" ref="Q149:T149" si="427">round(J149/6,2)</f>
        <v>0.15</v>
      </c>
      <c r="R149" s="176">
        <f t="shared" si="427"/>
        <v>0.08</v>
      </c>
      <c r="S149" s="176">
        <f t="shared" si="427"/>
        <v>0</v>
      </c>
      <c r="T149" s="176">
        <f t="shared" si="427"/>
        <v>0</v>
      </c>
      <c r="U149" s="5"/>
      <c r="V149" s="184"/>
      <c r="W149" s="184"/>
      <c r="X149" s="184"/>
      <c r="Y149" s="184"/>
      <c r="Z149" s="184"/>
      <c r="AA149" s="184"/>
      <c r="AB149" s="5"/>
      <c r="AC149" s="184"/>
      <c r="AD149" s="184"/>
      <c r="AE149" s="184"/>
      <c r="AF149" s="184"/>
      <c r="AG149" s="184"/>
      <c r="AH149" s="184"/>
      <c r="AI149" s="5"/>
      <c r="AJ149" s="184">
        <f t="shared" si="414"/>
        <v>0.45</v>
      </c>
      <c r="AK149" s="184">
        <f t="shared" si="415"/>
        <v>0.23</v>
      </c>
      <c r="AL149" s="184">
        <f t="shared" ref="AL149:AM149" si="428">ROUND(G149*(6/12)+L149*(4/12)+S149+X149-AE149,2)</f>
        <v>0</v>
      </c>
      <c r="AM149" s="184">
        <f t="shared" si="428"/>
        <v>0</v>
      </c>
      <c r="AN149" s="184">
        <f t="shared" ref="AN149:AO149" si="429">N149+Z149-AG149</f>
        <v>1</v>
      </c>
      <c r="AO149" s="184">
        <f t="shared" si="429"/>
        <v>1</v>
      </c>
      <c r="AP149" s="5"/>
      <c r="AQ149" s="176">
        <v>0.5</v>
      </c>
      <c r="AR149" s="176">
        <v>0.179</v>
      </c>
      <c r="AS149" s="176" t="s">
        <v>913</v>
      </c>
      <c r="AT149" s="176" t="s">
        <v>913</v>
      </c>
      <c r="AU149" s="176">
        <v>1.0</v>
      </c>
      <c r="AV149" s="176">
        <v>1.0</v>
      </c>
      <c r="AW149" s="180" t="s">
        <v>2174</v>
      </c>
      <c r="AX149" s="5"/>
      <c r="AY149" s="416"/>
      <c r="BA149" s="81"/>
      <c r="BB149" s="81"/>
      <c r="BC149" s="81"/>
      <c r="BD149" s="81"/>
      <c r="BE149" s="81"/>
      <c r="BF149" s="81"/>
      <c r="BG149" s="81"/>
    </row>
    <row r="150">
      <c r="A150" s="176">
        <v>174.0</v>
      </c>
      <c r="B150" s="456" t="s">
        <v>1490</v>
      </c>
      <c r="C150" s="287" t="s">
        <v>221</v>
      </c>
      <c r="D150" s="401"/>
      <c r="E150" s="401"/>
      <c r="F150" s="373"/>
      <c r="G150" s="373"/>
      <c r="H150" s="373"/>
      <c r="I150" s="401">
        <v>2.0</v>
      </c>
      <c r="J150" s="401">
        <v>1.0</v>
      </c>
      <c r="K150" s="373"/>
      <c r="L150" s="401">
        <v>1.0</v>
      </c>
      <c r="M150" s="373"/>
      <c r="N150" s="180">
        <v>1.0</v>
      </c>
      <c r="O150" s="180">
        <v>1.0</v>
      </c>
      <c r="P150" s="5"/>
      <c r="Q150" s="176">
        <f t="shared" ref="Q150:T150" si="430">round(J150/6,2)</f>
        <v>0.17</v>
      </c>
      <c r="R150" s="176">
        <f t="shared" si="430"/>
        <v>0</v>
      </c>
      <c r="S150" s="176">
        <f t="shared" si="430"/>
        <v>0.17</v>
      </c>
      <c r="T150" s="176">
        <f t="shared" si="430"/>
        <v>0</v>
      </c>
      <c r="U150" s="5"/>
      <c r="V150" s="184"/>
      <c r="W150" s="184"/>
      <c r="X150" s="184"/>
      <c r="Y150" s="184"/>
      <c r="Z150" s="184"/>
      <c r="AA150" s="184"/>
      <c r="AB150" s="5"/>
      <c r="AC150" s="184"/>
      <c r="AD150" s="184"/>
      <c r="AE150" s="184"/>
      <c r="AF150" s="184"/>
      <c r="AG150" s="184"/>
      <c r="AH150" s="184"/>
      <c r="AI150" s="5"/>
      <c r="AJ150" s="184">
        <f t="shared" si="414"/>
        <v>0.5</v>
      </c>
      <c r="AK150" s="184">
        <f t="shared" si="415"/>
        <v>0</v>
      </c>
      <c r="AL150" s="184">
        <f t="shared" ref="AL150:AM150" si="431">ROUND(G150*(6/12)+L150*(4/12)+S150+X150-AE150,2)</f>
        <v>0.5</v>
      </c>
      <c r="AM150" s="184">
        <f t="shared" si="431"/>
        <v>0</v>
      </c>
      <c r="AN150" s="184">
        <f t="shared" ref="AN150:AO150" si="432">N150+Z150-AG150</f>
        <v>1</v>
      </c>
      <c r="AO150" s="184">
        <f t="shared" si="432"/>
        <v>1</v>
      </c>
      <c r="AP150" s="5"/>
      <c r="AQ150" s="176">
        <v>0.5</v>
      </c>
      <c r="AR150" s="176" t="s">
        <v>913</v>
      </c>
      <c r="AS150" s="176">
        <v>0.33</v>
      </c>
      <c r="AT150" s="176" t="s">
        <v>913</v>
      </c>
      <c r="AU150" s="176">
        <v>1.0</v>
      </c>
      <c r="AV150" s="176">
        <v>1.0</v>
      </c>
      <c r="AW150" s="354"/>
      <c r="AX150" s="5"/>
      <c r="AY150" s="416"/>
      <c r="BA150" s="81"/>
      <c r="BB150" s="81"/>
      <c r="BC150" s="81"/>
      <c r="BD150" s="81"/>
      <c r="BE150" s="81"/>
      <c r="BF150" s="81"/>
      <c r="BG150" s="81"/>
    </row>
    <row r="151">
      <c r="A151" s="176">
        <v>175.0</v>
      </c>
      <c r="B151" s="456" t="s">
        <v>1492</v>
      </c>
      <c r="C151" s="287" t="s">
        <v>221</v>
      </c>
      <c r="D151" s="401"/>
      <c r="E151" s="401"/>
      <c r="F151" s="373"/>
      <c r="G151" s="373"/>
      <c r="H151" s="401"/>
      <c r="I151" s="401">
        <v>3.67</v>
      </c>
      <c r="J151" s="401">
        <v>0.0</v>
      </c>
      <c r="K151" s="373"/>
      <c r="L151" s="373"/>
      <c r="M151" s="401">
        <v>0.33</v>
      </c>
      <c r="N151" s="180">
        <v>1.0</v>
      </c>
      <c r="O151" s="180">
        <v>1.0</v>
      </c>
      <c r="P151" s="5"/>
      <c r="Q151" s="176">
        <f t="shared" ref="Q151:T151" si="433">round(J151/6,2)</f>
        <v>0</v>
      </c>
      <c r="R151" s="176">
        <f t="shared" si="433"/>
        <v>0</v>
      </c>
      <c r="S151" s="176">
        <f t="shared" si="433"/>
        <v>0</v>
      </c>
      <c r="T151" s="176">
        <f t="shared" si="433"/>
        <v>0.06</v>
      </c>
      <c r="U151" s="5"/>
      <c r="V151" s="184"/>
      <c r="W151" s="184"/>
      <c r="X151" s="184"/>
      <c r="Y151" s="184"/>
      <c r="Z151" s="184"/>
      <c r="AA151" s="184"/>
      <c r="AB151" s="5"/>
      <c r="AC151" s="184"/>
      <c r="AD151" s="184"/>
      <c r="AE151" s="184"/>
      <c r="AF151" s="176">
        <v>0.33</v>
      </c>
      <c r="AG151" s="184"/>
      <c r="AH151" s="184"/>
      <c r="AI151" s="5"/>
      <c r="AJ151" s="184">
        <f t="shared" si="414"/>
        <v>0</v>
      </c>
      <c r="AK151" s="184">
        <f t="shared" si="415"/>
        <v>0</v>
      </c>
      <c r="AL151" s="184">
        <f t="shared" ref="AL151:AM151" si="434">ROUND(G151*(6/12)+L151*(4/12)+S151+X151-AE151,2)</f>
        <v>0</v>
      </c>
      <c r="AM151" s="184">
        <f t="shared" si="434"/>
        <v>-0.16</v>
      </c>
      <c r="AN151" s="184">
        <f t="shared" ref="AN151:AO151" si="435">N151+Z151-AG151</f>
        <v>1</v>
      </c>
      <c r="AO151" s="184">
        <f t="shared" si="435"/>
        <v>1</v>
      </c>
      <c r="AP151" s="5"/>
      <c r="AQ151" s="176" t="s">
        <v>913</v>
      </c>
      <c r="AR151" s="176" t="s">
        <v>913</v>
      </c>
      <c r="AS151" s="176" t="s">
        <v>913</v>
      </c>
      <c r="AT151" s="176" t="s">
        <v>913</v>
      </c>
      <c r="AU151" s="176">
        <v>1.0</v>
      </c>
      <c r="AV151" s="176">
        <v>1.0</v>
      </c>
      <c r="AW151" s="180" t="s">
        <v>2175</v>
      </c>
      <c r="AX151" s="5"/>
      <c r="AY151" s="416"/>
      <c r="BA151" s="81"/>
      <c r="BB151" s="81"/>
      <c r="BC151" s="81"/>
      <c r="BD151" s="81"/>
      <c r="BE151" s="81"/>
      <c r="BF151" s="81"/>
      <c r="BG151" s="81"/>
    </row>
    <row r="152">
      <c r="A152" s="176">
        <v>176.0</v>
      </c>
      <c r="B152" s="456" t="s">
        <v>1934</v>
      </c>
      <c r="C152" s="287" t="s">
        <v>221</v>
      </c>
      <c r="D152" s="401"/>
      <c r="E152" s="401"/>
      <c r="F152" s="373"/>
      <c r="G152" s="373"/>
      <c r="H152" s="373"/>
      <c r="I152" s="401">
        <v>3.0</v>
      </c>
      <c r="J152" s="401">
        <v>1.0</v>
      </c>
      <c r="K152" s="373"/>
      <c r="L152" s="373"/>
      <c r="M152" s="373"/>
      <c r="N152" s="180">
        <v>1.0</v>
      </c>
      <c r="O152" s="180">
        <v>1.0</v>
      </c>
      <c r="P152" s="5"/>
      <c r="Q152" s="176">
        <f t="shared" ref="Q152:T152" si="436">round(J152/6,2)</f>
        <v>0.17</v>
      </c>
      <c r="R152" s="176">
        <f t="shared" si="436"/>
        <v>0</v>
      </c>
      <c r="S152" s="176">
        <f t="shared" si="436"/>
        <v>0</v>
      </c>
      <c r="T152" s="176">
        <f t="shared" si="436"/>
        <v>0</v>
      </c>
      <c r="U152" s="5"/>
      <c r="V152" s="184"/>
      <c r="W152" s="184"/>
      <c r="X152" s="184"/>
      <c r="Y152" s="184"/>
      <c r="Z152" s="184"/>
      <c r="AA152" s="184"/>
      <c r="AB152" s="5"/>
      <c r="AC152" s="184"/>
      <c r="AD152" s="184"/>
      <c r="AE152" s="184"/>
      <c r="AF152" s="184"/>
      <c r="AG152" s="184"/>
      <c r="AH152" s="184"/>
      <c r="AI152" s="5"/>
      <c r="AJ152" s="184">
        <f t="shared" si="414"/>
        <v>0.5</v>
      </c>
      <c r="AK152" s="184">
        <f t="shared" si="415"/>
        <v>0</v>
      </c>
      <c r="AL152" s="184">
        <f t="shared" ref="AL152:AM152" si="437">ROUND(G152*(6/12)+L152*(4/12)+S152+X152-AE152,2)</f>
        <v>0</v>
      </c>
      <c r="AM152" s="184">
        <f t="shared" si="437"/>
        <v>0</v>
      </c>
      <c r="AN152" s="184">
        <f t="shared" ref="AN152:AO152" si="438">N152+Z152-AG152</f>
        <v>1</v>
      </c>
      <c r="AO152" s="184">
        <f t="shared" si="438"/>
        <v>1</v>
      </c>
      <c r="AP152" s="5"/>
      <c r="AQ152" s="176">
        <v>0.5</v>
      </c>
      <c r="AR152" s="176" t="s">
        <v>913</v>
      </c>
      <c r="AS152" s="176" t="s">
        <v>913</v>
      </c>
      <c r="AT152" s="176" t="s">
        <v>913</v>
      </c>
      <c r="AU152" s="176">
        <v>1.0</v>
      </c>
      <c r="AV152" s="176">
        <v>1.0</v>
      </c>
      <c r="AW152" s="180" t="s">
        <v>2176</v>
      </c>
      <c r="AX152" s="5"/>
      <c r="AY152" s="416"/>
      <c r="BA152" s="81"/>
      <c r="BB152" s="81"/>
      <c r="BC152" s="81"/>
      <c r="BD152" s="81"/>
      <c r="BE152" s="81"/>
      <c r="BF152" s="81"/>
      <c r="BG152" s="81"/>
    </row>
    <row r="153">
      <c r="A153" s="176">
        <v>177.0</v>
      </c>
      <c r="B153" s="456" t="s">
        <v>2177</v>
      </c>
      <c r="C153" s="287" t="s">
        <v>221</v>
      </c>
      <c r="D153" s="401"/>
      <c r="E153" s="401"/>
      <c r="F153" s="373"/>
      <c r="G153" s="373"/>
      <c r="H153" s="373"/>
      <c r="I153" s="401">
        <v>4.0</v>
      </c>
      <c r="J153" s="401">
        <v>0.0</v>
      </c>
      <c r="K153" s="373"/>
      <c r="L153" s="373"/>
      <c r="M153" s="373"/>
      <c r="N153" s="180">
        <v>1.0</v>
      </c>
      <c r="O153" s="180">
        <v>1.0</v>
      </c>
      <c r="P153" s="5"/>
      <c r="Q153" s="176">
        <f t="shared" ref="Q153:T153" si="439">round(J153/6,2)</f>
        <v>0</v>
      </c>
      <c r="R153" s="176">
        <f t="shared" si="439"/>
        <v>0</v>
      </c>
      <c r="S153" s="176">
        <f t="shared" si="439"/>
        <v>0</v>
      </c>
      <c r="T153" s="176">
        <f t="shared" si="439"/>
        <v>0</v>
      </c>
      <c r="U153" s="5"/>
      <c r="V153" s="176">
        <v>0.1</v>
      </c>
      <c r="W153" s="184"/>
      <c r="X153" s="184"/>
      <c r="Y153" s="184"/>
      <c r="Z153" s="184"/>
      <c r="AA153" s="184"/>
      <c r="AB153" s="5"/>
      <c r="AC153" s="184"/>
      <c r="AD153" s="184"/>
      <c r="AE153" s="184"/>
      <c r="AF153" s="184"/>
      <c r="AG153" s="184"/>
      <c r="AH153" s="184"/>
      <c r="AI153" s="5"/>
      <c r="AJ153" s="184">
        <f t="shared" si="414"/>
        <v>0.1</v>
      </c>
      <c r="AK153" s="184">
        <f t="shared" si="415"/>
        <v>0</v>
      </c>
      <c r="AL153" s="184">
        <f t="shared" ref="AL153:AM153" si="440">ROUND(G153*(6/12)+L153*(4/12)+S153+X153-AE153,2)</f>
        <v>0</v>
      </c>
      <c r="AM153" s="184">
        <f t="shared" si="440"/>
        <v>0</v>
      </c>
      <c r="AN153" s="184">
        <f t="shared" ref="AN153:AO153" si="441">N153+Z153-AG153</f>
        <v>1</v>
      </c>
      <c r="AO153" s="184">
        <f t="shared" si="441"/>
        <v>1</v>
      </c>
      <c r="AP153" s="5"/>
      <c r="AQ153" s="176">
        <v>0.0</v>
      </c>
      <c r="AR153" s="176" t="s">
        <v>913</v>
      </c>
      <c r="AS153" s="176" t="s">
        <v>913</v>
      </c>
      <c r="AT153" s="176" t="s">
        <v>913</v>
      </c>
      <c r="AU153" s="176">
        <v>1.0</v>
      </c>
      <c r="AV153" s="176">
        <v>1.0</v>
      </c>
      <c r="AW153" s="180" t="s">
        <v>2178</v>
      </c>
      <c r="AX153" s="5"/>
      <c r="AY153" s="417"/>
      <c r="BA153" s="81"/>
      <c r="BB153" s="81"/>
      <c r="BC153" s="81"/>
      <c r="BD153" s="81"/>
      <c r="BE153" s="81"/>
      <c r="BF153" s="81"/>
      <c r="BG153" s="81"/>
    </row>
    <row r="154">
      <c r="A154" s="176">
        <v>178.0</v>
      </c>
      <c r="B154" s="456" t="s">
        <v>1495</v>
      </c>
      <c r="C154" s="287" t="s">
        <v>221</v>
      </c>
      <c r="D154" s="401"/>
      <c r="E154" s="401"/>
      <c r="F154" s="373"/>
      <c r="G154" s="373"/>
      <c r="H154" s="373"/>
      <c r="I154" s="401">
        <v>3.0</v>
      </c>
      <c r="J154" s="401">
        <v>1.0</v>
      </c>
      <c r="K154" s="373"/>
      <c r="L154" s="373"/>
      <c r="M154" s="373"/>
      <c r="N154" s="180">
        <v>1.0</v>
      </c>
      <c r="O154" s="180">
        <v>1.0</v>
      </c>
      <c r="P154" s="5"/>
      <c r="Q154" s="176">
        <f t="shared" ref="Q154:T154" si="442">round(J154/6,2)</f>
        <v>0.17</v>
      </c>
      <c r="R154" s="176">
        <f t="shared" si="442"/>
        <v>0</v>
      </c>
      <c r="S154" s="176">
        <f t="shared" si="442"/>
        <v>0</v>
      </c>
      <c r="T154" s="176">
        <f t="shared" si="442"/>
        <v>0</v>
      </c>
      <c r="U154" s="5"/>
      <c r="V154" s="184"/>
      <c r="W154" s="184"/>
      <c r="X154" s="184"/>
      <c r="Y154" s="184"/>
      <c r="Z154" s="184"/>
      <c r="AA154" s="184"/>
      <c r="AB154" s="5"/>
      <c r="AC154" s="184"/>
      <c r="AD154" s="184"/>
      <c r="AE154" s="184"/>
      <c r="AF154" s="184"/>
      <c r="AG154" s="184"/>
      <c r="AH154" s="184"/>
      <c r="AI154" s="5"/>
      <c r="AJ154" s="184">
        <f t="shared" si="414"/>
        <v>0.5</v>
      </c>
      <c r="AK154" s="184">
        <f t="shared" si="415"/>
        <v>0</v>
      </c>
      <c r="AL154" s="184">
        <f t="shared" ref="AL154:AM154" si="443">ROUND(G154*(6/12)+L154*(4/12)+S154+X154-AE154,2)</f>
        <v>0</v>
      </c>
      <c r="AM154" s="184">
        <f t="shared" si="443"/>
        <v>0</v>
      </c>
      <c r="AN154" s="184">
        <f t="shared" ref="AN154:AO154" si="444">N154+Z154-AG154</f>
        <v>1</v>
      </c>
      <c r="AO154" s="184">
        <f t="shared" si="444"/>
        <v>1</v>
      </c>
      <c r="AP154" s="5"/>
      <c r="AQ154" s="176">
        <v>1.0</v>
      </c>
      <c r="AR154" s="176" t="s">
        <v>913</v>
      </c>
      <c r="AS154" s="176" t="s">
        <v>913</v>
      </c>
      <c r="AT154" s="176" t="s">
        <v>913</v>
      </c>
      <c r="AU154" s="176">
        <v>1.0</v>
      </c>
      <c r="AV154" s="176">
        <v>1.0</v>
      </c>
      <c r="AW154" s="180" t="s">
        <v>2179</v>
      </c>
      <c r="AX154" s="5"/>
      <c r="AY154" s="416"/>
      <c r="BA154" s="81"/>
      <c r="BB154" s="81"/>
      <c r="BC154" s="81"/>
      <c r="BD154" s="81"/>
      <c r="BE154" s="81"/>
      <c r="BF154" s="81"/>
      <c r="BG154" s="81"/>
    </row>
    <row r="155">
      <c r="A155" s="176">
        <v>180.0</v>
      </c>
      <c r="B155" s="456" t="s">
        <v>86</v>
      </c>
      <c r="C155" s="287" t="s">
        <v>234</v>
      </c>
      <c r="D155" s="401"/>
      <c r="E155" s="401"/>
      <c r="F155" s="401"/>
      <c r="G155" s="401"/>
      <c r="H155" s="401"/>
      <c r="I155" s="245">
        <v>1.0</v>
      </c>
      <c r="J155" s="245">
        <v>1.0</v>
      </c>
      <c r="K155" s="245">
        <v>0.0</v>
      </c>
      <c r="L155" s="245">
        <v>0.0</v>
      </c>
      <c r="M155" s="245">
        <v>0.0</v>
      </c>
      <c r="N155" s="180">
        <v>1.0</v>
      </c>
      <c r="O155" s="180">
        <v>1.0</v>
      </c>
      <c r="P155" s="5"/>
      <c r="Q155" s="176">
        <f t="shared" ref="Q155:T155" si="445">round(J155/6,2)</f>
        <v>0.17</v>
      </c>
      <c r="R155" s="176">
        <f t="shared" si="445"/>
        <v>0</v>
      </c>
      <c r="S155" s="176">
        <f t="shared" si="445"/>
        <v>0</v>
      </c>
      <c r="T155" s="176">
        <f t="shared" si="445"/>
        <v>0</v>
      </c>
      <c r="U155" s="5"/>
      <c r="V155" s="176">
        <v>1.0</v>
      </c>
      <c r="W155" s="184"/>
      <c r="X155" s="184"/>
      <c r="Y155" s="184"/>
      <c r="Z155" s="176"/>
      <c r="AA155" s="176"/>
      <c r="AB155" s="5"/>
      <c r="AC155" s="184"/>
      <c r="AD155" s="184"/>
      <c r="AE155" s="184"/>
      <c r="AF155" s="184"/>
      <c r="AG155" s="184"/>
      <c r="AH155" s="184"/>
      <c r="AI155" s="5"/>
      <c r="AJ155" s="184">
        <f t="shared" si="414"/>
        <v>1.5</v>
      </c>
      <c r="AK155" s="184">
        <f t="shared" si="415"/>
        <v>0</v>
      </c>
      <c r="AL155" s="184">
        <f t="shared" ref="AL155:AM155" si="446">ROUND(G155*(6/12)+L155*(4/12)+S155+X155-AE155,2)</f>
        <v>0</v>
      </c>
      <c r="AM155" s="184">
        <f t="shared" si="446"/>
        <v>0</v>
      </c>
      <c r="AN155" s="184">
        <f t="shared" ref="AN155:AO155" si="447">N155+Z155-AG155</f>
        <v>1</v>
      </c>
      <c r="AO155" s="184">
        <f t="shared" si="447"/>
        <v>1</v>
      </c>
      <c r="AP155" s="5"/>
      <c r="AQ155" s="176">
        <v>0.0</v>
      </c>
      <c r="AR155" s="176" t="s">
        <v>913</v>
      </c>
      <c r="AS155" s="176" t="s">
        <v>913</v>
      </c>
      <c r="AT155" s="176" t="s">
        <v>913</v>
      </c>
      <c r="AU155" s="176">
        <v>0.0</v>
      </c>
      <c r="AV155" s="176">
        <v>0.0</v>
      </c>
      <c r="AW155" s="180" t="s">
        <v>2180</v>
      </c>
      <c r="AX155" s="5"/>
      <c r="AY155" s="417"/>
      <c r="BA155" s="81"/>
      <c r="BB155" s="81"/>
      <c r="BC155" s="81"/>
      <c r="BD155" s="81"/>
      <c r="BE155" s="81"/>
      <c r="BF155" s="81"/>
      <c r="BG155" s="81"/>
    </row>
    <row r="156">
      <c r="A156" s="176">
        <v>181.0</v>
      </c>
      <c r="B156" s="456" t="s">
        <v>237</v>
      </c>
      <c r="C156" s="287" t="s">
        <v>234</v>
      </c>
      <c r="D156" s="401"/>
      <c r="E156" s="245"/>
      <c r="F156" s="401"/>
      <c r="G156" s="245"/>
      <c r="H156" s="401"/>
      <c r="I156" s="245">
        <v>3.0</v>
      </c>
      <c r="J156" s="245">
        <v>0.4</v>
      </c>
      <c r="K156" s="245">
        <v>0.0</v>
      </c>
      <c r="L156" s="245">
        <v>0.6</v>
      </c>
      <c r="M156" s="245">
        <v>0.0</v>
      </c>
      <c r="N156" s="180">
        <v>1.0</v>
      </c>
      <c r="O156" s="180">
        <v>1.0</v>
      </c>
      <c r="P156" s="5"/>
      <c r="Q156" s="176">
        <f t="shared" ref="Q156:T156" si="448">round(J156/6,2)</f>
        <v>0.07</v>
      </c>
      <c r="R156" s="176">
        <f t="shared" si="448"/>
        <v>0</v>
      </c>
      <c r="S156" s="176">
        <f t="shared" si="448"/>
        <v>0.1</v>
      </c>
      <c r="T156" s="176">
        <f t="shared" si="448"/>
        <v>0</v>
      </c>
      <c r="U156" s="5"/>
      <c r="V156" s="176">
        <v>1.75</v>
      </c>
      <c r="W156" s="184"/>
      <c r="X156" s="176">
        <v>1.0</v>
      </c>
      <c r="Y156" s="184"/>
      <c r="Z156" s="176">
        <v>1.25</v>
      </c>
      <c r="AA156" s="176">
        <v>1.0</v>
      </c>
      <c r="AB156" s="5"/>
      <c r="AC156" s="184"/>
      <c r="AD156" s="184"/>
      <c r="AE156" s="184"/>
      <c r="AF156" s="184"/>
      <c r="AG156" s="184"/>
      <c r="AH156" s="184"/>
      <c r="AI156" s="5"/>
      <c r="AJ156" s="184">
        <f t="shared" si="414"/>
        <v>1.95</v>
      </c>
      <c r="AK156" s="184">
        <f t="shared" si="415"/>
        <v>0</v>
      </c>
      <c r="AL156" s="184">
        <f t="shared" ref="AL156:AM156" si="449">ROUND(G156*(6/12)+L156*(4/12)+S156+X156-AE156,2)</f>
        <v>1.3</v>
      </c>
      <c r="AM156" s="184">
        <f t="shared" si="449"/>
        <v>0</v>
      </c>
      <c r="AN156" s="184">
        <f t="shared" ref="AN156:AO156" si="450">N156+Z156-AG156</f>
        <v>2.25</v>
      </c>
      <c r="AO156" s="184">
        <f t="shared" si="450"/>
        <v>2</v>
      </c>
      <c r="AP156" s="5"/>
      <c r="AQ156" s="176">
        <v>0.0</v>
      </c>
      <c r="AR156" s="176" t="s">
        <v>913</v>
      </c>
      <c r="AS156" s="176">
        <v>0.0</v>
      </c>
      <c r="AT156" s="176" t="s">
        <v>913</v>
      </c>
      <c r="AU156" s="176">
        <v>0.0</v>
      </c>
      <c r="AV156" s="176">
        <v>0.0</v>
      </c>
      <c r="AW156" s="180" t="s">
        <v>2181</v>
      </c>
      <c r="AX156" s="5"/>
      <c r="AY156" s="417"/>
      <c r="BA156" s="81"/>
      <c r="BB156" s="81"/>
      <c r="BC156" s="81"/>
      <c r="BD156" s="81"/>
      <c r="BE156" s="81"/>
      <c r="BF156" s="81"/>
      <c r="BG156" s="81"/>
    </row>
    <row r="157">
      <c r="A157" s="176">
        <v>183.0</v>
      </c>
      <c r="B157" s="456" t="s">
        <v>1946</v>
      </c>
      <c r="C157" s="287" t="s">
        <v>234</v>
      </c>
      <c r="D157" s="401"/>
      <c r="E157" s="245"/>
      <c r="F157" s="245"/>
      <c r="G157" s="401"/>
      <c r="H157" s="401"/>
      <c r="I157" s="245">
        <v>2.0</v>
      </c>
      <c r="J157" s="245">
        <v>1.0</v>
      </c>
      <c r="K157" s="245">
        <v>0.4</v>
      </c>
      <c r="L157" s="245">
        <v>0.0</v>
      </c>
      <c r="M157" s="245">
        <v>0.6</v>
      </c>
      <c r="N157" s="180">
        <v>1.0</v>
      </c>
      <c r="O157" s="180">
        <v>1.0</v>
      </c>
      <c r="P157" s="5"/>
      <c r="Q157" s="176">
        <f t="shared" ref="Q157:T157" si="451">round(J157/6,2)</f>
        <v>0.17</v>
      </c>
      <c r="R157" s="176">
        <f t="shared" si="451"/>
        <v>0.07</v>
      </c>
      <c r="S157" s="176">
        <f t="shared" si="451"/>
        <v>0</v>
      </c>
      <c r="T157" s="176">
        <f t="shared" si="451"/>
        <v>0.1</v>
      </c>
      <c r="U157" s="5"/>
      <c r="V157" s="176">
        <v>1.0</v>
      </c>
      <c r="W157" s="184"/>
      <c r="X157" s="184"/>
      <c r="Y157" s="184"/>
      <c r="Z157" s="176">
        <v>1.0</v>
      </c>
      <c r="AA157" s="176">
        <v>1.0</v>
      </c>
      <c r="AB157" s="5"/>
      <c r="AC157" s="184"/>
      <c r="AD157" s="184"/>
      <c r="AE157" s="184"/>
      <c r="AF157" s="184"/>
      <c r="AG157" s="184"/>
      <c r="AH157" s="184"/>
      <c r="AI157" s="5"/>
      <c r="AJ157" s="184">
        <f t="shared" si="414"/>
        <v>1.5</v>
      </c>
      <c r="AK157" s="184">
        <f t="shared" si="415"/>
        <v>0.203</v>
      </c>
      <c r="AL157" s="184">
        <f t="shared" ref="AL157:AM157" si="452">ROUND(G157*(6/12)+L157*(4/12)+S157+X157-AE157,2)</f>
        <v>0</v>
      </c>
      <c r="AM157" s="184">
        <f t="shared" si="452"/>
        <v>0.3</v>
      </c>
      <c r="AN157" s="184">
        <f t="shared" ref="AN157:AO157" si="453">N157+Z157-AG157</f>
        <v>2</v>
      </c>
      <c r="AO157" s="184">
        <f t="shared" si="453"/>
        <v>2</v>
      </c>
      <c r="AP157" s="5"/>
      <c r="AQ157" s="176">
        <v>0.0</v>
      </c>
      <c r="AR157" s="176">
        <v>0.0</v>
      </c>
      <c r="AS157" s="176" t="s">
        <v>913</v>
      </c>
      <c r="AT157" s="184"/>
      <c r="AU157" s="176">
        <v>0.0</v>
      </c>
      <c r="AV157" s="176">
        <v>0.0</v>
      </c>
      <c r="AW157" s="180" t="s">
        <v>2182</v>
      </c>
      <c r="AX157" s="5"/>
      <c r="AY157" s="417"/>
      <c r="BA157" s="81"/>
      <c r="BB157" s="81"/>
      <c r="BC157" s="81"/>
      <c r="BD157" s="81"/>
      <c r="BE157" s="81"/>
      <c r="BF157" s="81"/>
      <c r="BG157" s="81"/>
    </row>
    <row r="158">
      <c r="A158" s="176">
        <v>184.0</v>
      </c>
      <c r="B158" s="456" t="s">
        <v>238</v>
      </c>
      <c r="C158" s="287" t="s">
        <v>234</v>
      </c>
      <c r="D158" s="245"/>
      <c r="E158" s="245"/>
      <c r="F158" s="401"/>
      <c r="G158" s="401"/>
      <c r="H158" s="401"/>
      <c r="I158" s="245">
        <v>2.0</v>
      </c>
      <c r="J158" s="245">
        <v>1.9</v>
      </c>
      <c r="K158" s="245">
        <v>0.1</v>
      </c>
      <c r="L158" s="245">
        <v>0.0</v>
      </c>
      <c r="M158" s="245">
        <v>0.0</v>
      </c>
      <c r="N158" s="180">
        <v>1.0</v>
      </c>
      <c r="O158" s="180">
        <v>1.0</v>
      </c>
      <c r="P158" s="5"/>
      <c r="Q158" s="176">
        <f t="shared" ref="Q158:T158" si="454">round(J158/6,2)</f>
        <v>0.32</v>
      </c>
      <c r="R158" s="176">
        <f t="shared" si="454"/>
        <v>0.02</v>
      </c>
      <c r="S158" s="176">
        <f t="shared" si="454"/>
        <v>0</v>
      </c>
      <c r="T158" s="176">
        <f t="shared" si="454"/>
        <v>0</v>
      </c>
      <c r="U158" s="5"/>
      <c r="V158" s="184"/>
      <c r="W158" s="184"/>
      <c r="X158" s="184"/>
      <c r="Y158" s="184"/>
      <c r="Z158" s="176">
        <v>1.0</v>
      </c>
      <c r="AA158" s="176">
        <v>1.0</v>
      </c>
      <c r="AB158" s="5"/>
      <c r="AC158" s="184"/>
      <c r="AD158" s="184"/>
      <c r="AE158" s="184"/>
      <c r="AF158" s="184"/>
      <c r="AG158" s="184"/>
      <c r="AH158" s="184"/>
      <c r="AI158" s="5"/>
      <c r="AJ158" s="184">
        <f t="shared" si="414"/>
        <v>0.95</v>
      </c>
      <c r="AK158" s="184">
        <f t="shared" si="415"/>
        <v>0.053</v>
      </c>
      <c r="AL158" s="184">
        <f t="shared" ref="AL158:AM158" si="455">ROUND(G158*(6/12)+L158*(4/12)+S158+X158-AE158,2)</f>
        <v>0</v>
      </c>
      <c r="AM158" s="184">
        <f t="shared" si="455"/>
        <v>0</v>
      </c>
      <c r="AN158" s="184">
        <f t="shared" ref="AN158:AO158" si="456">N158+Z158-AG158</f>
        <v>2</v>
      </c>
      <c r="AO158" s="184">
        <f t="shared" si="456"/>
        <v>2</v>
      </c>
      <c r="AP158" s="5"/>
      <c r="AQ158" s="176">
        <v>0.0</v>
      </c>
      <c r="AR158" s="176">
        <v>0.0</v>
      </c>
      <c r="AS158" s="176" t="s">
        <v>913</v>
      </c>
      <c r="AT158" s="176">
        <v>0.0</v>
      </c>
      <c r="AU158" s="176">
        <v>0.0</v>
      </c>
      <c r="AV158" s="176">
        <v>0.0</v>
      </c>
      <c r="AW158" s="424" t="s">
        <v>2183</v>
      </c>
      <c r="AX158" s="5"/>
      <c r="AY158" s="417"/>
      <c r="BA158" s="81"/>
      <c r="BB158" s="81"/>
      <c r="BC158" s="81"/>
      <c r="BD158" s="81"/>
      <c r="BE158" s="81"/>
      <c r="BF158" s="81"/>
      <c r="BG158" s="81"/>
    </row>
    <row r="159">
      <c r="A159" s="176">
        <v>185.0</v>
      </c>
      <c r="B159" s="456" t="s">
        <v>242</v>
      </c>
      <c r="C159" s="287" t="s">
        <v>234</v>
      </c>
      <c r="D159" s="401"/>
      <c r="E159" s="245"/>
      <c r="F159" s="401"/>
      <c r="G159" s="401"/>
      <c r="H159" s="245"/>
      <c r="I159" s="245">
        <v>0.0</v>
      </c>
      <c r="J159" s="245">
        <v>4.0</v>
      </c>
      <c r="K159" s="245">
        <v>0.0</v>
      </c>
      <c r="L159" s="245">
        <v>0.0</v>
      </c>
      <c r="M159" s="245">
        <v>0.0</v>
      </c>
      <c r="N159" s="180">
        <v>1.0</v>
      </c>
      <c r="O159" s="180">
        <v>1.0</v>
      </c>
      <c r="P159" s="5"/>
      <c r="Q159" s="176">
        <f t="shared" ref="Q159:T159" si="457">round(J159/6,2)</f>
        <v>0.67</v>
      </c>
      <c r="R159" s="176">
        <f t="shared" si="457"/>
        <v>0</v>
      </c>
      <c r="S159" s="176">
        <f t="shared" si="457"/>
        <v>0</v>
      </c>
      <c r="T159" s="176">
        <f t="shared" si="457"/>
        <v>0</v>
      </c>
      <c r="U159" s="5"/>
      <c r="V159" s="184"/>
      <c r="W159" s="184"/>
      <c r="X159" s="184"/>
      <c r="Y159" s="184"/>
      <c r="Z159" s="184"/>
      <c r="AA159" s="176">
        <v>1.0</v>
      </c>
      <c r="AB159" s="5"/>
      <c r="AC159" s="184"/>
      <c r="AD159" s="184"/>
      <c r="AE159" s="184"/>
      <c r="AF159" s="184"/>
      <c r="AG159" s="184"/>
      <c r="AH159" s="184"/>
      <c r="AI159" s="5"/>
      <c r="AJ159" s="184">
        <f t="shared" si="414"/>
        <v>2</v>
      </c>
      <c r="AK159" s="184">
        <f t="shared" si="415"/>
        <v>0</v>
      </c>
      <c r="AL159" s="184">
        <f t="shared" ref="AL159:AM159" si="458">ROUND(G159*(6/12)+L159*(4/12)+S159+X159-AE159,2)</f>
        <v>0</v>
      </c>
      <c r="AM159" s="184">
        <f t="shared" si="458"/>
        <v>0</v>
      </c>
      <c r="AN159" s="184">
        <f t="shared" ref="AN159:AO159" si="459">N159+Z159-AG159</f>
        <v>1</v>
      </c>
      <c r="AO159" s="184">
        <f t="shared" si="459"/>
        <v>2</v>
      </c>
      <c r="AP159" s="5"/>
      <c r="AQ159" s="176">
        <v>0.5</v>
      </c>
      <c r="AR159" s="176" t="s">
        <v>913</v>
      </c>
      <c r="AS159" s="176" t="s">
        <v>913</v>
      </c>
      <c r="AT159" s="176">
        <v>0.33</v>
      </c>
      <c r="AU159" s="176">
        <v>1.0</v>
      </c>
      <c r="AV159" s="176">
        <v>0.0</v>
      </c>
      <c r="AW159" s="180" t="s">
        <v>2184</v>
      </c>
      <c r="AX159" s="5"/>
      <c r="AY159" s="417"/>
      <c r="BA159" s="81"/>
      <c r="BB159" s="81"/>
      <c r="BC159" s="81"/>
      <c r="BD159" s="81"/>
      <c r="BE159" s="81"/>
      <c r="BF159" s="81"/>
      <c r="BG159" s="81"/>
    </row>
    <row r="160">
      <c r="A160" s="176">
        <v>186.0</v>
      </c>
      <c r="B160" s="456" t="s">
        <v>1950</v>
      </c>
      <c r="C160" s="287" t="s">
        <v>234</v>
      </c>
      <c r="D160" s="245"/>
      <c r="E160" s="245"/>
      <c r="F160" s="401"/>
      <c r="G160" s="401"/>
      <c r="H160" s="401"/>
      <c r="I160" s="245">
        <v>3.0</v>
      </c>
      <c r="J160" s="245">
        <v>0.9</v>
      </c>
      <c r="K160" s="245">
        <v>0.1</v>
      </c>
      <c r="L160" s="245">
        <v>0.0</v>
      </c>
      <c r="M160" s="245">
        <v>0.0</v>
      </c>
      <c r="N160" s="180">
        <v>1.0</v>
      </c>
      <c r="O160" s="180">
        <v>1.0</v>
      </c>
      <c r="P160" s="5"/>
      <c r="Q160" s="176">
        <f t="shared" ref="Q160:T160" si="460">round(J160/6,2)</f>
        <v>0.15</v>
      </c>
      <c r="R160" s="176">
        <f t="shared" si="460"/>
        <v>0.02</v>
      </c>
      <c r="S160" s="176">
        <f t="shared" si="460"/>
        <v>0</v>
      </c>
      <c r="T160" s="176">
        <f t="shared" si="460"/>
        <v>0</v>
      </c>
      <c r="U160" s="5"/>
      <c r="V160" s="176">
        <v>2.5</v>
      </c>
      <c r="W160" s="184"/>
      <c r="X160" s="184"/>
      <c r="Y160" s="184"/>
      <c r="Z160" s="176">
        <v>2.0</v>
      </c>
      <c r="AA160" s="176">
        <v>1.0</v>
      </c>
      <c r="AB160" s="5"/>
      <c r="AC160" s="184"/>
      <c r="AD160" s="184"/>
      <c r="AE160" s="184"/>
      <c r="AF160" s="184"/>
      <c r="AG160" s="184"/>
      <c r="AH160" s="184"/>
      <c r="AI160" s="5"/>
      <c r="AJ160" s="184">
        <f t="shared" si="414"/>
        <v>2.95</v>
      </c>
      <c r="AK160" s="184">
        <f t="shared" si="415"/>
        <v>0.053</v>
      </c>
      <c r="AL160" s="184">
        <f t="shared" ref="AL160:AM160" si="461">ROUND(G160*(6/12)+L160*(4/12)+S160+X160-AE160,2)</f>
        <v>0</v>
      </c>
      <c r="AM160" s="184">
        <f t="shared" si="461"/>
        <v>0</v>
      </c>
      <c r="AN160" s="184">
        <f t="shared" ref="AN160:AO160" si="462">N160+Z160-AG160</f>
        <v>3</v>
      </c>
      <c r="AO160" s="184">
        <f t="shared" si="462"/>
        <v>2</v>
      </c>
      <c r="AP160" s="5"/>
      <c r="AQ160" s="176">
        <v>0.0</v>
      </c>
      <c r="AR160" s="176">
        <v>0.0</v>
      </c>
      <c r="AS160" s="176" t="s">
        <v>913</v>
      </c>
      <c r="AT160" s="176" t="s">
        <v>913</v>
      </c>
      <c r="AU160" s="176">
        <v>0.0</v>
      </c>
      <c r="AV160" s="176">
        <v>0.0</v>
      </c>
      <c r="AW160" s="180" t="s">
        <v>2185</v>
      </c>
      <c r="AX160" s="5"/>
      <c r="AY160" s="417"/>
      <c r="BA160" s="81"/>
      <c r="BB160" s="81"/>
      <c r="BC160" s="81"/>
      <c r="BD160" s="81"/>
      <c r="BE160" s="81"/>
      <c r="BF160" s="81"/>
      <c r="BG160" s="81"/>
    </row>
    <row r="161">
      <c r="A161" s="176">
        <v>187.0</v>
      </c>
      <c r="B161" s="456" t="s">
        <v>1951</v>
      </c>
      <c r="C161" s="287" t="s">
        <v>234</v>
      </c>
      <c r="D161" s="245"/>
      <c r="E161" s="245"/>
      <c r="F161" s="401"/>
      <c r="G161" s="401"/>
      <c r="H161" s="401"/>
      <c r="I161" s="245">
        <v>2.0</v>
      </c>
      <c r="J161" s="245">
        <v>2.0</v>
      </c>
      <c r="K161" s="245">
        <v>0.0</v>
      </c>
      <c r="L161" s="245">
        <v>0.0</v>
      </c>
      <c r="M161" s="245">
        <v>0.0</v>
      </c>
      <c r="N161" s="180">
        <v>1.0</v>
      </c>
      <c r="O161" s="180">
        <v>1.0</v>
      </c>
      <c r="P161" s="5"/>
      <c r="Q161" s="176">
        <f t="shared" ref="Q161:T161" si="463">round(J161/6,2)</f>
        <v>0.33</v>
      </c>
      <c r="R161" s="176">
        <f t="shared" si="463"/>
        <v>0</v>
      </c>
      <c r="S161" s="176">
        <f t="shared" si="463"/>
        <v>0</v>
      </c>
      <c r="T161" s="176">
        <f t="shared" si="463"/>
        <v>0</v>
      </c>
      <c r="U161" s="5"/>
      <c r="V161" s="184"/>
      <c r="W161" s="184"/>
      <c r="X161" s="184"/>
      <c r="Y161" s="184"/>
      <c r="Z161" s="176">
        <v>0.0</v>
      </c>
      <c r="AA161" s="176">
        <v>0.0</v>
      </c>
      <c r="AB161" s="5"/>
      <c r="AC161" s="184"/>
      <c r="AD161" s="184"/>
      <c r="AE161" s="184"/>
      <c r="AF161" s="184"/>
      <c r="AG161" s="184"/>
      <c r="AH161" s="184"/>
      <c r="AI161" s="5"/>
      <c r="AJ161" s="184">
        <f t="shared" si="414"/>
        <v>1</v>
      </c>
      <c r="AK161" s="184">
        <f t="shared" si="415"/>
        <v>0</v>
      </c>
      <c r="AL161" s="184">
        <f t="shared" ref="AL161:AM161" si="464">ROUND(G161*(6/12)+L161*(4/12)+S161+X161-AE161,2)</f>
        <v>0</v>
      </c>
      <c r="AM161" s="184">
        <f t="shared" si="464"/>
        <v>0</v>
      </c>
      <c r="AN161" s="184">
        <f t="shared" ref="AN161:AO161" si="465">N161+Z161-AG161</f>
        <v>1</v>
      </c>
      <c r="AO161" s="184">
        <f t="shared" si="465"/>
        <v>1</v>
      </c>
      <c r="AP161" s="5"/>
      <c r="AQ161" s="176">
        <v>0.0</v>
      </c>
      <c r="AR161" s="176" t="s">
        <v>913</v>
      </c>
      <c r="AS161" s="176" t="s">
        <v>913</v>
      </c>
      <c r="AT161" s="176" t="s">
        <v>913</v>
      </c>
      <c r="AU161" s="176">
        <v>0.0</v>
      </c>
      <c r="AV161" s="176">
        <v>0.0</v>
      </c>
      <c r="AW161" s="180" t="s">
        <v>2186</v>
      </c>
      <c r="AX161" s="5"/>
      <c r="AY161" s="417"/>
      <c r="BA161" s="81"/>
      <c r="BB161" s="81"/>
      <c r="BC161" s="81"/>
      <c r="BD161" s="81"/>
      <c r="BE161" s="81"/>
      <c r="BF161" s="81"/>
      <c r="BG161" s="81"/>
    </row>
    <row r="162">
      <c r="A162" s="176">
        <v>188.0</v>
      </c>
      <c r="B162" s="456" t="s">
        <v>1508</v>
      </c>
      <c r="C162" s="287" t="s">
        <v>234</v>
      </c>
      <c r="D162" s="401"/>
      <c r="E162" s="401"/>
      <c r="F162" s="401"/>
      <c r="G162" s="401"/>
      <c r="H162" s="401"/>
      <c r="I162" s="245">
        <v>2.0</v>
      </c>
      <c r="J162" s="245">
        <v>1.4</v>
      </c>
      <c r="K162" s="245">
        <v>0.6</v>
      </c>
      <c r="L162" s="245">
        <v>0.0</v>
      </c>
      <c r="M162" s="245">
        <v>0.0</v>
      </c>
      <c r="N162" s="180">
        <v>1.0</v>
      </c>
      <c r="O162" s="180">
        <v>1.0</v>
      </c>
      <c r="P162" s="5"/>
      <c r="Q162" s="176">
        <f t="shared" ref="Q162:T162" si="466">round(J162/6,2)</f>
        <v>0.23</v>
      </c>
      <c r="R162" s="176">
        <f t="shared" si="466"/>
        <v>0.1</v>
      </c>
      <c r="S162" s="176">
        <f t="shared" si="466"/>
        <v>0</v>
      </c>
      <c r="T162" s="176">
        <f t="shared" si="466"/>
        <v>0</v>
      </c>
      <c r="U162" s="5"/>
      <c r="V162" s="184"/>
      <c r="W162" s="184"/>
      <c r="X162" s="184"/>
      <c r="Y162" s="184"/>
      <c r="Z162" s="176">
        <v>0.0</v>
      </c>
      <c r="AA162" s="176">
        <v>0.0</v>
      </c>
      <c r="AB162" s="5"/>
      <c r="AC162" s="184"/>
      <c r="AD162" s="184"/>
      <c r="AE162" s="184"/>
      <c r="AF162" s="184"/>
      <c r="AG162" s="184"/>
      <c r="AH162" s="184"/>
      <c r="AI162" s="5"/>
      <c r="AJ162" s="184">
        <f t="shared" si="414"/>
        <v>0.7</v>
      </c>
      <c r="AK162" s="184">
        <f t="shared" si="415"/>
        <v>0.3</v>
      </c>
      <c r="AL162" s="184">
        <f t="shared" ref="AL162:AM162" si="467">ROUND(G162*(6/12)+L162*(4/12)+S162+X162-AE162,2)</f>
        <v>0</v>
      </c>
      <c r="AM162" s="184">
        <f t="shared" si="467"/>
        <v>0</v>
      </c>
      <c r="AN162" s="184">
        <f t="shared" ref="AN162:AO162" si="468">N162+Z162-AG162</f>
        <v>1</v>
      </c>
      <c r="AO162" s="184">
        <f t="shared" si="468"/>
        <v>1</v>
      </c>
      <c r="AP162" s="5"/>
      <c r="AQ162" s="176">
        <v>0.0</v>
      </c>
      <c r="AR162" s="176">
        <v>0.5</v>
      </c>
      <c r="AS162" s="176" t="s">
        <v>913</v>
      </c>
      <c r="AT162" s="176" t="s">
        <v>913</v>
      </c>
      <c r="AU162" s="176">
        <v>0.0</v>
      </c>
      <c r="AV162" s="176">
        <v>0.0</v>
      </c>
      <c r="AW162" s="180" t="s">
        <v>2187</v>
      </c>
      <c r="AX162" s="5"/>
      <c r="AY162" s="418"/>
      <c r="BA162" s="81"/>
      <c r="BB162" s="81"/>
      <c r="BC162" s="81"/>
      <c r="BD162" s="81"/>
      <c r="BE162" s="81"/>
      <c r="BF162" s="81"/>
      <c r="BG162" s="81"/>
    </row>
    <row r="163">
      <c r="A163" s="176">
        <v>189.0</v>
      </c>
      <c r="B163" s="459" t="s">
        <v>1510</v>
      </c>
      <c r="C163" s="287" t="s">
        <v>234</v>
      </c>
      <c r="D163" s="245"/>
      <c r="E163" s="245"/>
      <c r="F163" s="245"/>
      <c r="G163" s="245"/>
      <c r="H163" s="245"/>
      <c r="I163" s="245">
        <v>4.0</v>
      </c>
      <c r="J163" s="245">
        <v>0.0</v>
      </c>
      <c r="K163" s="245">
        <v>0.0</v>
      </c>
      <c r="L163" s="245">
        <v>0.0</v>
      </c>
      <c r="M163" s="245">
        <v>0.0</v>
      </c>
      <c r="N163" s="180">
        <v>1.0</v>
      </c>
      <c r="O163" s="180">
        <v>1.0</v>
      </c>
      <c r="P163" s="5"/>
      <c r="Q163" s="176">
        <f t="shared" ref="Q163:T163" si="469">round(J163/6,2)</f>
        <v>0</v>
      </c>
      <c r="R163" s="176">
        <f t="shared" si="469"/>
        <v>0</v>
      </c>
      <c r="S163" s="176">
        <f t="shared" si="469"/>
        <v>0</v>
      </c>
      <c r="T163" s="176">
        <f t="shared" si="469"/>
        <v>0</v>
      </c>
      <c r="U163" s="5"/>
      <c r="V163" s="184"/>
      <c r="W163" s="184"/>
      <c r="X163" s="184"/>
      <c r="Y163" s="184"/>
      <c r="Z163" s="176"/>
      <c r="AA163" s="176"/>
      <c r="AB163" s="5"/>
      <c r="AC163" s="184"/>
      <c r="AD163" s="184"/>
      <c r="AE163" s="184"/>
      <c r="AF163" s="184"/>
      <c r="AG163" s="184"/>
      <c r="AH163" s="184"/>
      <c r="AI163" s="5"/>
      <c r="AJ163" s="184">
        <f t="shared" si="414"/>
        <v>0</v>
      </c>
      <c r="AK163" s="184">
        <f t="shared" si="415"/>
        <v>0</v>
      </c>
      <c r="AL163" s="184">
        <f t="shared" ref="AL163:AM163" si="470">ROUND(G163*(6/12)+L163*(4/12)+S163+X163-AE163,2)</f>
        <v>0</v>
      </c>
      <c r="AM163" s="184">
        <f t="shared" si="470"/>
        <v>0</v>
      </c>
      <c r="AN163" s="184">
        <f t="shared" ref="AN163:AO163" si="471">N163+Z163-AG163</f>
        <v>1</v>
      </c>
      <c r="AO163" s="184">
        <f t="shared" si="471"/>
        <v>1</v>
      </c>
      <c r="AP163" s="5"/>
      <c r="AQ163" s="176">
        <v>0.0</v>
      </c>
      <c r="AR163" s="176" t="s">
        <v>913</v>
      </c>
      <c r="AS163" s="176" t="s">
        <v>913</v>
      </c>
      <c r="AT163" s="184"/>
      <c r="AU163" s="176">
        <v>0.0</v>
      </c>
      <c r="AV163" s="176">
        <v>0.0</v>
      </c>
      <c r="AW163" s="180" t="s">
        <v>2188</v>
      </c>
      <c r="AX163" s="5"/>
      <c r="AY163" s="417"/>
      <c r="BA163" s="81"/>
      <c r="BB163" s="81"/>
      <c r="BC163" s="81"/>
      <c r="BD163" s="81"/>
      <c r="BE163" s="81"/>
      <c r="BF163" s="81"/>
      <c r="BG163" s="81"/>
    </row>
    <row r="164">
      <c r="A164" s="176">
        <v>190.0</v>
      </c>
      <c r="B164" s="459" t="s">
        <v>2189</v>
      </c>
      <c r="C164" s="287" t="s">
        <v>234</v>
      </c>
      <c r="D164" s="245"/>
      <c r="E164" s="245"/>
      <c r="F164" s="245"/>
      <c r="G164" s="245"/>
      <c r="H164" s="245"/>
      <c r="I164" s="245">
        <v>2.0</v>
      </c>
      <c r="J164" s="245">
        <v>2.0</v>
      </c>
      <c r="K164" s="245">
        <v>0.0</v>
      </c>
      <c r="L164" s="245">
        <v>0.0</v>
      </c>
      <c r="M164" s="245">
        <v>0.0</v>
      </c>
      <c r="N164" s="180">
        <v>1.0</v>
      </c>
      <c r="O164" s="180">
        <v>1.0</v>
      </c>
      <c r="P164" s="5"/>
      <c r="Q164" s="176">
        <f t="shared" ref="Q164:T164" si="472">round(J164/6,2)</f>
        <v>0.33</v>
      </c>
      <c r="R164" s="176">
        <f t="shared" si="472"/>
        <v>0</v>
      </c>
      <c r="S164" s="176">
        <f t="shared" si="472"/>
        <v>0</v>
      </c>
      <c r="T164" s="176">
        <f t="shared" si="472"/>
        <v>0</v>
      </c>
      <c r="U164" s="5"/>
      <c r="V164" s="184"/>
      <c r="W164" s="184"/>
      <c r="X164" s="184"/>
      <c r="Y164" s="184"/>
      <c r="Z164" s="176"/>
      <c r="AA164" s="176"/>
      <c r="AB164" s="5"/>
      <c r="AC164" s="184"/>
      <c r="AD164" s="184"/>
      <c r="AE164" s="184"/>
      <c r="AF164" s="184"/>
      <c r="AG164" s="184"/>
      <c r="AH164" s="184"/>
      <c r="AI164" s="5"/>
      <c r="AJ164" s="213">
        <v>0.0</v>
      </c>
      <c r="AK164" s="184">
        <f t="shared" si="415"/>
        <v>0</v>
      </c>
      <c r="AL164" s="184">
        <f t="shared" ref="AL164:AM164" si="473">ROUND(G164*(6/12)+L164*(4/12)+S164+X164-AE164,2)</f>
        <v>0</v>
      </c>
      <c r="AM164" s="184">
        <f t="shared" si="473"/>
        <v>0</v>
      </c>
      <c r="AN164" s="213">
        <v>0.0</v>
      </c>
      <c r="AO164" s="213">
        <v>0.0</v>
      </c>
      <c r="AP164" s="5"/>
      <c r="AQ164" s="176"/>
      <c r="AR164" s="176" t="s">
        <v>913</v>
      </c>
      <c r="AS164" s="176" t="s">
        <v>913</v>
      </c>
      <c r="AT164" s="176" t="s">
        <v>913</v>
      </c>
      <c r="AU164" s="176" t="s">
        <v>913</v>
      </c>
      <c r="AV164" s="176" t="s">
        <v>913</v>
      </c>
      <c r="AW164" s="354"/>
      <c r="AX164" s="5"/>
      <c r="AY164" s="417"/>
      <c r="BA164" s="81"/>
      <c r="BB164" s="81"/>
      <c r="BC164" s="81"/>
      <c r="BD164" s="81"/>
      <c r="BE164" s="81"/>
      <c r="BF164" s="81"/>
      <c r="BG164" s="81"/>
    </row>
    <row r="165">
      <c r="A165" s="176">
        <v>191.0</v>
      </c>
      <c r="B165" s="459" t="s">
        <v>2190</v>
      </c>
      <c r="C165" s="287" t="s">
        <v>234</v>
      </c>
      <c r="D165" s="245"/>
      <c r="E165" s="245"/>
      <c r="F165" s="245"/>
      <c r="G165" s="245"/>
      <c r="H165" s="245"/>
      <c r="I165" s="245">
        <v>2.0</v>
      </c>
      <c r="J165" s="245">
        <v>2.0</v>
      </c>
      <c r="K165" s="245">
        <v>0.0</v>
      </c>
      <c r="L165" s="245">
        <v>0.0</v>
      </c>
      <c r="M165" s="245">
        <v>0.0</v>
      </c>
      <c r="N165" s="180">
        <v>1.0</v>
      </c>
      <c r="O165" s="180">
        <v>1.0</v>
      </c>
      <c r="P165" s="5"/>
      <c r="Q165" s="176">
        <f t="shared" ref="Q165:T165" si="474">round(J165/6,2)</f>
        <v>0.33</v>
      </c>
      <c r="R165" s="176">
        <f t="shared" si="474"/>
        <v>0</v>
      </c>
      <c r="S165" s="176">
        <f t="shared" si="474"/>
        <v>0</v>
      </c>
      <c r="T165" s="176">
        <f t="shared" si="474"/>
        <v>0</v>
      </c>
      <c r="U165" s="5"/>
      <c r="V165" s="184"/>
      <c r="W165" s="184"/>
      <c r="X165" s="184"/>
      <c r="Y165" s="184"/>
      <c r="Z165" s="176"/>
      <c r="AA165" s="176"/>
      <c r="AB165" s="5"/>
      <c r="AC165" s="184"/>
      <c r="AD165" s="184"/>
      <c r="AE165" s="184"/>
      <c r="AF165" s="184"/>
      <c r="AG165" s="184"/>
      <c r="AH165" s="184"/>
      <c r="AI165" s="5"/>
      <c r="AJ165" s="213">
        <v>0.0</v>
      </c>
      <c r="AK165" s="184">
        <f t="shared" si="415"/>
        <v>0</v>
      </c>
      <c r="AL165" s="184">
        <f t="shared" ref="AL165:AM165" si="475">ROUND(G165*(6/12)+L165*(4/12)+S165+X165-AE165,2)</f>
        <v>0</v>
      </c>
      <c r="AM165" s="184">
        <f t="shared" si="475"/>
        <v>0</v>
      </c>
      <c r="AN165" s="213">
        <v>0.0</v>
      </c>
      <c r="AO165" s="213">
        <v>0.0</v>
      </c>
      <c r="AP165" s="5"/>
      <c r="AQ165" s="184"/>
      <c r="AR165" s="176" t="s">
        <v>913</v>
      </c>
      <c r="AS165" s="176" t="s">
        <v>913</v>
      </c>
      <c r="AT165" s="176" t="s">
        <v>913</v>
      </c>
      <c r="AU165" s="176" t="s">
        <v>913</v>
      </c>
      <c r="AV165" s="176" t="s">
        <v>913</v>
      </c>
      <c r="AW165" s="354"/>
      <c r="AX165" s="5"/>
      <c r="AY165" s="417"/>
      <c r="BA165" s="81"/>
      <c r="BB165" s="81"/>
      <c r="BC165" s="81"/>
      <c r="BD165" s="81"/>
      <c r="BE165" s="81"/>
      <c r="BF165" s="81"/>
      <c r="BG165" s="81"/>
    </row>
    <row r="166">
      <c r="A166" s="176">
        <v>192.0</v>
      </c>
      <c r="B166" s="459" t="s">
        <v>2191</v>
      </c>
      <c r="C166" s="287" t="s">
        <v>234</v>
      </c>
      <c r="D166" s="245"/>
      <c r="E166" s="245"/>
      <c r="F166" s="245"/>
      <c r="G166" s="245"/>
      <c r="H166" s="245"/>
      <c r="I166" s="245">
        <v>4.0</v>
      </c>
      <c r="J166" s="245">
        <v>0.0</v>
      </c>
      <c r="K166" s="245">
        <v>0.0</v>
      </c>
      <c r="L166" s="245">
        <v>0.0</v>
      </c>
      <c r="M166" s="245">
        <v>0.0</v>
      </c>
      <c r="N166" s="180">
        <v>1.0</v>
      </c>
      <c r="O166" s="180">
        <v>1.0</v>
      </c>
      <c r="P166" s="5"/>
      <c r="Q166" s="176">
        <f t="shared" ref="Q166:T166" si="476">round(J166/6,2)</f>
        <v>0</v>
      </c>
      <c r="R166" s="176">
        <f t="shared" si="476"/>
        <v>0</v>
      </c>
      <c r="S166" s="176">
        <f t="shared" si="476"/>
        <v>0</v>
      </c>
      <c r="T166" s="176">
        <f t="shared" si="476"/>
        <v>0</v>
      </c>
      <c r="U166" s="5"/>
      <c r="V166" s="184"/>
      <c r="W166" s="184"/>
      <c r="X166" s="184"/>
      <c r="Y166" s="184"/>
      <c r="Z166" s="176"/>
      <c r="AA166" s="176"/>
      <c r="AB166" s="5"/>
      <c r="AC166" s="184"/>
      <c r="AD166" s="184"/>
      <c r="AE166" s="184"/>
      <c r="AF166" s="184"/>
      <c r="AG166" s="184"/>
      <c r="AH166" s="184"/>
      <c r="AI166" s="5"/>
      <c r="AJ166" s="184">
        <f>ROUND(E166*(6/12)+J166*(4/12)+Q166+V166-AC166,2)</f>
        <v>0</v>
      </c>
      <c r="AK166" s="184">
        <f t="shared" si="415"/>
        <v>0</v>
      </c>
      <c r="AL166" s="184">
        <f t="shared" ref="AL166:AM166" si="477">ROUND(G166*(6/12)+L166*(4/12)+S166+X166-AE166,2)</f>
        <v>0</v>
      </c>
      <c r="AM166" s="184">
        <f t="shared" si="477"/>
        <v>0</v>
      </c>
      <c r="AN166" s="213">
        <v>0.0</v>
      </c>
      <c r="AO166" s="213">
        <v>0.0</v>
      </c>
      <c r="AP166" s="5"/>
      <c r="AQ166" s="176">
        <v>0.0</v>
      </c>
      <c r="AR166" s="176" t="s">
        <v>913</v>
      </c>
      <c r="AS166" s="176" t="s">
        <v>913</v>
      </c>
      <c r="AT166" s="176" t="s">
        <v>913</v>
      </c>
      <c r="AU166" s="176" t="s">
        <v>913</v>
      </c>
      <c r="AV166" s="176" t="s">
        <v>913</v>
      </c>
      <c r="AW166" s="354"/>
      <c r="AX166" s="5"/>
      <c r="AY166" s="417"/>
      <c r="BA166" s="81"/>
      <c r="BB166" s="81"/>
      <c r="BC166" s="81"/>
      <c r="BD166" s="81"/>
      <c r="BE166" s="81"/>
      <c r="BF166" s="81"/>
      <c r="BG166" s="81"/>
    </row>
    <row r="167">
      <c r="A167" s="176">
        <v>195.0</v>
      </c>
      <c r="B167" s="456" t="s">
        <v>1962</v>
      </c>
      <c r="C167" s="287" t="s">
        <v>1457</v>
      </c>
      <c r="D167" s="401"/>
      <c r="E167" s="401"/>
      <c r="F167" s="401"/>
      <c r="G167" s="401"/>
      <c r="H167" s="401"/>
      <c r="I167" s="401">
        <v>3.5</v>
      </c>
      <c r="J167" s="373"/>
      <c r="K167" s="401">
        <v>0.1</v>
      </c>
      <c r="L167" s="401">
        <v>0.4</v>
      </c>
      <c r="M167" s="373"/>
      <c r="N167" s="180">
        <v>1.0</v>
      </c>
      <c r="O167" s="180">
        <v>1.0</v>
      </c>
      <c r="P167" s="5"/>
      <c r="Q167" s="176">
        <f t="shared" ref="Q167:T167" si="478">round(J167/6,2)</f>
        <v>0</v>
      </c>
      <c r="R167" s="176">
        <f t="shared" si="478"/>
        <v>0.02</v>
      </c>
      <c r="S167" s="176">
        <f t="shared" si="478"/>
        <v>0.07</v>
      </c>
      <c r="T167" s="176">
        <f t="shared" si="478"/>
        <v>0</v>
      </c>
      <c r="U167" s="5"/>
      <c r="V167" s="184"/>
      <c r="W167" s="184"/>
      <c r="X167" s="184"/>
      <c r="Y167" s="184"/>
      <c r="Z167" s="184"/>
      <c r="AA167" s="176">
        <v>0.5</v>
      </c>
      <c r="AB167" s="5"/>
      <c r="AC167" s="176">
        <v>0.09</v>
      </c>
      <c r="AD167" s="184"/>
      <c r="AE167" s="184"/>
      <c r="AF167" s="184"/>
      <c r="AG167" s="184"/>
      <c r="AH167" s="184"/>
      <c r="AI167" s="5"/>
      <c r="AJ167" s="184">
        <f t="shared" ref="AJ167:AJ168" si="482">ROUND(E167*(5/12)+J167*(5/12)+Q167+V167-AC167,2)</f>
        <v>-0.09</v>
      </c>
      <c r="AK167" s="184">
        <f t="shared" ref="AK167:AK186" si="483">ROUND(F167*(5/12)+K167*(5/12)+R167+W167-AD167,3)</f>
        <v>0.062</v>
      </c>
      <c r="AL167" s="184">
        <f t="shared" ref="AL167:AM167" si="479">ROUND(G167*(5/12)+L167*(5/12)+S167+X167-AE167,2)</f>
        <v>0.24</v>
      </c>
      <c r="AM167" s="184">
        <f t="shared" si="479"/>
        <v>0</v>
      </c>
      <c r="AN167" s="184">
        <f t="shared" ref="AN167:AO167" si="480">N167+Z167-AG167</f>
        <v>1</v>
      </c>
      <c r="AO167" s="184">
        <f t="shared" si="480"/>
        <v>1.5</v>
      </c>
      <c r="AP167" s="5"/>
      <c r="AQ167" s="176">
        <v>0.25</v>
      </c>
      <c r="AR167" s="176">
        <v>0.0</v>
      </c>
      <c r="AS167" s="176">
        <v>0.0</v>
      </c>
      <c r="AT167" s="176" t="s">
        <v>913</v>
      </c>
      <c r="AU167" s="176">
        <v>1.0</v>
      </c>
      <c r="AV167" s="176">
        <v>0.0</v>
      </c>
      <c r="AW167" s="180" t="s">
        <v>2192</v>
      </c>
      <c r="AX167" s="5"/>
      <c r="AY167" s="418"/>
      <c r="BA167" s="81"/>
      <c r="BB167" s="81"/>
      <c r="BC167" s="81"/>
      <c r="BD167" s="81"/>
      <c r="BE167" s="81"/>
      <c r="BF167" s="81"/>
      <c r="BG167" s="81"/>
    </row>
    <row r="168">
      <c r="A168" s="176">
        <v>196.0</v>
      </c>
      <c r="B168" s="456" t="s">
        <v>1964</v>
      </c>
      <c r="C168" s="287" t="s">
        <v>1457</v>
      </c>
      <c r="D168" s="401"/>
      <c r="E168" s="401"/>
      <c r="F168" s="401"/>
      <c r="G168" s="401"/>
      <c r="H168" s="401"/>
      <c r="I168" s="401">
        <v>4.06</v>
      </c>
      <c r="J168" s="373"/>
      <c r="K168" s="373"/>
      <c r="L168" s="373"/>
      <c r="M168" s="373"/>
      <c r="N168" s="180">
        <v>1.0</v>
      </c>
      <c r="O168" s="180">
        <v>1.0</v>
      </c>
      <c r="P168" s="5"/>
      <c r="Q168" s="176">
        <f t="shared" ref="Q168:T168" si="481">round(J168/6,2)</f>
        <v>0</v>
      </c>
      <c r="R168" s="176">
        <f t="shared" si="481"/>
        <v>0</v>
      </c>
      <c r="S168" s="176">
        <f t="shared" si="481"/>
        <v>0</v>
      </c>
      <c r="T168" s="176">
        <f t="shared" si="481"/>
        <v>0</v>
      </c>
      <c r="U168" s="5"/>
      <c r="V168" s="176">
        <v>0.5</v>
      </c>
      <c r="W168" s="198"/>
      <c r="X168" s="184"/>
      <c r="Y168" s="184"/>
      <c r="Z168" s="176">
        <v>2.0</v>
      </c>
      <c r="AA168" s="184"/>
      <c r="AB168" s="5"/>
      <c r="AC168" s="184"/>
      <c r="AD168" s="176">
        <v>0.06</v>
      </c>
      <c r="AE168" s="184"/>
      <c r="AF168" s="184"/>
      <c r="AG168" s="184"/>
      <c r="AH168" s="184"/>
      <c r="AI168" s="5"/>
      <c r="AJ168" s="184">
        <f t="shared" si="482"/>
        <v>0.5</v>
      </c>
      <c r="AK168" s="184">
        <f t="shared" si="483"/>
        <v>-0.06</v>
      </c>
      <c r="AL168" s="184">
        <f t="shared" ref="AL168:AM168" si="484">ROUND(G168*(5/12)+L168*(5/12)+S168+X168-AE168,2)</f>
        <v>0</v>
      </c>
      <c r="AM168" s="184">
        <f t="shared" si="484"/>
        <v>0</v>
      </c>
      <c r="AN168" s="184">
        <f t="shared" ref="AN168:AO168" si="485">N168+Z168-AG168</f>
        <v>3</v>
      </c>
      <c r="AO168" s="184">
        <f t="shared" si="485"/>
        <v>1</v>
      </c>
      <c r="AP168" s="5"/>
      <c r="AQ168" s="176">
        <v>0.0</v>
      </c>
      <c r="AR168" s="176">
        <v>0.01</v>
      </c>
      <c r="AS168" s="176">
        <v>0.0</v>
      </c>
      <c r="AT168" s="176" t="s">
        <v>913</v>
      </c>
      <c r="AU168" s="176">
        <v>1.0</v>
      </c>
      <c r="AV168" s="176">
        <v>0.0</v>
      </c>
      <c r="AW168" s="180" t="s">
        <v>2193</v>
      </c>
      <c r="AX168" s="5"/>
      <c r="AY168" s="418"/>
      <c r="BA168" s="81"/>
      <c r="BB168" s="323">
        <v>0.25</v>
      </c>
      <c r="BC168" s="81"/>
      <c r="BD168" s="81"/>
      <c r="BE168" s="81"/>
      <c r="BF168" s="81"/>
      <c r="BG168" s="280" t="s">
        <v>1683</v>
      </c>
    </row>
    <row r="169">
      <c r="A169" s="176">
        <v>198.0</v>
      </c>
      <c r="B169" s="456" t="s">
        <v>1456</v>
      </c>
      <c r="C169" s="287" t="s">
        <v>1457</v>
      </c>
      <c r="D169" s="401"/>
      <c r="E169" s="401"/>
      <c r="F169" s="401"/>
      <c r="G169" s="401"/>
      <c r="H169" s="401"/>
      <c r="I169" s="401">
        <v>2.67</v>
      </c>
      <c r="J169" s="401">
        <v>0.0</v>
      </c>
      <c r="K169" s="401">
        <v>0.1</v>
      </c>
      <c r="L169" s="373"/>
      <c r="M169" s="401">
        <v>0.23</v>
      </c>
      <c r="N169" s="180">
        <v>1.0</v>
      </c>
      <c r="O169" s="180">
        <v>1.0</v>
      </c>
      <c r="P169" s="5"/>
      <c r="Q169" s="176">
        <f t="shared" ref="Q169:T169" si="486">round(J169/6,2)</f>
        <v>0</v>
      </c>
      <c r="R169" s="176">
        <f t="shared" si="486"/>
        <v>0.02</v>
      </c>
      <c r="S169" s="176">
        <f t="shared" si="486"/>
        <v>0</v>
      </c>
      <c r="T169" s="176">
        <f t="shared" si="486"/>
        <v>0.04</v>
      </c>
      <c r="U169" s="5"/>
      <c r="V169" s="184"/>
      <c r="W169" s="184"/>
      <c r="X169" s="184"/>
      <c r="Y169" s="184"/>
      <c r="Z169" s="184"/>
      <c r="AA169" s="184"/>
      <c r="AB169" s="5"/>
      <c r="AC169" s="184"/>
      <c r="AD169" s="184"/>
      <c r="AE169" s="184"/>
      <c r="AF169" s="184"/>
      <c r="AG169" s="184"/>
      <c r="AH169" s="184"/>
      <c r="AI169" s="5"/>
      <c r="AJ169" s="184" t="str">
        <f>ROUND(E169*(5/12)+J169*(5/12)+Q169+V169-#REF!,2)</f>
        <v>#REF!</v>
      </c>
      <c r="AK169" s="184">
        <f t="shared" si="483"/>
        <v>0.062</v>
      </c>
      <c r="AL169" s="184">
        <f t="shared" ref="AL169:AM169" si="487">ROUND(G169*(5/12)+L169*(5/12)+S169+X169-AE169,2)</f>
        <v>0</v>
      </c>
      <c r="AM169" s="184">
        <f t="shared" si="487"/>
        <v>0.14</v>
      </c>
      <c r="AN169" s="184">
        <f t="shared" ref="AN169:AO169" si="488">N169+Z169-AG169</f>
        <v>1</v>
      </c>
      <c r="AO169" s="184">
        <f t="shared" si="488"/>
        <v>1</v>
      </c>
      <c r="AP169" s="5"/>
      <c r="AQ169" s="176">
        <v>0.0</v>
      </c>
      <c r="AR169" s="176">
        <v>0.0</v>
      </c>
      <c r="AS169" s="176">
        <v>0.0</v>
      </c>
      <c r="AT169" s="176">
        <v>0.0</v>
      </c>
      <c r="AU169" s="176">
        <v>1.0</v>
      </c>
      <c r="AV169" s="176">
        <v>1.0</v>
      </c>
      <c r="AW169" s="180" t="s">
        <v>2194</v>
      </c>
      <c r="AX169" s="5"/>
      <c r="AY169" s="417"/>
      <c r="BA169" s="81"/>
      <c r="BB169" s="81"/>
      <c r="BC169" s="81"/>
      <c r="BD169" s="81"/>
      <c r="BE169" s="81"/>
      <c r="BF169" s="81"/>
      <c r="BG169" s="81"/>
    </row>
    <row r="170">
      <c r="A170" s="176">
        <v>199.0</v>
      </c>
      <c r="B170" s="456" t="s">
        <v>1967</v>
      </c>
      <c r="C170" s="287" t="s">
        <v>1457</v>
      </c>
      <c r="D170" s="401"/>
      <c r="E170" s="401"/>
      <c r="F170" s="401"/>
      <c r="G170" s="401"/>
      <c r="H170" s="401"/>
      <c r="I170" s="401">
        <v>3.67</v>
      </c>
      <c r="J170" s="401">
        <v>0.23</v>
      </c>
      <c r="K170" s="401">
        <v>0.1</v>
      </c>
      <c r="L170" s="373"/>
      <c r="M170" s="373"/>
      <c r="N170" s="180">
        <v>1.0</v>
      </c>
      <c r="O170" s="180">
        <v>1.0</v>
      </c>
      <c r="P170" s="5"/>
      <c r="Q170" s="176">
        <f t="shared" ref="Q170:T170" si="489">round(J170/6,2)</f>
        <v>0.04</v>
      </c>
      <c r="R170" s="176">
        <f t="shared" si="489"/>
        <v>0.02</v>
      </c>
      <c r="S170" s="176">
        <f t="shared" si="489"/>
        <v>0</v>
      </c>
      <c r="T170" s="176">
        <f t="shared" si="489"/>
        <v>0</v>
      </c>
      <c r="U170" s="5"/>
      <c r="V170" s="176">
        <v>0.76</v>
      </c>
      <c r="W170" s="176">
        <v>0.121</v>
      </c>
      <c r="X170" s="184"/>
      <c r="Y170" s="198"/>
      <c r="Z170" s="184"/>
      <c r="AA170" s="184"/>
      <c r="AB170" s="5"/>
      <c r="AC170" s="184"/>
      <c r="AD170" s="184"/>
      <c r="AE170" s="184"/>
      <c r="AF170" s="184"/>
      <c r="AG170" s="184"/>
      <c r="AH170" s="176">
        <v>0.5</v>
      </c>
      <c r="AI170" s="5"/>
      <c r="AJ170" s="184">
        <f t="shared" ref="AJ170:AJ186" si="493">ROUND(E170*(5/12)+J170*(5/12)+Q170+V170-AC170,2)</f>
        <v>0.9</v>
      </c>
      <c r="AK170" s="184">
        <f t="shared" si="483"/>
        <v>0.183</v>
      </c>
      <c r="AL170" s="184">
        <f t="shared" ref="AL170:AM170" si="490">ROUND(G170*(5/12)+L170*(5/12)+S170+X170-AE170,2)</f>
        <v>0</v>
      </c>
      <c r="AM170" s="184">
        <f t="shared" si="490"/>
        <v>0</v>
      </c>
      <c r="AN170" s="184">
        <f t="shared" ref="AN170:AO170" si="491">N170+Z170-AG170</f>
        <v>1</v>
      </c>
      <c r="AO170" s="184">
        <f t="shared" si="491"/>
        <v>0.5</v>
      </c>
      <c r="AP170" s="5"/>
      <c r="AQ170" s="176">
        <v>0.0</v>
      </c>
      <c r="AR170" s="176">
        <v>0.0</v>
      </c>
      <c r="AS170" s="176">
        <v>0.0</v>
      </c>
      <c r="AT170" s="176">
        <v>0.0</v>
      </c>
      <c r="AU170" s="176">
        <v>1.0</v>
      </c>
      <c r="AV170" s="176">
        <v>0.0</v>
      </c>
      <c r="AW170" s="180" t="s">
        <v>2195</v>
      </c>
      <c r="AX170" s="5"/>
      <c r="AY170" s="418"/>
      <c r="BA170" s="81"/>
      <c r="BB170" s="81"/>
      <c r="BC170" s="81"/>
      <c r="BD170" s="323">
        <v>0.04</v>
      </c>
      <c r="BE170" s="81"/>
      <c r="BF170" s="81"/>
      <c r="BG170" s="280" t="s">
        <v>1683</v>
      </c>
    </row>
    <row r="171">
      <c r="A171" s="176">
        <v>200.0</v>
      </c>
      <c r="B171" s="456" t="s">
        <v>1459</v>
      </c>
      <c r="C171" s="287" t="s">
        <v>1457</v>
      </c>
      <c r="D171" s="401"/>
      <c r="E171" s="401"/>
      <c r="F171" s="401"/>
      <c r="G171" s="401"/>
      <c r="H171" s="401"/>
      <c r="I171" s="401">
        <v>3.67</v>
      </c>
      <c r="J171" s="401">
        <v>0.23</v>
      </c>
      <c r="K171" s="401">
        <v>0.1</v>
      </c>
      <c r="L171" s="373"/>
      <c r="M171" s="373"/>
      <c r="N171" s="180">
        <v>1.0</v>
      </c>
      <c r="O171" s="180">
        <v>1.0</v>
      </c>
      <c r="P171" s="5"/>
      <c r="Q171" s="176">
        <f t="shared" ref="Q171:T171" si="492">round(J171/6,2)</f>
        <v>0.04</v>
      </c>
      <c r="R171" s="176">
        <f t="shared" si="492"/>
        <v>0.02</v>
      </c>
      <c r="S171" s="176">
        <f t="shared" si="492"/>
        <v>0</v>
      </c>
      <c r="T171" s="176">
        <f t="shared" si="492"/>
        <v>0</v>
      </c>
      <c r="U171" s="5"/>
      <c r="V171" s="184"/>
      <c r="W171" s="184"/>
      <c r="X171" s="184"/>
      <c r="Y171" s="184"/>
      <c r="Z171" s="176">
        <v>0.58</v>
      </c>
      <c r="AA171" s="184"/>
      <c r="AB171" s="5"/>
      <c r="AC171" s="184"/>
      <c r="AD171" s="184"/>
      <c r="AE171" s="184"/>
      <c r="AF171" s="184"/>
      <c r="AG171" s="184"/>
      <c r="AH171" s="176">
        <v>0.42</v>
      </c>
      <c r="AI171" s="5"/>
      <c r="AJ171" s="184">
        <f t="shared" si="493"/>
        <v>0.14</v>
      </c>
      <c r="AK171" s="184">
        <f t="shared" si="483"/>
        <v>0.062</v>
      </c>
      <c r="AL171" s="184">
        <f t="shared" ref="AL171:AM171" si="494">ROUND(G171*(5/12)+L171*(5/12)+S171+X171-AE171,2)</f>
        <v>0</v>
      </c>
      <c r="AM171" s="184">
        <f t="shared" si="494"/>
        <v>0</v>
      </c>
      <c r="AN171" s="184">
        <f t="shared" ref="AN171:AO171" si="495">N171+Z171-AG171</f>
        <v>1.58</v>
      </c>
      <c r="AO171" s="184">
        <f t="shared" si="495"/>
        <v>0.58</v>
      </c>
      <c r="AP171" s="5"/>
      <c r="AQ171" s="176">
        <v>0.0</v>
      </c>
      <c r="AR171" s="176">
        <v>0.0</v>
      </c>
      <c r="AS171" s="176">
        <v>0.0</v>
      </c>
      <c r="AT171" s="176">
        <v>0.0</v>
      </c>
      <c r="AU171" s="176">
        <v>2.0</v>
      </c>
      <c r="AV171" s="176">
        <v>1.0</v>
      </c>
      <c r="AW171" s="180" t="s">
        <v>2196</v>
      </c>
      <c r="AX171" s="5"/>
      <c r="AY171" s="418"/>
      <c r="BA171" s="81"/>
      <c r="BB171" s="81"/>
      <c r="BC171" s="81"/>
      <c r="BD171" s="81"/>
      <c r="BE171" s="81"/>
      <c r="BF171" s="81"/>
      <c r="BG171" s="81"/>
    </row>
    <row r="172">
      <c r="A172" s="176">
        <v>201.0</v>
      </c>
      <c r="B172" s="456" t="s">
        <v>1460</v>
      </c>
      <c r="C172" s="287" t="s">
        <v>1461</v>
      </c>
      <c r="D172" s="106"/>
      <c r="E172" s="246"/>
      <c r="F172" s="106"/>
      <c r="G172" s="246"/>
      <c r="H172" s="246"/>
      <c r="I172" s="403">
        <v>3.0</v>
      </c>
      <c r="J172" s="246"/>
      <c r="K172" s="403">
        <v>0.1</v>
      </c>
      <c r="L172" s="246"/>
      <c r="M172" s="246"/>
      <c r="N172" s="180">
        <v>1.0</v>
      </c>
      <c r="O172" s="180">
        <v>1.0</v>
      </c>
      <c r="P172" s="5"/>
      <c r="Q172" s="176">
        <f t="shared" ref="Q172:T172" si="496">round(J172/6,2)</f>
        <v>0</v>
      </c>
      <c r="R172" s="176">
        <f t="shared" si="496"/>
        <v>0.02</v>
      </c>
      <c r="S172" s="176">
        <f t="shared" si="496"/>
        <v>0</v>
      </c>
      <c r="T172" s="176">
        <f t="shared" si="496"/>
        <v>0</v>
      </c>
      <c r="U172" s="5"/>
      <c r="V172" s="184"/>
      <c r="W172" s="184"/>
      <c r="X172" s="184"/>
      <c r="Y172" s="184"/>
      <c r="Z172" s="184"/>
      <c r="AA172" s="184"/>
      <c r="AB172" s="5"/>
      <c r="AC172" s="184"/>
      <c r="AD172" s="184"/>
      <c r="AE172" s="184"/>
      <c r="AF172" s="184"/>
      <c r="AG172" s="184"/>
      <c r="AH172" s="184"/>
      <c r="AI172" s="5"/>
      <c r="AJ172" s="184">
        <f t="shared" si="493"/>
        <v>0</v>
      </c>
      <c r="AK172" s="184">
        <f t="shared" si="483"/>
        <v>0.062</v>
      </c>
      <c r="AL172" s="184">
        <f t="shared" ref="AL172:AM172" si="497">ROUND(G172*(5/12)+L172*(5/12)+S172+X172-AE172,2)</f>
        <v>0</v>
      </c>
      <c r="AM172" s="184">
        <f t="shared" si="497"/>
        <v>0</v>
      </c>
      <c r="AN172" s="184">
        <f t="shared" ref="AN172:AO172" si="498">N172+Z172-AG172</f>
        <v>1</v>
      </c>
      <c r="AO172" s="184">
        <f t="shared" si="498"/>
        <v>1</v>
      </c>
      <c r="AP172" s="5"/>
      <c r="AQ172" s="176" t="s">
        <v>913</v>
      </c>
      <c r="AR172" s="176">
        <v>0.0</v>
      </c>
      <c r="AS172" s="176" t="s">
        <v>913</v>
      </c>
      <c r="AT172" s="176" t="s">
        <v>913</v>
      </c>
      <c r="AU172" s="176">
        <v>0.0</v>
      </c>
      <c r="AV172" s="176">
        <v>1.0</v>
      </c>
      <c r="AW172" s="180" t="s">
        <v>2197</v>
      </c>
      <c r="AX172" s="5"/>
      <c r="AY172" s="417"/>
      <c r="BA172" s="81"/>
      <c r="BB172" s="81"/>
      <c r="BC172" s="81"/>
      <c r="BD172" s="81"/>
      <c r="BE172" s="81"/>
      <c r="BF172" s="81"/>
      <c r="BG172" s="81"/>
    </row>
    <row r="173">
      <c r="A173" s="176">
        <v>202.0</v>
      </c>
      <c r="B173" s="456" t="s">
        <v>1464</v>
      </c>
      <c r="C173" s="287" t="s">
        <v>1461</v>
      </c>
      <c r="D173" s="106"/>
      <c r="E173" s="106"/>
      <c r="F173" s="106"/>
      <c r="G173" s="246"/>
      <c r="H173" s="106"/>
      <c r="I173" s="106">
        <v>2.5</v>
      </c>
      <c r="J173" s="106">
        <v>1.1</v>
      </c>
      <c r="K173" s="106">
        <v>0.1</v>
      </c>
      <c r="L173" s="137"/>
      <c r="M173" s="106">
        <v>0.3</v>
      </c>
      <c r="N173" s="180">
        <v>1.0</v>
      </c>
      <c r="O173" s="180">
        <v>1.0</v>
      </c>
      <c r="P173" s="5"/>
      <c r="Q173" s="176">
        <f t="shared" ref="Q173:T173" si="499">round(J173/6,2)</f>
        <v>0.18</v>
      </c>
      <c r="R173" s="176">
        <f t="shared" si="499"/>
        <v>0.02</v>
      </c>
      <c r="S173" s="176">
        <f t="shared" si="499"/>
        <v>0</v>
      </c>
      <c r="T173" s="176">
        <f t="shared" si="499"/>
        <v>0.05</v>
      </c>
      <c r="U173" s="5"/>
      <c r="V173" s="176">
        <v>0.5</v>
      </c>
      <c r="W173" s="176">
        <v>0.625</v>
      </c>
      <c r="X173" s="184"/>
      <c r="Y173" s="184"/>
      <c r="Z173" s="184"/>
      <c r="AA173" s="184"/>
      <c r="AB173" s="5"/>
      <c r="AC173" s="184"/>
      <c r="AD173" s="184"/>
      <c r="AE173" s="184"/>
      <c r="AF173" s="184"/>
      <c r="AG173" s="184"/>
      <c r="AH173" s="184"/>
      <c r="AI173" s="5"/>
      <c r="AJ173" s="184">
        <f t="shared" si="493"/>
        <v>1.14</v>
      </c>
      <c r="AK173" s="184">
        <f t="shared" si="483"/>
        <v>0.687</v>
      </c>
      <c r="AL173" s="184">
        <f t="shared" ref="AL173:AM173" si="500">ROUND(G173*(5/12)+L173*(5/12)+S173+X173-AE173,2)</f>
        <v>0</v>
      </c>
      <c r="AM173" s="184">
        <f t="shared" si="500"/>
        <v>0.18</v>
      </c>
      <c r="AN173" s="184">
        <f t="shared" ref="AN173:AO173" si="501">N173+Z173-AG173</f>
        <v>1</v>
      </c>
      <c r="AO173" s="184">
        <f t="shared" si="501"/>
        <v>1</v>
      </c>
      <c r="AP173" s="5"/>
      <c r="AQ173" s="176">
        <v>0.0</v>
      </c>
      <c r="AR173" s="176">
        <v>0.0</v>
      </c>
      <c r="AS173" s="176" t="s">
        <v>913</v>
      </c>
      <c r="AT173" s="176" t="s">
        <v>913</v>
      </c>
      <c r="AU173" s="176">
        <v>0.0</v>
      </c>
      <c r="AV173" s="176">
        <v>0.0</v>
      </c>
      <c r="AW173" s="180" t="s">
        <v>2198</v>
      </c>
      <c r="AX173" s="5"/>
      <c r="AY173" s="417"/>
      <c r="BA173" s="81"/>
      <c r="BB173" s="81"/>
      <c r="BC173" s="81"/>
      <c r="BD173" s="81"/>
      <c r="BE173" s="81"/>
      <c r="BF173" s="81"/>
      <c r="BG173" s="81"/>
    </row>
    <row r="174">
      <c r="A174" s="176">
        <v>203.0</v>
      </c>
      <c r="B174" s="456" t="s">
        <v>2199</v>
      </c>
      <c r="C174" s="287" t="s">
        <v>1461</v>
      </c>
      <c r="D174" s="106"/>
      <c r="E174" s="106"/>
      <c r="F174" s="106"/>
      <c r="G174" s="246"/>
      <c r="H174" s="106"/>
      <c r="I174" s="106">
        <v>1.0</v>
      </c>
      <c r="J174" s="106">
        <v>2.61</v>
      </c>
      <c r="K174" s="106">
        <v>0.1</v>
      </c>
      <c r="L174" s="137"/>
      <c r="M174" s="106">
        <v>0.3</v>
      </c>
      <c r="N174" s="180">
        <v>1.0</v>
      </c>
      <c r="O174" s="180">
        <v>1.0</v>
      </c>
      <c r="P174" s="5"/>
      <c r="Q174" s="176">
        <f t="shared" ref="Q174:T174" si="502">round(J174/6,2)</f>
        <v>0.44</v>
      </c>
      <c r="R174" s="176">
        <f t="shared" si="502"/>
        <v>0.02</v>
      </c>
      <c r="S174" s="176">
        <f t="shared" si="502"/>
        <v>0</v>
      </c>
      <c r="T174" s="176">
        <f t="shared" si="502"/>
        <v>0.05</v>
      </c>
      <c r="U174" s="5"/>
      <c r="V174" s="184"/>
      <c r="W174" s="184"/>
      <c r="X174" s="184"/>
      <c r="Y174" s="184"/>
      <c r="Z174" s="184"/>
      <c r="AA174" s="184"/>
      <c r="AB174" s="5"/>
      <c r="AC174" s="176">
        <v>0.75</v>
      </c>
      <c r="AD174" s="184"/>
      <c r="AE174" s="184"/>
      <c r="AF174" s="184"/>
      <c r="AG174" s="184"/>
      <c r="AH174" s="184"/>
      <c r="AI174" s="5"/>
      <c r="AJ174" s="184">
        <f t="shared" si="493"/>
        <v>0.78</v>
      </c>
      <c r="AK174" s="184">
        <f t="shared" si="483"/>
        <v>0.062</v>
      </c>
      <c r="AL174" s="184">
        <f t="shared" ref="AL174:AM174" si="503">ROUND(G174*(5/12)+L174*(5/12)+S174+X174-AE174,2)</f>
        <v>0</v>
      </c>
      <c r="AM174" s="184">
        <f t="shared" si="503"/>
        <v>0.18</v>
      </c>
      <c r="AN174" s="184">
        <f t="shared" ref="AN174:AO174" si="504">N174+Z174-AG174</f>
        <v>1</v>
      </c>
      <c r="AO174" s="184">
        <f t="shared" si="504"/>
        <v>1</v>
      </c>
      <c r="AP174" s="5"/>
      <c r="AQ174" s="176">
        <v>1.25</v>
      </c>
      <c r="AR174" s="176">
        <v>0.0</v>
      </c>
      <c r="AS174" s="176" t="s">
        <v>913</v>
      </c>
      <c r="AT174" s="176">
        <v>0.0</v>
      </c>
      <c r="AU174" s="176">
        <v>1.0</v>
      </c>
      <c r="AV174" s="176">
        <v>1.0</v>
      </c>
      <c r="AW174" s="180" t="s">
        <v>2200</v>
      </c>
      <c r="AX174" s="5"/>
      <c r="AY174" s="417"/>
      <c r="BA174" s="81"/>
      <c r="BB174" s="81"/>
      <c r="BC174" s="81"/>
      <c r="BD174" s="81"/>
      <c r="BE174" s="81"/>
      <c r="BF174" s="81"/>
      <c r="BG174" s="81"/>
    </row>
    <row r="175">
      <c r="A175" s="176">
        <v>204.0</v>
      </c>
      <c r="B175" s="456" t="s">
        <v>275</v>
      </c>
      <c r="C175" s="287" t="s">
        <v>1461</v>
      </c>
      <c r="D175" s="106"/>
      <c r="E175" s="106"/>
      <c r="F175" s="106"/>
      <c r="G175" s="246"/>
      <c r="H175" s="106"/>
      <c r="I175" s="106">
        <v>3.0</v>
      </c>
      <c r="J175" s="106">
        <v>0.6</v>
      </c>
      <c r="K175" s="106">
        <v>0.1</v>
      </c>
      <c r="L175" s="137"/>
      <c r="M175" s="106">
        <v>0.3</v>
      </c>
      <c r="N175" s="180">
        <v>1.0</v>
      </c>
      <c r="O175" s="180">
        <v>1.0</v>
      </c>
      <c r="P175" s="5"/>
      <c r="Q175" s="176">
        <f t="shared" ref="Q175:T175" si="505">round(J175/6,2)</f>
        <v>0.1</v>
      </c>
      <c r="R175" s="176">
        <f t="shared" si="505"/>
        <v>0.02</v>
      </c>
      <c r="S175" s="176">
        <f t="shared" si="505"/>
        <v>0</v>
      </c>
      <c r="T175" s="176">
        <f t="shared" si="505"/>
        <v>0.05</v>
      </c>
      <c r="U175" s="5"/>
      <c r="V175" s="184"/>
      <c r="W175" s="184"/>
      <c r="X175" s="184"/>
      <c r="Y175" s="184"/>
      <c r="Z175" s="184"/>
      <c r="AA175" s="184"/>
      <c r="AB175" s="5"/>
      <c r="AC175" s="176">
        <v>1.0</v>
      </c>
      <c r="AD175" s="176">
        <v>0.0475</v>
      </c>
      <c r="AE175" s="184"/>
      <c r="AF175" s="184"/>
      <c r="AG175" s="184"/>
      <c r="AH175" s="184"/>
      <c r="AI175" s="5"/>
      <c r="AJ175" s="184">
        <f t="shared" si="493"/>
        <v>-0.65</v>
      </c>
      <c r="AK175" s="184">
        <f t="shared" si="483"/>
        <v>0.014</v>
      </c>
      <c r="AL175" s="184">
        <f t="shared" ref="AL175:AM175" si="506">ROUND(G175*(5/12)+L175*(5/12)+S175+X175-AE175,2)</f>
        <v>0</v>
      </c>
      <c r="AM175" s="184">
        <f t="shared" si="506"/>
        <v>0.18</v>
      </c>
      <c r="AN175" s="184">
        <f t="shared" ref="AN175:AO175" si="507">N175+Z175-AG175</f>
        <v>1</v>
      </c>
      <c r="AO175" s="184">
        <f t="shared" si="507"/>
        <v>1</v>
      </c>
      <c r="AP175" s="5"/>
      <c r="AQ175" s="176">
        <v>0.25</v>
      </c>
      <c r="AR175" s="176">
        <v>0.393</v>
      </c>
      <c r="AS175" s="176" t="s">
        <v>913</v>
      </c>
      <c r="AT175" s="176">
        <v>0.33</v>
      </c>
      <c r="AU175" s="176">
        <v>1.0</v>
      </c>
      <c r="AV175" s="176">
        <v>1.0</v>
      </c>
      <c r="AW175" s="256" t="s">
        <v>2201</v>
      </c>
      <c r="AX175" s="5"/>
      <c r="AY175" s="417"/>
      <c r="BA175" s="81"/>
      <c r="BB175" s="81"/>
      <c r="BC175" s="81"/>
      <c r="BD175" s="81"/>
      <c r="BE175" s="81"/>
      <c r="BF175" s="81"/>
      <c r="BG175" s="81"/>
    </row>
    <row r="176">
      <c r="A176" s="176">
        <v>205.0</v>
      </c>
      <c r="B176" s="456" t="s">
        <v>1974</v>
      </c>
      <c r="C176" s="287" t="s">
        <v>1461</v>
      </c>
      <c r="D176" s="106"/>
      <c r="E176" s="106"/>
      <c r="F176" s="106"/>
      <c r="G176" s="246"/>
      <c r="H176" s="246"/>
      <c r="I176" s="403">
        <v>3.4</v>
      </c>
      <c r="J176" s="403">
        <v>0.5</v>
      </c>
      <c r="K176" s="403">
        <v>0.1</v>
      </c>
      <c r="L176" s="246"/>
      <c r="M176" s="246"/>
      <c r="N176" s="180">
        <v>1.0</v>
      </c>
      <c r="O176" s="180">
        <v>1.0</v>
      </c>
      <c r="P176" s="5"/>
      <c r="Q176" s="176">
        <f t="shared" ref="Q176:T176" si="508">round(J176/6,2)</f>
        <v>0.08</v>
      </c>
      <c r="R176" s="176">
        <f t="shared" si="508"/>
        <v>0.02</v>
      </c>
      <c r="S176" s="176">
        <f t="shared" si="508"/>
        <v>0</v>
      </c>
      <c r="T176" s="176">
        <f t="shared" si="508"/>
        <v>0</v>
      </c>
      <c r="U176" s="5"/>
      <c r="V176" s="184"/>
      <c r="W176" s="184"/>
      <c r="X176" s="184"/>
      <c r="Y176" s="184"/>
      <c r="Z176" s="184"/>
      <c r="AA176" s="184"/>
      <c r="AB176" s="5"/>
      <c r="AC176" s="184"/>
      <c r="AD176" s="184"/>
      <c r="AE176" s="184"/>
      <c r="AF176" s="184"/>
      <c r="AG176" s="184"/>
      <c r="AH176" s="184"/>
      <c r="AI176" s="5"/>
      <c r="AJ176" s="184">
        <f t="shared" si="493"/>
        <v>0.29</v>
      </c>
      <c r="AK176" s="184">
        <f t="shared" si="483"/>
        <v>0.062</v>
      </c>
      <c r="AL176" s="184">
        <f t="shared" ref="AL176:AM176" si="509">ROUND(G176*(5/12)+L176*(5/12)+S176+X176-AE176,2)</f>
        <v>0</v>
      </c>
      <c r="AM176" s="184">
        <f t="shared" si="509"/>
        <v>0</v>
      </c>
      <c r="AN176" s="184">
        <f t="shared" ref="AN176:AO176" si="510">N176+Z176-AG176</f>
        <v>1</v>
      </c>
      <c r="AO176" s="184">
        <f t="shared" si="510"/>
        <v>1</v>
      </c>
      <c r="AP176" s="5"/>
      <c r="AQ176" s="176">
        <v>0.5</v>
      </c>
      <c r="AR176" s="176">
        <v>0.0</v>
      </c>
      <c r="AS176" s="176" t="s">
        <v>913</v>
      </c>
      <c r="AT176" s="176" t="s">
        <v>913</v>
      </c>
      <c r="AU176" s="176">
        <v>1.0</v>
      </c>
      <c r="AV176" s="176">
        <v>1.0</v>
      </c>
      <c r="AW176" s="180" t="s">
        <v>2202</v>
      </c>
      <c r="AX176" s="5"/>
      <c r="AY176" s="417"/>
      <c r="BA176" s="81"/>
      <c r="BB176" s="81"/>
      <c r="BC176" s="81"/>
      <c r="BD176" s="81"/>
      <c r="BE176" s="81"/>
      <c r="BF176" s="81"/>
      <c r="BG176" s="81"/>
    </row>
    <row r="177">
      <c r="A177" s="176">
        <v>206.0</v>
      </c>
      <c r="B177" s="456" t="s">
        <v>1976</v>
      </c>
      <c r="C177" s="287" t="s">
        <v>1461</v>
      </c>
      <c r="D177" s="106"/>
      <c r="E177" s="106"/>
      <c r="F177" s="106"/>
      <c r="G177" s="246"/>
      <c r="H177" s="246"/>
      <c r="I177" s="403">
        <v>3.17</v>
      </c>
      <c r="J177" s="403">
        <v>0.73</v>
      </c>
      <c r="K177" s="403">
        <v>0.1</v>
      </c>
      <c r="L177" s="246"/>
      <c r="M177" s="246"/>
      <c r="N177" s="180">
        <v>1.0</v>
      </c>
      <c r="O177" s="180">
        <v>1.0</v>
      </c>
      <c r="P177" s="5"/>
      <c r="Q177" s="176">
        <f t="shared" ref="Q177:T177" si="511">round(J177/6,2)</f>
        <v>0.12</v>
      </c>
      <c r="R177" s="176">
        <f t="shared" si="511"/>
        <v>0.02</v>
      </c>
      <c r="S177" s="176">
        <f t="shared" si="511"/>
        <v>0</v>
      </c>
      <c r="T177" s="176">
        <f t="shared" si="511"/>
        <v>0</v>
      </c>
      <c r="U177" s="5"/>
      <c r="V177" s="184"/>
      <c r="W177" s="184"/>
      <c r="X177" s="184"/>
      <c r="Y177" s="184"/>
      <c r="Z177" s="184"/>
      <c r="AA177" s="184"/>
      <c r="AB177" s="5"/>
      <c r="AC177" s="184"/>
      <c r="AD177" s="184"/>
      <c r="AE177" s="184"/>
      <c r="AF177" s="184"/>
      <c r="AG177" s="184"/>
      <c r="AH177" s="184"/>
      <c r="AI177" s="5"/>
      <c r="AJ177" s="184">
        <f t="shared" si="493"/>
        <v>0.42</v>
      </c>
      <c r="AK177" s="184">
        <f t="shared" si="483"/>
        <v>0.062</v>
      </c>
      <c r="AL177" s="184">
        <f t="shared" ref="AL177:AM177" si="512">ROUND(G177*(5/12)+L177*(5/12)+S177+X177-AE177,2)</f>
        <v>0</v>
      </c>
      <c r="AM177" s="184">
        <f t="shared" si="512"/>
        <v>0</v>
      </c>
      <c r="AN177" s="184">
        <f t="shared" ref="AN177:AO177" si="513">N177+Z177-AG177</f>
        <v>1</v>
      </c>
      <c r="AO177" s="184">
        <f t="shared" si="513"/>
        <v>1</v>
      </c>
      <c r="AP177" s="5"/>
      <c r="AQ177" s="176">
        <v>0.5</v>
      </c>
      <c r="AR177" s="176">
        <v>0.0</v>
      </c>
      <c r="AS177" s="176" t="s">
        <v>913</v>
      </c>
      <c r="AT177" s="176" t="s">
        <v>913</v>
      </c>
      <c r="AU177" s="176">
        <v>1.0</v>
      </c>
      <c r="AV177" s="176">
        <v>1.0</v>
      </c>
      <c r="AW177" s="180" t="s">
        <v>2203</v>
      </c>
      <c r="AX177" s="5"/>
      <c r="AY177" s="417"/>
      <c r="BA177" s="81"/>
      <c r="BB177" s="81"/>
      <c r="BC177" s="81"/>
      <c r="BD177" s="81"/>
      <c r="BE177" s="81"/>
      <c r="BF177" s="81"/>
      <c r="BG177" s="81"/>
    </row>
    <row r="178">
      <c r="A178" s="176">
        <v>207.0</v>
      </c>
      <c r="B178" s="456" t="s">
        <v>1978</v>
      </c>
      <c r="C178" s="287" t="s">
        <v>1461</v>
      </c>
      <c r="D178" s="106"/>
      <c r="E178" s="106"/>
      <c r="F178" s="403"/>
      <c r="G178" s="246"/>
      <c r="H178" s="246"/>
      <c r="I178" s="403">
        <v>3.5</v>
      </c>
      <c r="J178" s="403">
        <v>0.4</v>
      </c>
      <c r="K178" s="403">
        <v>0.1</v>
      </c>
      <c r="L178" s="246"/>
      <c r="M178" s="246"/>
      <c r="N178" s="180">
        <v>1.0</v>
      </c>
      <c r="O178" s="180">
        <v>1.0</v>
      </c>
      <c r="P178" s="5"/>
      <c r="Q178" s="176">
        <f t="shared" ref="Q178:T178" si="514">round(J178/6,2)</f>
        <v>0.07</v>
      </c>
      <c r="R178" s="176">
        <f t="shared" si="514"/>
        <v>0.02</v>
      </c>
      <c r="S178" s="176">
        <f t="shared" si="514"/>
        <v>0</v>
      </c>
      <c r="T178" s="176">
        <f t="shared" si="514"/>
        <v>0</v>
      </c>
      <c r="U178" s="5"/>
      <c r="V178" s="184"/>
      <c r="W178" s="184"/>
      <c r="X178" s="184"/>
      <c r="Y178" s="184"/>
      <c r="Z178" s="184"/>
      <c r="AA178" s="184"/>
      <c r="AB178" s="5"/>
      <c r="AC178" s="184"/>
      <c r="AD178" s="184"/>
      <c r="AE178" s="184"/>
      <c r="AF178" s="184"/>
      <c r="AG178" s="184"/>
      <c r="AH178" s="184"/>
      <c r="AI178" s="5"/>
      <c r="AJ178" s="184">
        <f t="shared" si="493"/>
        <v>0.24</v>
      </c>
      <c r="AK178" s="184">
        <f t="shared" si="483"/>
        <v>0.062</v>
      </c>
      <c r="AL178" s="184">
        <f t="shared" ref="AL178:AM178" si="515">ROUND(G178*(5/12)+L178*(5/12)+S178+X178-AE178,2)</f>
        <v>0</v>
      </c>
      <c r="AM178" s="184">
        <f t="shared" si="515"/>
        <v>0</v>
      </c>
      <c r="AN178" s="184">
        <f t="shared" ref="AN178:AO178" si="516">N178+Z178-AG178</f>
        <v>1</v>
      </c>
      <c r="AO178" s="184">
        <f t="shared" si="516"/>
        <v>1</v>
      </c>
      <c r="AP178" s="5"/>
      <c r="AQ178" s="176">
        <v>0.5</v>
      </c>
      <c r="AR178" s="176">
        <v>0.0</v>
      </c>
      <c r="AS178" s="176" t="s">
        <v>913</v>
      </c>
      <c r="AT178" s="176" t="s">
        <v>913</v>
      </c>
      <c r="AU178" s="176">
        <v>1.0</v>
      </c>
      <c r="AV178" s="176">
        <v>0.0</v>
      </c>
      <c r="AW178" s="180" t="s">
        <v>2204</v>
      </c>
      <c r="AX178" s="5"/>
      <c r="AY178" s="417"/>
      <c r="AZ178" s="27"/>
      <c r="BA178" s="311"/>
      <c r="BB178" s="311"/>
      <c r="BC178" s="311"/>
      <c r="BD178" s="311"/>
      <c r="BE178" s="311"/>
      <c r="BF178" s="311"/>
      <c r="BG178" s="311"/>
      <c r="BH178" s="27"/>
    </row>
    <row r="179">
      <c r="A179" s="176">
        <v>208.0</v>
      </c>
      <c r="B179" s="456" t="s">
        <v>1980</v>
      </c>
      <c r="C179" s="287" t="s">
        <v>1461</v>
      </c>
      <c r="D179" s="403"/>
      <c r="E179" s="106"/>
      <c r="F179" s="403"/>
      <c r="G179" s="246"/>
      <c r="H179" s="246"/>
      <c r="I179" s="403">
        <v>3.6</v>
      </c>
      <c r="J179" s="403">
        <v>0.32</v>
      </c>
      <c r="K179" s="403">
        <v>0.1</v>
      </c>
      <c r="L179" s="246"/>
      <c r="M179" s="246"/>
      <c r="N179" s="180">
        <v>1.0</v>
      </c>
      <c r="O179" s="180">
        <v>1.0</v>
      </c>
      <c r="P179" s="5"/>
      <c r="Q179" s="176">
        <f t="shared" ref="Q179:T179" si="517">round(J179/6,2)</f>
        <v>0.05</v>
      </c>
      <c r="R179" s="176">
        <f t="shared" si="517"/>
        <v>0.02</v>
      </c>
      <c r="S179" s="176">
        <f t="shared" si="517"/>
        <v>0</v>
      </c>
      <c r="T179" s="176">
        <f t="shared" si="517"/>
        <v>0</v>
      </c>
      <c r="U179" s="5"/>
      <c r="V179" s="184"/>
      <c r="W179" s="184"/>
      <c r="X179" s="184"/>
      <c r="Y179" s="184"/>
      <c r="Z179" s="184"/>
      <c r="AA179" s="184"/>
      <c r="AB179" s="5"/>
      <c r="AC179" s="176">
        <v>0.25</v>
      </c>
      <c r="AD179" s="184"/>
      <c r="AE179" s="184"/>
      <c r="AF179" s="184"/>
      <c r="AG179" s="184"/>
      <c r="AH179" s="184"/>
      <c r="AI179" s="5"/>
      <c r="AJ179" s="184">
        <f t="shared" si="493"/>
        <v>-0.07</v>
      </c>
      <c r="AK179" s="184">
        <f t="shared" si="483"/>
        <v>0.062</v>
      </c>
      <c r="AL179" s="184">
        <f t="shared" ref="AL179:AM179" si="518">ROUND(G179*(5/12)+L179*(5/12)+S179+X179-AE179,2)</f>
        <v>0</v>
      </c>
      <c r="AM179" s="184">
        <f t="shared" si="518"/>
        <v>0</v>
      </c>
      <c r="AN179" s="184">
        <f t="shared" ref="AN179:AO179" si="519">N179+Z179-AG179</f>
        <v>1</v>
      </c>
      <c r="AO179" s="184">
        <f t="shared" si="519"/>
        <v>1</v>
      </c>
      <c r="AP179" s="5"/>
      <c r="AQ179" s="176" t="s">
        <v>913</v>
      </c>
      <c r="AR179" s="176">
        <v>0.0</v>
      </c>
      <c r="AS179" s="176" t="s">
        <v>913</v>
      </c>
      <c r="AT179" s="176" t="s">
        <v>913</v>
      </c>
      <c r="AU179" s="176"/>
      <c r="AV179" s="176">
        <v>1.0</v>
      </c>
      <c r="AW179" s="95" t="s">
        <v>2205</v>
      </c>
      <c r="AX179" s="5"/>
      <c r="AY179" s="417"/>
      <c r="BA179" s="81"/>
      <c r="BB179" s="81"/>
      <c r="BC179" s="81"/>
      <c r="BD179" s="81"/>
      <c r="BE179" s="81"/>
      <c r="BF179" s="81"/>
      <c r="BG179" s="81"/>
    </row>
    <row r="180">
      <c r="A180" s="176">
        <v>209.0</v>
      </c>
      <c r="B180" s="456" t="s">
        <v>1982</v>
      </c>
      <c r="C180" s="287" t="s">
        <v>1461</v>
      </c>
      <c r="D180" s="106"/>
      <c r="E180" s="106"/>
      <c r="F180" s="403"/>
      <c r="G180" s="403"/>
      <c r="H180" s="246"/>
      <c r="I180" s="403">
        <v>3.0</v>
      </c>
      <c r="J180" s="403">
        <v>0.46</v>
      </c>
      <c r="K180" s="403">
        <v>0.1</v>
      </c>
      <c r="L180" s="403">
        <v>0.45</v>
      </c>
      <c r="M180" s="246"/>
      <c r="N180" s="180">
        <v>1.0</v>
      </c>
      <c r="O180" s="180">
        <v>1.0</v>
      </c>
      <c r="P180" s="5"/>
      <c r="Q180" s="176">
        <f t="shared" ref="Q180:T180" si="520">round(J180/6,2)</f>
        <v>0.08</v>
      </c>
      <c r="R180" s="176">
        <f t="shared" si="520"/>
        <v>0.02</v>
      </c>
      <c r="S180" s="176">
        <f t="shared" si="520"/>
        <v>0.08</v>
      </c>
      <c r="T180" s="176">
        <f t="shared" si="520"/>
        <v>0</v>
      </c>
      <c r="U180" s="5"/>
      <c r="V180" s="184"/>
      <c r="W180" s="184"/>
      <c r="X180" s="184"/>
      <c r="Y180" s="184"/>
      <c r="Z180" s="184"/>
      <c r="AA180" s="184"/>
      <c r="AB180" s="5"/>
      <c r="AC180" s="176">
        <v>0.1875</v>
      </c>
      <c r="AD180" s="184"/>
      <c r="AE180" s="184"/>
      <c r="AF180" s="184"/>
      <c r="AG180" s="184"/>
      <c r="AH180" s="184"/>
      <c r="AI180" s="5"/>
      <c r="AJ180" s="184">
        <f t="shared" si="493"/>
        <v>0.08</v>
      </c>
      <c r="AK180" s="184">
        <f t="shared" si="483"/>
        <v>0.062</v>
      </c>
      <c r="AL180" s="184">
        <f t="shared" ref="AL180:AM180" si="521">ROUND(G180*(5/12)+L180*(5/12)+S180+X180-AE180,2)</f>
        <v>0.27</v>
      </c>
      <c r="AM180" s="184">
        <f t="shared" si="521"/>
        <v>0</v>
      </c>
      <c r="AN180" s="184">
        <f t="shared" ref="AN180:AO180" si="522">N180+Z180-AG180</f>
        <v>1</v>
      </c>
      <c r="AO180" s="184">
        <f t="shared" si="522"/>
        <v>1</v>
      </c>
      <c r="AP180" s="5"/>
      <c r="AQ180" s="176">
        <v>0.0</v>
      </c>
      <c r="AR180" s="176">
        <v>0.0</v>
      </c>
      <c r="AS180" s="176">
        <v>0.0</v>
      </c>
      <c r="AT180" s="176" t="s">
        <v>913</v>
      </c>
      <c r="AU180" s="176">
        <v>1.0</v>
      </c>
      <c r="AV180" s="176">
        <v>1.0</v>
      </c>
      <c r="AW180" s="180" t="s">
        <v>2206</v>
      </c>
      <c r="AX180" s="5"/>
      <c r="AY180" s="417"/>
      <c r="BA180" s="81"/>
      <c r="BB180" s="81"/>
      <c r="BC180" s="81"/>
      <c r="BD180" s="81"/>
      <c r="BE180" s="81"/>
      <c r="BF180" s="81"/>
      <c r="BG180" s="81"/>
    </row>
    <row r="181">
      <c r="A181" s="176">
        <v>210.0</v>
      </c>
      <c r="B181" s="456" t="s">
        <v>280</v>
      </c>
      <c r="C181" s="287" t="s">
        <v>1461</v>
      </c>
      <c r="D181" s="106"/>
      <c r="E181" s="106"/>
      <c r="F181" s="403"/>
      <c r="G181" s="246"/>
      <c r="H181" s="246"/>
      <c r="I181" s="403">
        <v>2.67</v>
      </c>
      <c r="J181" s="403">
        <v>1.24</v>
      </c>
      <c r="K181" s="403">
        <v>0.1</v>
      </c>
      <c r="L181" s="246"/>
      <c r="M181" s="246"/>
      <c r="N181" s="180">
        <v>1.0</v>
      </c>
      <c r="O181" s="180">
        <v>1.0</v>
      </c>
      <c r="P181" s="5"/>
      <c r="Q181" s="176">
        <f t="shared" ref="Q181:T181" si="523">round(J181/6,2)</f>
        <v>0.21</v>
      </c>
      <c r="R181" s="176">
        <f t="shared" si="523"/>
        <v>0.02</v>
      </c>
      <c r="S181" s="176">
        <f t="shared" si="523"/>
        <v>0</v>
      </c>
      <c r="T181" s="176">
        <f t="shared" si="523"/>
        <v>0</v>
      </c>
      <c r="U181" s="5"/>
      <c r="V181" s="184"/>
      <c r="W181" s="184"/>
      <c r="X181" s="184"/>
      <c r="Y181" s="184"/>
      <c r="Z181" s="176">
        <v>1.0</v>
      </c>
      <c r="AA181" s="176">
        <v>1.0</v>
      </c>
      <c r="AB181" s="5"/>
      <c r="AC181" s="184"/>
      <c r="AD181" s="184"/>
      <c r="AE181" s="184"/>
      <c r="AF181" s="184"/>
      <c r="AG181" s="184"/>
      <c r="AH181" s="184"/>
      <c r="AI181" s="5"/>
      <c r="AJ181" s="184">
        <f t="shared" si="493"/>
        <v>0.73</v>
      </c>
      <c r="AK181" s="184">
        <f t="shared" si="483"/>
        <v>0.062</v>
      </c>
      <c r="AL181" s="184">
        <f t="shared" ref="AL181:AM181" si="524">ROUND(G181*(5/12)+L181*(5/12)+S181+X181-AE181,2)</f>
        <v>0</v>
      </c>
      <c r="AM181" s="184">
        <f t="shared" si="524"/>
        <v>0</v>
      </c>
      <c r="AN181" s="184">
        <f t="shared" ref="AN181:AO181" si="525">N181+Z181-AG181</f>
        <v>2</v>
      </c>
      <c r="AO181" s="184">
        <f t="shared" si="525"/>
        <v>2</v>
      </c>
      <c r="AP181" s="5"/>
      <c r="AQ181" s="176">
        <v>0.0</v>
      </c>
      <c r="AR181" s="176">
        <v>0.0</v>
      </c>
      <c r="AS181" s="176" t="s">
        <v>913</v>
      </c>
      <c r="AT181" s="176" t="s">
        <v>913</v>
      </c>
      <c r="AU181" s="176">
        <v>0.0</v>
      </c>
      <c r="AV181" s="176">
        <v>0.0</v>
      </c>
      <c r="AW181" s="95" t="s">
        <v>2207</v>
      </c>
      <c r="AX181" s="5"/>
      <c r="AY181" s="417"/>
      <c r="BA181" s="81"/>
      <c r="BB181" s="81"/>
      <c r="BC181" s="81"/>
      <c r="BD181" s="81"/>
      <c r="BE181" s="81"/>
      <c r="BF181" s="81"/>
      <c r="BG181" s="81"/>
    </row>
    <row r="182">
      <c r="A182" s="176">
        <v>212.0</v>
      </c>
      <c r="B182" s="456" t="s">
        <v>1985</v>
      </c>
      <c r="C182" s="287" t="s">
        <v>1461</v>
      </c>
      <c r="D182" s="403"/>
      <c r="E182" s="403"/>
      <c r="F182" s="403"/>
      <c r="G182" s="246"/>
      <c r="H182" s="246"/>
      <c r="I182" s="403">
        <v>3.33</v>
      </c>
      <c r="J182" s="403">
        <v>0.57</v>
      </c>
      <c r="K182" s="403">
        <v>0.1</v>
      </c>
      <c r="L182" s="246"/>
      <c r="M182" s="246"/>
      <c r="N182" s="180">
        <v>1.0</v>
      </c>
      <c r="O182" s="180">
        <v>1.0</v>
      </c>
      <c r="P182" s="5"/>
      <c r="Q182" s="176">
        <f t="shared" ref="Q182:T182" si="526">round(J182/6,2)</f>
        <v>0.1</v>
      </c>
      <c r="R182" s="176">
        <f t="shared" si="526"/>
        <v>0.02</v>
      </c>
      <c r="S182" s="176">
        <f t="shared" si="526"/>
        <v>0</v>
      </c>
      <c r="T182" s="176">
        <f t="shared" si="526"/>
        <v>0</v>
      </c>
      <c r="U182" s="5"/>
      <c r="V182" s="176">
        <v>0.125</v>
      </c>
      <c r="W182" s="184"/>
      <c r="X182" s="184"/>
      <c r="Y182" s="184"/>
      <c r="Z182" s="184"/>
      <c r="AA182" s="176">
        <v>1.0</v>
      </c>
      <c r="AB182" s="5"/>
      <c r="AC182" s="184"/>
      <c r="AD182" s="184"/>
      <c r="AE182" s="184"/>
      <c r="AF182" s="184"/>
      <c r="AG182" s="184"/>
      <c r="AH182" s="184"/>
      <c r="AI182" s="5"/>
      <c r="AJ182" s="184">
        <f t="shared" si="493"/>
        <v>0.46</v>
      </c>
      <c r="AK182" s="184">
        <f t="shared" si="483"/>
        <v>0.062</v>
      </c>
      <c r="AL182" s="184">
        <f t="shared" ref="AL182:AM182" si="527">ROUND(G182*(5/12)+L182*(5/12)+S182+X182-AE182,2)</f>
        <v>0</v>
      </c>
      <c r="AM182" s="184">
        <f t="shared" si="527"/>
        <v>0</v>
      </c>
      <c r="AN182" s="184">
        <f t="shared" ref="AN182:AO182" si="528">N182+Z182-AG182</f>
        <v>1</v>
      </c>
      <c r="AO182" s="184">
        <f t="shared" si="528"/>
        <v>2</v>
      </c>
      <c r="AP182" s="5"/>
      <c r="AQ182" s="176">
        <v>0.0</v>
      </c>
      <c r="AR182" s="176">
        <v>0.0</v>
      </c>
      <c r="AS182" s="176" t="s">
        <v>913</v>
      </c>
      <c r="AT182" s="176" t="s">
        <v>913</v>
      </c>
      <c r="AU182" s="176">
        <v>0.0</v>
      </c>
      <c r="AV182" s="176">
        <v>0.0</v>
      </c>
      <c r="AW182" s="424" t="s">
        <v>2208</v>
      </c>
      <c r="AX182" s="5"/>
      <c r="AY182" s="417"/>
      <c r="BA182" s="81"/>
      <c r="BB182" s="81"/>
      <c r="BC182" s="81"/>
      <c r="BD182" s="81"/>
      <c r="BE182" s="81"/>
      <c r="BF182" s="81"/>
      <c r="BG182" s="81"/>
    </row>
    <row r="183">
      <c r="A183" s="176">
        <v>213.0</v>
      </c>
      <c r="B183" s="456" t="s">
        <v>1986</v>
      </c>
      <c r="C183" s="287" t="s">
        <v>1461</v>
      </c>
      <c r="D183" s="403"/>
      <c r="E183" s="106"/>
      <c r="F183" s="403"/>
      <c r="G183" s="403"/>
      <c r="H183" s="246"/>
      <c r="I183" s="403">
        <v>3.17</v>
      </c>
      <c r="J183" s="403">
        <v>0.28</v>
      </c>
      <c r="K183" s="403">
        <v>0.1</v>
      </c>
      <c r="L183" s="403">
        <v>0.45</v>
      </c>
      <c r="M183" s="246"/>
      <c r="N183" s="180">
        <v>1.0</v>
      </c>
      <c r="O183" s="180">
        <v>1.0</v>
      </c>
      <c r="P183" s="5"/>
      <c r="Q183" s="176">
        <f t="shared" ref="Q183:T183" si="529">round(J183/6,2)</f>
        <v>0.05</v>
      </c>
      <c r="R183" s="176">
        <f t="shared" si="529"/>
        <v>0.02</v>
      </c>
      <c r="S183" s="176">
        <f t="shared" si="529"/>
        <v>0.08</v>
      </c>
      <c r="T183" s="176">
        <f t="shared" si="529"/>
        <v>0</v>
      </c>
      <c r="U183" s="5"/>
      <c r="V183" s="176">
        <v>1.22</v>
      </c>
      <c r="W183" s="184"/>
      <c r="X183" s="176"/>
      <c r="Y183" s="184"/>
      <c r="Z183" s="176">
        <v>0.125</v>
      </c>
      <c r="AA183" s="176"/>
      <c r="AB183" s="5"/>
      <c r="AC183" s="176">
        <v>0.5</v>
      </c>
      <c r="AD183" s="184"/>
      <c r="AE183" s="184"/>
      <c r="AF183" s="184"/>
      <c r="AG183" s="184"/>
      <c r="AH183" s="184"/>
      <c r="AI183" s="5"/>
      <c r="AJ183" s="184">
        <f t="shared" si="493"/>
        <v>0.89</v>
      </c>
      <c r="AK183" s="184">
        <f t="shared" si="483"/>
        <v>0.062</v>
      </c>
      <c r="AL183" s="184">
        <f t="shared" ref="AL183:AM183" si="530">ROUND(G183*(5/12)+L183*(5/12)+S183+X183-AE183,2)</f>
        <v>0.27</v>
      </c>
      <c r="AM183" s="184">
        <f t="shared" si="530"/>
        <v>0</v>
      </c>
      <c r="AN183" s="184">
        <f t="shared" ref="AN183:AO183" si="531">N183+Z183-AG183</f>
        <v>1.125</v>
      </c>
      <c r="AO183" s="184">
        <f t="shared" si="531"/>
        <v>1</v>
      </c>
      <c r="AP183" s="5"/>
      <c r="AQ183" s="176">
        <v>0.0</v>
      </c>
      <c r="AR183" s="176">
        <v>0.0</v>
      </c>
      <c r="AS183" s="176">
        <v>0.0</v>
      </c>
      <c r="AT183" s="176" t="s">
        <v>913</v>
      </c>
      <c r="AU183" s="176">
        <v>0.0</v>
      </c>
      <c r="AV183" s="176">
        <v>1.0</v>
      </c>
      <c r="AW183" s="180" t="s">
        <v>2209</v>
      </c>
      <c r="AX183" s="5"/>
      <c r="AY183" s="417"/>
      <c r="BA183" s="81"/>
      <c r="BB183" s="81"/>
      <c r="BC183" s="81"/>
      <c r="BD183" s="81"/>
      <c r="BE183" s="81"/>
      <c r="BF183" s="81"/>
      <c r="BG183" s="81"/>
    </row>
    <row r="184">
      <c r="A184" s="176">
        <v>215.0</v>
      </c>
      <c r="B184" s="456" t="s">
        <v>1988</v>
      </c>
      <c r="C184" s="287" t="s">
        <v>1461</v>
      </c>
      <c r="D184" s="106"/>
      <c r="E184" s="106"/>
      <c r="F184" s="403"/>
      <c r="G184" s="246"/>
      <c r="H184" s="246"/>
      <c r="I184" s="403">
        <v>3.5</v>
      </c>
      <c r="J184" s="403">
        <v>0.4</v>
      </c>
      <c r="K184" s="403">
        <v>0.1</v>
      </c>
      <c r="L184" s="246"/>
      <c r="M184" s="246"/>
      <c r="N184" s="180">
        <v>1.0</v>
      </c>
      <c r="O184" s="180">
        <v>1.0</v>
      </c>
      <c r="P184" s="5"/>
      <c r="Q184" s="176">
        <f t="shared" ref="Q184:T184" si="532">round(J184/6,2)</f>
        <v>0.07</v>
      </c>
      <c r="R184" s="176">
        <f t="shared" si="532"/>
        <v>0.02</v>
      </c>
      <c r="S184" s="176">
        <f t="shared" si="532"/>
        <v>0</v>
      </c>
      <c r="T184" s="176">
        <f t="shared" si="532"/>
        <v>0</v>
      </c>
      <c r="U184" s="5"/>
      <c r="V184" s="176">
        <v>0.05</v>
      </c>
      <c r="W184" s="176">
        <v>0.06</v>
      </c>
      <c r="X184" s="184"/>
      <c r="Y184" s="184"/>
      <c r="Z184" s="176">
        <v>1.78</v>
      </c>
      <c r="AA184" s="176">
        <v>1.78</v>
      </c>
      <c r="AB184" s="5"/>
      <c r="AC184" s="184"/>
      <c r="AD184" s="184"/>
      <c r="AE184" s="184"/>
      <c r="AF184" s="184"/>
      <c r="AG184" s="184"/>
      <c r="AH184" s="184"/>
      <c r="AI184" s="5"/>
      <c r="AJ184" s="184">
        <f t="shared" si="493"/>
        <v>0.29</v>
      </c>
      <c r="AK184" s="184">
        <f t="shared" si="483"/>
        <v>0.122</v>
      </c>
      <c r="AL184" s="184">
        <f t="shared" ref="AL184:AM184" si="533">ROUND(G184*(5/12)+L184*(5/12)+S184+X184-AE184,2)</f>
        <v>0</v>
      </c>
      <c r="AM184" s="184">
        <f t="shared" si="533"/>
        <v>0</v>
      </c>
      <c r="AN184" s="184">
        <f t="shared" ref="AN184:AO184" si="534">N184+Z184-AG184</f>
        <v>2.78</v>
      </c>
      <c r="AO184" s="184">
        <f t="shared" si="534"/>
        <v>2.78</v>
      </c>
      <c r="AP184" s="5"/>
      <c r="AQ184" s="176">
        <v>0.0</v>
      </c>
      <c r="AR184" s="176">
        <v>0.0</v>
      </c>
      <c r="AS184" s="176" t="s">
        <v>913</v>
      </c>
      <c r="AT184" s="176" t="s">
        <v>913</v>
      </c>
      <c r="AU184" s="176">
        <v>0.0</v>
      </c>
      <c r="AV184" s="176">
        <v>0.0</v>
      </c>
      <c r="AW184" s="95" t="s">
        <v>2210</v>
      </c>
      <c r="AX184" s="5"/>
      <c r="AY184" s="417"/>
      <c r="BA184" s="81"/>
      <c r="BB184" s="81"/>
      <c r="BC184" s="81"/>
      <c r="BD184" s="81"/>
      <c r="BE184" s="81"/>
      <c r="BF184" s="81"/>
      <c r="BG184" s="81"/>
    </row>
    <row r="185">
      <c r="A185" s="176">
        <v>217.0</v>
      </c>
      <c r="B185" s="456" t="s">
        <v>1990</v>
      </c>
      <c r="C185" s="287" t="s">
        <v>1461</v>
      </c>
      <c r="D185" s="106"/>
      <c r="E185" s="106"/>
      <c r="F185" s="403"/>
      <c r="G185" s="246"/>
      <c r="H185" s="246"/>
      <c r="I185" s="403">
        <v>3.52</v>
      </c>
      <c r="J185" s="403">
        <v>0.38</v>
      </c>
      <c r="K185" s="403">
        <v>0.1</v>
      </c>
      <c r="L185" s="246"/>
      <c r="M185" s="246"/>
      <c r="N185" s="180">
        <v>1.0</v>
      </c>
      <c r="O185" s="180">
        <v>1.0</v>
      </c>
      <c r="P185" s="5"/>
      <c r="Q185" s="176">
        <f t="shared" ref="Q185:T185" si="535">round(J185/6,2)</f>
        <v>0.06</v>
      </c>
      <c r="R185" s="176">
        <f t="shared" si="535"/>
        <v>0.02</v>
      </c>
      <c r="S185" s="176">
        <f t="shared" si="535"/>
        <v>0</v>
      </c>
      <c r="T185" s="176">
        <f t="shared" si="535"/>
        <v>0</v>
      </c>
      <c r="U185" s="5"/>
      <c r="V185" s="184"/>
      <c r="W185" s="184"/>
      <c r="X185" s="184"/>
      <c r="Y185" s="184"/>
      <c r="Z185" s="184"/>
      <c r="AA185" s="184"/>
      <c r="AB185" s="5"/>
      <c r="AC185" s="184"/>
      <c r="AD185" s="184"/>
      <c r="AE185" s="184"/>
      <c r="AF185" s="184"/>
      <c r="AG185" s="184"/>
      <c r="AH185" s="184"/>
      <c r="AI185" s="5"/>
      <c r="AJ185" s="184">
        <f t="shared" si="493"/>
        <v>0.22</v>
      </c>
      <c r="AK185" s="184">
        <f t="shared" si="483"/>
        <v>0.062</v>
      </c>
      <c r="AL185" s="184">
        <f t="shared" ref="AL185:AM185" si="536">ROUND(G185*(5/12)+L185*(5/12)+S185+X185-AE185,2)</f>
        <v>0</v>
      </c>
      <c r="AM185" s="184">
        <f t="shared" si="536"/>
        <v>0</v>
      </c>
      <c r="AN185" s="184">
        <f t="shared" ref="AN185:AO185" si="537">N185+Z185-AG185</f>
        <v>1</v>
      </c>
      <c r="AO185" s="184">
        <f t="shared" si="537"/>
        <v>1</v>
      </c>
      <c r="AP185" s="5"/>
      <c r="AQ185" s="176">
        <v>0.0</v>
      </c>
      <c r="AR185" s="176">
        <v>0.0</v>
      </c>
      <c r="AS185" s="176" t="s">
        <v>913</v>
      </c>
      <c r="AT185" s="176" t="s">
        <v>913</v>
      </c>
      <c r="AU185" s="176">
        <v>0.0</v>
      </c>
      <c r="AV185" s="176">
        <v>0.0</v>
      </c>
      <c r="AW185" s="95" t="s">
        <v>2211</v>
      </c>
      <c r="AX185" s="5"/>
      <c r="AY185" s="417"/>
      <c r="BA185" s="81"/>
      <c r="BB185" s="81"/>
      <c r="BC185" s="81"/>
      <c r="BD185" s="81"/>
      <c r="BE185" s="81"/>
      <c r="BF185" s="81"/>
      <c r="BG185" s="81"/>
    </row>
    <row r="186">
      <c r="A186" s="176">
        <v>218.0</v>
      </c>
      <c r="B186" s="456" t="s">
        <v>1992</v>
      </c>
      <c r="C186" s="287" t="s">
        <v>1461</v>
      </c>
      <c r="D186" s="403"/>
      <c r="E186" s="106"/>
      <c r="F186" s="403"/>
      <c r="G186" s="246"/>
      <c r="H186" s="246"/>
      <c r="I186" s="403">
        <v>3.17</v>
      </c>
      <c r="J186" s="403">
        <v>0.73</v>
      </c>
      <c r="K186" s="403">
        <v>0.1</v>
      </c>
      <c r="L186" s="246"/>
      <c r="M186" s="246"/>
      <c r="N186" s="180">
        <v>1.0</v>
      </c>
      <c r="O186" s="180">
        <v>1.0</v>
      </c>
      <c r="P186" s="5"/>
      <c r="Q186" s="176">
        <f t="shared" ref="Q186:T186" si="538">round(J186/6,2)</f>
        <v>0.12</v>
      </c>
      <c r="R186" s="176">
        <f t="shared" si="538"/>
        <v>0.02</v>
      </c>
      <c r="S186" s="176">
        <f t="shared" si="538"/>
        <v>0</v>
      </c>
      <c r="T186" s="176">
        <f t="shared" si="538"/>
        <v>0</v>
      </c>
      <c r="U186" s="5"/>
      <c r="V186" s="184"/>
      <c r="W186" s="184"/>
      <c r="X186" s="184"/>
      <c r="Y186" s="184"/>
      <c r="Z186" s="184"/>
      <c r="AA186" s="184"/>
      <c r="AB186" s="5"/>
      <c r="AC186" s="176">
        <v>0.1875</v>
      </c>
      <c r="AD186" s="184"/>
      <c r="AE186" s="184"/>
      <c r="AF186" s="184"/>
      <c r="AG186" s="184"/>
      <c r="AH186" s="184"/>
      <c r="AI186" s="5"/>
      <c r="AJ186" s="184">
        <f t="shared" si="493"/>
        <v>0.24</v>
      </c>
      <c r="AK186" s="184">
        <f t="shared" si="483"/>
        <v>0.062</v>
      </c>
      <c r="AL186" s="184">
        <f t="shared" ref="AL186:AM186" si="539">ROUND(G186*(5/12)+L186*(5/12)+S186+X186-AE186,2)</f>
        <v>0</v>
      </c>
      <c r="AM186" s="184">
        <f t="shared" si="539"/>
        <v>0</v>
      </c>
      <c r="AN186" s="184">
        <f t="shared" ref="AN186:AO186" si="540">N186+Z186-AG186</f>
        <v>1</v>
      </c>
      <c r="AO186" s="184">
        <f t="shared" si="540"/>
        <v>1</v>
      </c>
      <c r="AP186" s="5"/>
      <c r="AQ186" s="176">
        <v>0.0</v>
      </c>
      <c r="AR186" s="176">
        <v>0.0</v>
      </c>
      <c r="AS186" s="176" t="s">
        <v>913</v>
      </c>
      <c r="AT186" s="176" t="s">
        <v>913</v>
      </c>
      <c r="AU186" s="176">
        <v>0.0</v>
      </c>
      <c r="AV186" s="176">
        <v>0.0</v>
      </c>
      <c r="AW186" s="95" t="s">
        <v>2212</v>
      </c>
      <c r="AX186" s="5"/>
      <c r="AY186" s="417"/>
      <c r="BA186" s="81"/>
      <c r="BB186" s="81"/>
      <c r="BC186" s="81"/>
      <c r="BD186" s="81"/>
      <c r="BE186" s="81"/>
      <c r="BF186" s="81"/>
      <c r="BG186" s="81"/>
    </row>
    <row r="187">
      <c r="A187" s="406"/>
      <c r="C187" s="408" t="s">
        <v>2213</v>
      </c>
      <c r="D187" s="152">
        <f>COUNTIF(D5:D186,"&gt;=2")</f>
        <v>0</v>
      </c>
      <c r="E187" s="152"/>
      <c r="F187" s="152"/>
      <c r="G187" s="152"/>
      <c r="H187" s="152"/>
      <c r="I187" s="152"/>
      <c r="J187" s="152"/>
      <c r="K187" s="152"/>
      <c r="L187" s="152"/>
      <c r="M187" s="152"/>
      <c r="N187" s="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6"/>
      <c r="AX187" s="5"/>
      <c r="AY187" s="7"/>
    </row>
    <row r="188">
      <c r="A188" s="5"/>
      <c r="B188" s="406"/>
      <c r="C188" s="408" t="s">
        <v>2214</v>
      </c>
      <c r="D188" s="152">
        <f>A186-D187</f>
        <v>218</v>
      </c>
      <c r="E188" s="152">
        <f t="shared" ref="E188:E189" si="541">D188/208*100</f>
        <v>104.8076923</v>
      </c>
      <c r="F188" s="152"/>
      <c r="G188" s="152"/>
      <c r="H188" s="152"/>
      <c r="I188" s="152"/>
      <c r="J188" s="152"/>
      <c r="K188" s="152"/>
      <c r="L188" s="152"/>
      <c r="M188" s="152"/>
      <c r="N188" s="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6"/>
      <c r="AX188" s="5"/>
      <c r="AY188" s="7"/>
    </row>
    <row r="189">
      <c r="A189" s="5"/>
      <c r="B189" s="406"/>
      <c r="C189" s="408">
        <v>0.0</v>
      </c>
      <c r="D189" s="379">
        <v>3.0</v>
      </c>
      <c r="E189" s="152">
        <f t="shared" si="541"/>
        <v>1.442307692</v>
      </c>
      <c r="F189" s="152"/>
      <c r="G189" s="152"/>
      <c r="H189" s="152"/>
      <c r="I189" s="152"/>
      <c r="J189" s="152"/>
      <c r="K189" s="152"/>
      <c r="L189" s="152"/>
      <c r="M189" s="152"/>
      <c r="N189" s="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6"/>
      <c r="AX189" s="5"/>
      <c r="AY189" s="7"/>
    </row>
    <row r="190">
      <c r="A190" s="5"/>
      <c r="B190" s="406"/>
      <c r="C190" s="151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6"/>
      <c r="AX190" s="5"/>
      <c r="AY190" s="7"/>
    </row>
    <row r="191">
      <c r="A191" s="5"/>
      <c r="B191" s="406"/>
      <c r="C191" s="151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6"/>
      <c r="AX191" s="5"/>
      <c r="AY191" s="7"/>
    </row>
    <row r="192">
      <c r="A192" s="5"/>
      <c r="B192" s="406"/>
      <c r="C192" s="151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6"/>
      <c r="AX192" s="5"/>
      <c r="AY192" s="7"/>
    </row>
    <row r="193">
      <c r="A193" s="5"/>
      <c r="B193" s="406"/>
      <c r="C193" s="151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6"/>
      <c r="AX193" s="5"/>
      <c r="AY193" s="7"/>
    </row>
    <row r="194">
      <c r="A194" s="5"/>
      <c r="B194" s="406"/>
      <c r="C194" s="151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6"/>
      <c r="AX194" s="5"/>
      <c r="AY194" s="7"/>
    </row>
    <row r="195">
      <c r="A195" s="5"/>
      <c r="B195" s="406"/>
      <c r="C195" s="151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6"/>
      <c r="AX195" s="5"/>
      <c r="AY195" s="7"/>
    </row>
    <row r="196">
      <c r="A196" s="5"/>
      <c r="B196" s="406"/>
      <c r="C196" s="151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6"/>
      <c r="AX196" s="5"/>
      <c r="AY196" s="7"/>
    </row>
    <row r="197">
      <c r="A197" s="5"/>
      <c r="B197" s="406"/>
      <c r="C197" s="151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6"/>
      <c r="AX197" s="5"/>
      <c r="AY197" s="7"/>
    </row>
    <row r="198">
      <c r="A198" s="5"/>
      <c r="B198" s="406"/>
      <c r="C198" s="151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6"/>
      <c r="AX198" s="5"/>
      <c r="AY198" s="7"/>
    </row>
    <row r="199">
      <c r="A199" s="5"/>
      <c r="B199" s="406"/>
      <c r="C199" s="151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6"/>
      <c r="AX199" s="5"/>
      <c r="AY199" s="7"/>
    </row>
    <row r="200">
      <c r="A200" s="5"/>
      <c r="B200" s="406"/>
      <c r="C200" s="151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6"/>
      <c r="AX200" s="5"/>
      <c r="AY200" s="7"/>
    </row>
    <row r="201">
      <c r="A201" s="5"/>
      <c r="B201" s="406"/>
      <c r="C201" s="151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6"/>
      <c r="AX201" s="5"/>
      <c r="AY201" s="7"/>
    </row>
    <row r="202">
      <c r="A202" s="5"/>
      <c r="B202" s="406"/>
      <c r="C202" s="151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6"/>
      <c r="AX202" s="5"/>
      <c r="AY202" s="7"/>
    </row>
    <row r="203">
      <c r="A203" s="5"/>
      <c r="B203" s="406"/>
      <c r="C203" s="151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6"/>
      <c r="AX203" s="5"/>
      <c r="AY203" s="7"/>
    </row>
    <row r="204">
      <c r="A204" s="5"/>
      <c r="B204" s="406"/>
      <c r="C204" s="151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6"/>
      <c r="AX204" s="5"/>
      <c r="AY204" s="7"/>
    </row>
    <row r="205">
      <c r="A205" s="5"/>
      <c r="B205" s="406"/>
      <c r="C205" s="151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6"/>
      <c r="AX205" s="5"/>
      <c r="AY205" s="7"/>
    </row>
    <row r="206">
      <c r="A206" s="5"/>
      <c r="B206" s="406"/>
      <c r="C206" s="151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6"/>
      <c r="AX206" s="5"/>
      <c r="AY206" s="7"/>
    </row>
    <row r="207">
      <c r="A207" s="5"/>
      <c r="B207" s="406"/>
      <c r="C207" s="151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6"/>
      <c r="AX207" s="5"/>
      <c r="AY207" s="7"/>
    </row>
    <row r="208">
      <c r="A208" s="5"/>
      <c r="B208" s="406"/>
      <c r="C208" s="151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6"/>
      <c r="AX208" s="5"/>
      <c r="AY208" s="7"/>
    </row>
    <row r="209">
      <c r="A209" s="5"/>
      <c r="B209" s="406"/>
      <c r="C209" s="151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6"/>
      <c r="AX209" s="5"/>
      <c r="AY209" s="7"/>
    </row>
    <row r="210">
      <c r="A210" s="5"/>
      <c r="B210" s="406"/>
      <c r="C210" s="151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6"/>
      <c r="AX210" s="5"/>
      <c r="AY210" s="7"/>
    </row>
    <row r="211">
      <c r="A211" s="5"/>
      <c r="B211" s="406"/>
      <c r="C211" s="151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6"/>
      <c r="AX211" s="5"/>
      <c r="AY211" s="7"/>
    </row>
    <row r="212">
      <c r="A212" s="5"/>
      <c r="B212" s="406"/>
      <c r="C212" s="151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6"/>
      <c r="AX212" s="5"/>
      <c r="AY212" s="7"/>
    </row>
    <row r="213">
      <c r="A213" s="5"/>
      <c r="B213" s="406"/>
      <c r="C213" s="151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6"/>
      <c r="AX213" s="5"/>
      <c r="AY213" s="7"/>
    </row>
    <row r="214">
      <c r="A214" s="5"/>
      <c r="B214" s="406"/>
      <c r="C214" s="151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6"/>
      <c r="AX214" s="5"/>
      <c r="AY214" s="7"/>
    </row>
    <row r="215">
      <c r="A215" s="5"/>
      <c r="B215" s="406"/>
      <c r="C215" s="151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6"/>
      <c r="AX215" s="5"/>
      <c r="AY215" s="7"/>
    </row>
    <row r="216">
      <c r="A216" s="5"/>
      <c r="B216" s="406"/>
      <c r="C216" s="151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6"/>
      <c r="AX216" s="5"/>
      <c r="AY216" s="7"/>
    </row>
    <row r="217">
      <c r="A217" s="5"/>
      <c r="B217" s="406"/>
      <c r="C217" s="151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6"/>
      <c r="AX217" s="5"/>
      <c r="AY217" s="7"/>
    </row>
    <row r="218">
      <c r="A218" s="5"/>
      <c r="B218" s="406"/>
      <c r="C218" s="151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6"/>
      <c r="AX218" s="5"/>
      <c r="AY218" s="7"/>
    </row>
    <row r="219">
      <c r="A219" s="5"/>
      <c r="B219" s="406"/>
      <c r="C219" s="151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6"/>
      <c r="AX219" s="5"/>
      <c r="AY219" s="7"/>
    </row>
    <row r="220">
      <c r="A220" s="5"/>
      <c r="B220" s="406"/>
      <c r="C220" s="151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6"/>
      <c r="AX220" s="5"/>
      <c r="AY220" s="7"/>
    </row>
    <row r="221">
      <c r="A221" s="5"/>
      <c r="B221" s="406"/>
      <c r="C221" s="151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6"/>
      <c r="AX221" s="5"/>
      <c r="AY221" s="7"/>
    </row>
    <row r="222">
      <c r="A222" s="5"/>
      <c r="B222" s="406"/>
      <c r="C222" s="151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6"/>
      <c r="AX222" s="5"/>
      <c r="AY222" s="7"/>
    </row>
    <row r="223">
      <c r="A223" s="5"/>
      <c r="B223" s="406"/>
      <c r="C223" s="151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6"/>
      <c r="AX223" s="5"/>
      <c r="AY223" s="7"/>
    </row>
    <row r="224">
      <c r="A224" s="5"/>
      <c r="B224" s="406"/>
      <c r="C224" s="151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6"/>
      <c r="AX224" s="5"/>
      <c r="AY224" s="7"/>
    </row>
    <row r="225">
      <c r="A225" s="5"/>
      <c r="B225" s="406"/>
      <c r="C225" s="151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6"/>
      <c r="AX225" s="5"/>
      <c r="AY225" s="7"/>
    </row>
    <row r="226">
      <c r="A226" s="5"/>
      <c r="B226" s="406"/>
      <c r="C226" s="151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6"/>
      <c r="AX226" s="5"/>
      <c r="AY226" s="7"/>
    </row>
    <row r="227">
      <c r="A227" s="5"/>
      <c r="B227" s="406"/>
      <c r="C227" s="151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6"/>
      <c r="AX227" s="5"/>
      <c r="AY227" s="7"/>
    </row>
    <row r="228">
      <c r="A228" s="5"/>
      <c r="B228" s="406"/>
      <c r="C228" s="151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6"/>
      <c r="AX228" s="5"/>
      <c r="AY228" s="7"/>
    </row>
    <row r="229">
      <c r="A229" s="5"/>
      <c r="B229" s="406"/>
      <c r="C229" s="151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6"/>
      <c r="AX229" s="5"/>
      <c r="AY229" s="7"/>
    </row>
    <row r="230">
      <c r="A230" s="5"/>
      <c r="B230" s="406"/>
      <c r="C230" s="151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6"/>
      <c r="AX230" s="5"/>
      <c r="AY230" s="7"/>
    </row>
    <row r="231">
      <c r="A231" s="5"/>
      <c r="B231" s="406"/>
      <c r="C231" s="151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6"/>
      <c r="AX231" s="5"/>
      <c r="AY231" s="7"/>
    </row>
    <row r="232">
      <c r="A232" s="5"/>
      <c r="B232" s="406"/>
      <c r="C232" s="151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6"/>
      <c r="AX232" s="5"/>
      <c r="AY232" s="7"/>
    </row>
    <row r="233">
      <c r="A233" s="5"/>
      <c r="B233" s="406"/>
      <c r="C233" s="151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6"/>
      <c r="AX233" s="5"/>
      <c r="AY233" s="7"/>
    </row>
    <row r="234">
      <c r="A234" s="5"/>
      <c r="B234" s="406"/>
      <c r="C234" s="151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6"/>
      <c r="AX234" s="5"/>
      <c r="AY234" s="7"/>
    </row>
    <row r="235">
      <c r="A235" s="5"/>
      <c r="B235" s="406"/>
      <c r="C235" s="151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6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6"/>
      <c r="AX235" s="5"/>
      <c r="AY235" s="7"/>
    </row>
    <row r="236">
      <c r="A236" s="5"/>
      <c r="B236" s="406"/>
      <c r="C236" s="151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6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6"/>
      <c r="AX236" s="5"/>
      <c r="AY236" s="7"/>
    </row>
    <row r="237">
      <c r="A237" s="5"/>
      <c r="B237" s="406"/>
      <c r="C237" s="151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6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6"/>
      <c r="AX237" s="5"/>
      <c r="AY237" s="7"/>
    </row>
    <row r="238">
      <c r="A238" s="5"/>
      <c r="B238" s="406"/>
      <c r="C238" s="151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6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6"/>
      <c r="AX238" s="5"/>
      <c r="AY238" s="7"/>
    </row>
    <row r="239">
      <c r="A239" s="5"/>
      <c r="B239" s="406"/>
      <c r="C239" s="151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6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6"/>
      <c r="AX239" s="5"/>
      <c r="AY239" s="7"/>
    </row>
    <row r="240">
      <c r="A240" s="5"/>
      <c r="B240" s="406"/>
      <c r="C240" s="151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6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6"/>
      <c r="AX240" s="5"/>
      <c r="AY240" s="7"/>
    </row>
    <row r="241">
      <c r="A241" s="5"/>
      <c r="B241" s="406"/>
      <c r="C241" s="151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6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6"/>
      <c r="AX241" s="5"/>
      <c r="AY241" s="7"/>
    </row>
    <row r="242">
      <c r="A242" s="5"/>
      <c r="B242" s="406"/>
      <c r="C242" s="151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6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6"/>
      <c r="AX242" s="5"/>
      <c r="AY242" s="7"/>
    </row>
    <row r="243">
      <c r="A243" s="5"/>
      <c r="B243" s="406"/>
      <c r="C243" s="151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6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6"/>
      <c r="AX243" s="5"/>
      <c r="AY243" s="7"/>
    </row>
    <row r="244">
      <c r="A244" s="5"/>
      <c r="B244" s="406"/>
      <c r="C244" s="151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6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6"/>
      <c r="AX244" s="5"/>
      <c r="AY244" s="7"/>
    </row>
    <row r="245">
      <c r="A245" s="5"/>
      <c r="B245" s="406"/>
      <c r="C245" s="151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6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6"/>
      <c r="AX245" s="5"/>
      <c r="AY245" s="7"/>
    </row>
    <row r="246">
      <c r="A246" s="5"/>
      <c r="B246" s="406"/>
      <c r="C246" s="151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6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6"/>
      <c r="AX246" s="5"/>
      <c r="AY246" s="7"/>
    </row>
    <row r="247">
      <c r="A247" s="5"/>
      <c r="B247" s="406"/>
      <c r="C247" s="151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6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6"/>
      <c r="AX247" s="5"/>
      <c r="AY247" s="7"/>
    </row>
    <row r="248">
      <c r="A248" s="5"/>
      <c r="B248" s="406"/>
      <c r="C248" s="151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6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6"/>
      <c r="AX248" s="5"/>
      <c r="AY248" s="7"/>
    </row>
    <row r="249">
      <c r="A249" s="5"/>
      <c r="B249" s="406"/>
      <c r="C249" s="151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6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6"/>
      <c r="AX249" s="5"/>
      <c r="AY249" s="7"/>
    </row>
    <row r="250">
      <c r="A250" s="5"/>
      <c r="B250" s="406"/>
      <c r="C250" s="151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6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6"/>
      <c r="AX250" s="5"/>
      <c r="AY250" s="7"/>
    </row>
    <row r="251">
      <c r="A251" s="5"/>
      <c r="B251" s="406"/>
      <c r="C251" s="151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6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6"/>
      <c r="AX251" s="5"/>
      <c r="AY251" s="7"/>
    </row>
    <row r="252">
      <c r="A252" s="5"/>
      <c r="B252" s="406"/>
      <c r="C252" s="151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6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6"/>
      <c r="AX252" s="5"/>
      <c r="AY252" s="7"/>
    </row>
    <row r="253">
      <c r="A253" s="5"/>
      <c r="B253" s="406"/>
      <c r="C253" s="151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6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6"/>
      <c r="AX253" s="5"/>
      <c r="AY253" s="7"/>
    </row>
    <row r="254">
      <c r="A254" s="5"/>
      <c r="B254" s="406"/>
      <c r="C254" s="151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6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6"/>
      <c r="AX254" s="5"/>
      <c r="AY254" s="7"/>
    </row>
    <row r="255">
      <c r="A255" s="5"/>
      <c r="B255" s="406"/>
      <c r="C255" s="151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6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6"/>
      <c r="AX255" s="5"/>
      <c r="AY255" s="7"/>
    </row>
    <row r="256">
      <c r="A256" s="5"/>
      <c r="B256" s="406"/>
      <c r="C256" s="151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6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6"/>
      <c r="AX256" s="5"/>
      <c r="AY256" s="7"/>
    </row>
    <row r="257">
      <c r="A257" s="5"/>
      <c r="B257" s="406"/>
      <c r="C257" s="151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6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6"/>
      <c r="AX257" s="5"/>
      <c r="AY257" s="7"/>
    </row>
    <row r="258">
      <c r="A258" s="5"/>
      <c r="B258" s="406"/>
      <c r="C258" s="151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6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6"/>
      <c r="AX258" s="5"/>
      <c r="AY258" s="7"/>
    </row>
    <row r="259">
      <c r="A259" s="5"/>
      <c r="B259" s="406"/>
      <c r="C259" s="151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6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6"/>
      <c r="AX259" s="5"/>
      <c r="AY259" s="7"/>
    </row>
    <row r="260">
      <c r="A260" s="5"/>
      <c r="B260" s="406"/>
      <c r="C260" s="151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6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6"/>
      <c r="AX260" s="5"/>
      <c r="AY260" s="7"/>
    </row>
    <row r="261">
      <c r="A261" s="5"/>
      <c r="B261" s="406"/>
      <c r="C261" s="151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6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6"/>
      <c r="AX261" s="5"/>
      <c r="AY261" s="7"/>
    </row>
    <row r="262">
      <c r="A262" s="5"/>
      <c r="B262" s="406"/>
      <c r="C262" s="151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6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6"/>
      <c r="AX262" s="5"/>
      <c r="AY262" s="7"/>
    </row>
    <row r="263">
      <c r="A263" s="5"/>
      <c r="B263" s="406"/>
      <c r="C263" s="151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6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6"/>
      <c r="AX263" s="5"/>
      <c r="AY263" s="7"/>
    </row>
    <row r="264">
      <c r="A264" s="5"/>
      <c r="B264" s="406"/>
      <c r="C264" s="151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6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6"/>
      <c r="AX264" s="5"/>
      <c r="AY264" s="7"/>
    </row>
    <row r="265">
      <c r="A265" s="5"/>
      <c r="B265" s="406"/>
      <c r="C265" s="151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6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6"/>
      <c r="AX265" s="5"/>
      <c r="AY265" s="7"/>
    </row>
    <row r="266">
      <c r="A266" s="5"/>
      <c r="B266" s="406"/>
      <c r="C266" s="151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6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6"/>
      <c r="AX266" s="5"/>
      <c r="AY266" s="7"/>
    </row>
    <row r="267">
      <c r="A267" s="5"/>
      <c r="B267" s="406"/>
      <c r="C267" s="151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6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6"/>
      <c r="AX267" s="5"/>
      <c r="AY267" s="7"/>
    </row>
    <row r="268">
      <c r="A268" s="5"/>
      <c r="B268" s="406"/>
      <c r="C268" s="151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6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6"/>
      <c r="AX268" s="5"/>
      <c r="AY268" s="7"/>
    </row>
    <row r="269">
      <c r="A269" s="5"/>
      <c r="B269" s="406"/>
      <c r="C269" s="151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6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6"/>
      <c r="AX269" s="5"/>
      <c r="AY269" s="7"/>
    </row>
    <row r="270">
      <c r="A270" s="5"/>
      <c r="B270" s="406"/>
      <c r="C270" s="151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6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6"/>
      <c r="AX270" s="5"/>
      <c r="AY270" s="7"/>
    </row>
    <row r="271">
      <c r="A271" s="5"/>
      <c r="B271" s="406"/>
      <c r="C271" s="151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6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6"/>
      <c r="AX271" s="5"/>
      <c r="AY271" s="7"/>
    </row>
    <row r="272">
      <c r="A272" s="5"/>
      <c r="B272" s="406"/>
      <c r="C272" s="151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6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6"/>
      <c r="AX272" s="5"/>
      <c r="AY272" s="7"/>
    </row>
    <row r="273">
      <c r="A273" s="5"/>
      <c r="B273" s="406"/>
      <c r="C273" s="151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6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6"/>
      <c r="AX273" s="5"/>
      <c r="AY273" s="7"/>
    </row>
    <row r="274">
      <c r="A274" s="5"/>
      <c r="B274" s="406"/>
      <c r="C274" s="151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6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6"/>
      <c r="AX274" s="5"/>
      <c r="AY274" s="7"/>
    </row>
    <row r="275">
      <c r="A275" s="5"/>
      <c r="B275" s="406"/>
      <c r="C275" s="151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6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6"/>
      <c r="AX275" s="5"/>
      <c r="AY275" s="7"/>
    </row>
    <row r="276">
      <c r="A276" s="5"/>
      <c r="B276" s="406"/>
      <c r="C276" s="151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6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6"/>
      <c r="AX276" s="5"/>
      <c r="AY276" s="7"/>
    </row>
    <row r="277">
      <c r="A277" s="5"/>
      <c r="B277" s="406"/>
      <c r="C277" s="151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6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6"/>
      <c r="AX277" s="5"/>
      <c r="AY277" s="7"/>
    </row>
    <row r="278">
      <c r="A278" s="5"/>
      <c r="B278" s="406"/>
      <c r="C278" s="151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6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6"/>
      <c r="AX278" s="5"/>
      <c r="AY278" s="7"/>
    </row>
    <row r="279">
      <c r="A279" s="5"/>
      <c r="B279" s="406"/>
      <c r="C279" s="151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6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6"/>
      <c r="AX279" s="5"/>
      <c r="AY279" s="7"/>
    </row>
    <row r="280">
      <c r="A280" s="5"/>
      <c r="B280" s="406"/>
      <c r="C280" s="151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6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6"/>
      <c r="AX280" s="5"/>
      <c r="AY280" s="7"/>
    </row>
    <row r="281">
      <c r="A281" s="5"/>
      <c r="B281" s="406"/>
      <c r="C281" s="151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6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6"/>
      <c r="AX281" s="5"/>
      <c r="AY281" s="7"/>
    </row>
    <row r="282">
      <c r="A282" s="5"/>
      <c r="B282" s="406"/>
      <c r="C282" s="151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6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6"/>
      <c r="AX282" s="5"/>
      <c r="AY282" s="7"/>
    </row>
    <row r="283">
      <c r="A283" s="5"/>
      <c r="B283" s="406"/>
      <c r="C283" s="151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6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6"/>
      <c r="AX283" s="5"/>
      <c r="AY283" s="7"/>
    </row>
    <row r="284">
      <c r="A284" s="5"/>
      <c r="B284" s="406"/>
      <c r="C284" s="151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6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6"/>
      <c r="AX284" s="5"/>
      <c r="AY284" s="7"/>
    </row>
    <row r="285">
      <c r="A285" s="5"/>
      <c r="B285" s="406"/>
      <c r="C285" s="151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6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6"/>
      <c r="AX285" s="5"/>
      <c r="AY285" s="7"/>
    </row>
    <row r="286">
      <c r="A286" s="5"/>
      <c r="B286" s="406"/>
      <c r="C286" s="151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6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6"/>
      <c r="AX286" s="5"/>
      <c r="AY286" s="7"/>
    </row>
    <row r="287">
      <c r="A287" s="5"/>
      <c r="B287" s="406"/>
      <c r="C287" s="151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6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6"/>
      <c r="AX287" s="5"/>
      <c r="AY287" s="7"/>
    </row>
    <row r="288">
      <c r="A288" s="5"/>
      <c r="B288" s="406"/>
      <c r="C288" s="151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6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6"/>
      <c r="AX288" s="5"/>
      <c r="AY288" s="7"/>
    </row>
    <row r="289">
      <c r="A289" s="5"/>
      <c r="B289" s="406"/>
      <c r="C289" s="151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6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6"/>
      <c r="AX289" s="5"/>
      <c r="AY289" s="7"/>
    </row>
    <row r="290">
      <c r="A290" s="5"/>
      <c r="B290" s="406"/>
      <c r="C290" s="151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6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6"/>
      <c r="AX290" s="5"/>
      <c r="AY290" s="7"/>
    </row>
    <row r="291">
      <c r="A291" s="5"/>
      <c r="B291" s="406"/>
      <c r="C291" s="151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6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6"/>
      <c r="AX291" s="5"/>
      <c r="AY291" s="7"/>
    </row>
    <row r="292">
      <c r="A292" s="5"/>
      <c r="B292" s="406"/>
      <c r="C292" s="151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6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6"/>
      <c r="AX292" s="5"/>
      <c r="AY292" s="7"/>
    </row>
    <row r="293">
      <c r="A293" s="5"/>
      <c r="B293" s="406"/>
      <c r="C293" s="151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6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6"/>
      <c r="AX293" s="5"/>
      <c r="AY293" s="7"/>
    </row>
    <row r="294">
      <c r="A294" s="5"/>
      <c r="B294" s="406"/>
      <c r="C294" s="151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6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6"/>
      <c r="AX294" s="5"/>
      <c r="AY294" s="7"/>
    </row>
    <row r="295">
      <c r="A295" s="5"/>
      <c r="B295" s="406"/>
      <c r="C295" s="151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6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6"/>
      <c r="AX295" s="5"/>
      <c r="AY295" s="7"/>
    </row>
    <row r="296">
      <c r="A296" s="5"/>
      <c r="B296" s="406"/>
      <c r="C296" s="151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6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6"/>
      <c r="AX296" s="5"/>
      <c r="AY296" s="7"/>
    </row>
    <row r="297">
      <c r="A297" s="5"/>
      <c r="B297" s="406"/>
      <c r="C297" s="151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6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6"/>
      <c r="AX297" s="5"/>
      <c r="AY297" s="7"/>
    </row>
    <row r="298">
      <c r="A298" s="5"/>
      <c r="B298" s="406"/>
      <c r="C298" s="151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6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6"/>
      <c r="AX298" s="5"/>
      <c r="AY298" s="7"/>
    </row>
    <row r="299">
      <c r="A299" s="5"/>
      <c r="B299" s="406"/>
      <c r="C299" s="151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6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6"/>
      <c r="AX299" s="5"/>
      <c r="AY299" s="7"/>
    </row>
    <row r="300">
      <c r="A300" s="5"/>
      <c r="B300" s="406"/>
      <c r="C300" s="151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6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6"/>
      <c r="AX300" s="5"/>
      <c r="AY300" s="7"/>
    </row>
    <row r="301">
      <c r="A301" s="5"/>
      <c r="B301" s="406"/>
      <c r="C301" s="151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6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6"/>
      <c r="AX301" s="5"/>
      <c r="AY301" s="7"/>
    </row>
    <row r="302">
      <c r="A302" s="5"/>
      <c r="B302" s="406"/>
      <c r="C302" s="151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6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6"/>
      <c r="AX302" s="5"/>
      <c r="AY302" s="7"/>
    </row>
    <row r="303">
      <c r="A303" s="5"/>
      <c r="B303" s="406"/>
      <c r="C303" s="151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6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6"/>
      <c r="AX303" s="5"/>
      <c r="AY303" s="7"/>
    </row>
    <row r="304">
      <c r="A304" s="5"/>
      <c r="B304" s="406"/>
      <c r="C304" s="151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6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6"/>
      <c r="AX304" s="5"/>
      <c r="AY304" s="7"/>
    </row>
    <row r="305">
      <c r="A305" s="5"/>
      <c r="B305" s="406"/>
      <c r="C305" s="151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6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6"/>
      <c r="AX305" s="5"/>
      <c r="AY305" s="7"/>
    </row>
    <row r="306">
      <c r="A306" s="5"/>
      <c r="B306" s="406"/>
      <c r="C306" s="151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6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6"/>
      <c r="AX306" s="5"/>
      <c r="AY306" s="7"/>
    </row>
    <row r="307">
      <c r="A307" s="5"/>
      <c r="B307" s="406"/>
      <c r="C307" s="151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6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6"/>
      <c r="AX307" s="5"/>
      <c r="AY307" s="7"/>
    </row>
    <row r="308">
      <c r="A308" s="5"/>
      <c r="B308" s="406"/>
      <c r="C308" s="151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6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6"/>
      <c r="AX308" s="5"/>
      <c r="AY308" s="7"/>
    </row>
    <row r="309">
      <c r="A309" s="5"/>
      <c r="B309" s="406"/>
      <c r="C309" s="151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6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6"/>
      <c r="AX309" s="5"/>
      <c r="AY309" s="7"/>
    </row>
    <row r="310">
      <c r="A310" s="5"/>
      <c r="B310" s="406"/>
      <c r="C310" s="151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6"/>
      <c r="AX310" s="5"/>
      <c r="AY310" s="7"/>
    </row>
    <row r="311">
      <c r="A311" s="5"/>
      <c r="B311" s="406"/>
      <c r="C311" s="151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6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6"/>
      <c r="AX311" s="5"/>
      <c r="AY311" s="7"/>
    </row>
    <row r="312">
      <c r="A312" s="5"/>
      <c r="B312" s="406"/>
      <c r="C312" s="151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6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6"/>
      <c r="AX312" s="5"/>
      <c r="AY312" s="7"/>
    </row>
    <row r="313">
      <c r="A313" s="5"/>
      <c r="B313" s="406"/>
      <c r="C313" s="151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6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6"/>
      <c r="AX313" s="5"/>
      <c r="AY313" s="7"/>
    </row>
    <row r="314">
      <c r="A314" s="5"/>
      <c r="B314" s="406"/>
      <c r="C314" s="151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6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6"/>
      <c r="AX314" s="5"/>
      <c r="AY314" s="7"/>
    </row>
    <row r="315">
      <c r="A315" s="5"/>
      <c r="B315" s="406"/>
      <c r="C315" s="151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6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6"/>
      <c r="AX315" s="5"/>
      <c r="AY315" s="7"/>
    </row>
    <row r="316">
      <c r="A316" s="5"/>
      <c r="B316" s="406"/>
      <c r="C316" s="151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6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6"/>
      <c r="AX316" s="5"/>
      <c r="AY316" s="7"/>
    </row>
    <row r="317">
      <c r="A317" s="5"/>
      <c r="B317" s="406"/>
      <c r="C317" s="151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6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6"/>
      <c r="AX317" s="5"/>
      <c r="AY317" s="7"/>
    </row>
    <row r="318">
      <c r="A318" s="5"/>
      <c r="B318" s="406"/>
      <c r="C318" s="151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6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6"/>
      <c r="AX318" s="5"/>
      <c r="AY318" s="7"/>
    </row>
    <row r="319">
      <c r="A319" s="5"/>
      <c r="B319" s="406"/>
      <c r="C319" s="151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6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6"/>
      <c r="AX319" s="5"/>
      <c r="AY319" s="7"/>
    </row>
    <row r="320">
      <c r="A320" s="5"/>
      <c r="B320" s="406"/>
      <c r="C320" s="151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6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6"/>
      <c r="AX320" s="5"/>
      <c r="AY320" s="7"/>
    </row>
    <row r="321">
      <c r="A321" s="5"/>
      <c r="B321" s="406"/>
      <c r="C321" s="151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6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6"/>
      <c r="AX321" s="5"/>
      <c r="AY321" s="7"/>
    </row>
    <row r="322">
      <c r="A322" s="5"/>
      <c r="B322" s="406"/>
      <c r="C322" s="151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6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6"/>
      <c r="AX322" s="5"/>
      <c r="AY322" s="7"/>
    </row>
    <row r="323">
      <c r="A323" s="5"/>
      <c r="B323" s="406"/>
      <c r="C323" s="151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6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6"/>
      <c r="AX323" s="5"/>
      <c r="AY323" s="7"/>
    </row>
    <row r="324">
      <c r="A324" s="5"/>
      <c r="B324" s="406"/>
      <c r="C324" s="151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6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6"/>
      <c r="AX324" s="5"/>
      <c r="AY324" s="7"/>
    </row>
    <row r="325">
      <c r="A325" s="5"/>
      <c r="B325" s="406"/>
      <c r="C325" s="151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6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6"/>
      <c r="AX325" s="5"/>
      <c r="AY325" s="7"/>
    </row>
    <row r="326">
      <c r="A326" s="5"/>
      <c r="B326" s="406"/>
      <c r="C326" s="151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6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6"/>
      <c r="AX326" s="5"/>
      <c r="AY326" s="7"/>
    </row>
    <row r="327">
      <c r="A327" s="5"/>
      <c r="B327" s="406"/>
      <c r="C327" s="151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6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6"/>
      <c r="AX327" s="5"/>
      <c r="AY327" s="7"/>
    </row>
    <row r="328">
      <c r="A328" s="5"/>
      <c r="B328" s="406"/>
      <c r="C328" s="151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6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6"/>
      <c r="AX328" s="5"/>
      <c r="AY328" s="7"/>
    </row>
    <row r="329">
      <c r="A329" s="5"/>
      <c r="B329" s="406"/>
      <c r="C329" s="151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6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6"/>
      <c r="AX329" s="5"/>
      <c r="AY329" s="7"/>
    </row>
    <row r="330">
      <c r="A330" s="5"/>
      <c r="B330" s="406"/>
      <c r="C330" s="151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6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6"/>
      <c r="AX330" s="5"/>
      <c r="AY330" s="7"/>
    </row>
    <row r="331">
      <c r="A331" s="5"/>
      <c r="B331" s="406"/>
      <c r="C331" s="151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6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6"/>
      <c r="AX331" s="5"/>
      <c r="AY331" s="7"/>
    </row>
    <row r="332">
      <c r="A332" s="5"/>
      <c r="B332" s="406"/>
      <c r="C332" s="151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6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6"/>
      <c r="AX332" s="5"/>
      <c r="AY332" s="7"/>
    </row>
    <row r="333">
      <c r="A333" s="5"/>
      <c r="B333" s="406"/>
      <c r="C333" s="151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6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6"/>
      <c r="AX333" s="5"/>
      <c r="AY333" s="7"/>
    </row>
    <row r="334">
      <c r="A334" s="5"/>
      <c r="B334" s="406"/>
      <c r="C334" s="151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6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6"/>
      <c r="AX334" s="5"/>
      <c r="AY334" s="7"/>
    </row>
    <row r="335">
      <c r="A335" s="5"/>
      <c r="B335" s="406"/>
      <c r="C335" s="151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6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6"/>
      <c r="AX335" s="5"/>
      <c r="AY335" s="7"/>
    </row>
    <row r="336">
      <c r="A336" s="5"/>
      <c r="B336" s="406"/>
      <c r="C336" s="151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6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6"/>
      <c r="AX336" s="5"/>
      <c r="AY336" s="7"/>
    </row>
    <row r="337">
      <c r="A337" s="5"/>
      <c r="B337" s="406"/>
      <c r="C337" s="151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6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6"/>
      <c r="AX337" s="5"/>
      <c r="AY337" s="7"/>
    </row>
    <row r="338">
      <c r="A338" s="5"/>
      <c r="B338" s="406"/>
      <c r="C338" s="151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6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6"/>
      <c r="AX338" s="5"/>
      <c r="AY338" s="7"/>
    </row>
    <row r="339">
      <c r="A339" s="5"/>
      <c r="B339" s="406"/>
      <c r="C339" s="151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6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6"/>
      <c r="AX339" s="5"/>
      <c r="AY339" s="7"/>
    </row>
    <row r="340">
      <c r="A340" s="5"/>
      <c r="B340" s="406"/>
      <c r="C340" s="151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6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6"/>
      <c r="AX340" s="5"/>
      <c r="AY340" s="7"/>
    </row>
    <row r="341">
      <c r="A341" s="5"/>
      <c r="B341" s="406"/>
      <c r="C341" s="151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6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6"/>
      <c r="AX341" s="5"/>
      <c r="AY341" s="7"/>
    </row>
    <row r="342">
      <c r="A342" s="5"/>
      <c r="B342" s="406"/>
      <c r="C342" s="151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6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6"/>
      <c r="AX342" s="5"/>
      <c r="AY342" s="7"/>
    </row>
    <row r="343">
      <c r="A343" s="5"/>
      <c r="B343" s="406"/>
      <c r="C343" s="151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6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6"/>
      <c r="AX343" s="5"/>
      <c r="AY343" s="7"/>
    </row>
    <row r="344">
      <c r="A344" s="5"/>
      <c r="B344" s="406"/>
      <c r="C344" s="151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6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6"/>
      <c r="AX344" s="5"/>
      <c r="AY344" s="7"/>
    </row>
    <row r="345">
      <c r="A345" s="5"/>
      <c r="B345" s="406"/>
      <c r="C345" s="151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6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6"/>
      <c r="AX345" s="5"/>
      <c r="AY345" s="7"/>
    </row>
    <row r="346">
      <c r="A346" s="5"/>
      <c r="B346" s="406"/>
      <c r="C346" s="151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6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6"/>
      <c r="AX346" s="5"/>
      <c r="AY346" s="7"/>
    </row>
    <row r="347">
      <c r="A347" s="5"/>
      <c r="B347" s="406"/>
      <c r="C347" s="151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6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6"/>
      <c r="AX347" s="5"/>
      <c r="AY347" s="7"/>
    </row>
    <row r="348">
      <c r="A348" s="5"/>
      <c r="B348" s="406"/>
      <c r="C348" s="151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6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6"/>
      <c r="AX348" s="5"/>
      <c r="AY348" s="7"/>
    </row>
    <row r="349">
      <c r="A349" s="5"/>
      <c r="B349" s="406"/>
      <c r="C349" s="151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6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6"/>
      <c r="AX349" s="5"/>
      <c r="AY349" s="7"/>
    </row>
    <row r="350">
      <c r="A350" s="5"/>
      <c r="B350" s="406"/>
      <c r="C350" s="151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6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6"/>
      <c r="AX350" s="5"/>
      <c r="AY350" s="7"/>
    </row>
    <row r="351">
      <c r="A351" s="5"/>
      <c r="B351" s="406"/>
      <c r="C351" s="151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6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6"/>
      <c r="AX351" s="5"/>
      <c r="AY351" s="7"/>
    </row>
    <row r="352">
      <c r="A352" s="5"/>
      <c r="B352" s="406"/>
      <c r="C352" s="151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6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6"/>
      <c r="AX352" s="5"/>
      <c r="AY352" s="7"/>
    </row>
    <row r="353">
      <c r="A353" s="5"/>
      <c r="B353" s="406"/>
      <c r="C353" s="151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6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6"/>
      <c r="AX353" s="5"/>
      <c r="AY353" s="7"/>
    </row>
    <row r="354">
      <c r="A354" s="5"/>
      <c r="B354" s="406"/>
      <c r="C354" s="151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6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6"/>
      <c r="AX354" s="5"/>
      <c r="AY354" s="7"/>
    </row>
    <row r="355">
      <c r="A355" s="5"/>
      <c r="B355" s="406"/>
      <c r="C355" s="151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6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6"/>
      <c r="AX355" s="5"/>
      <c r="AY355" s="7"/>
    </row>
    <row r="356">
      <c r="A356" s="5"/>
      <c r="B356" s="406"/>
      <c r="C356" s="151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6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6"/>
      <c r="AX356" s="5"/>
      <c r="AY356" s="7"/>
    </row>
    <row r="357">
      <c r="A357" s="5"/>
      <c r="B357" s="406"/>
      <c r="C357" s="151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6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6"/>
      <c r="AX357" s="5"/>
      <c r="AY357" s="7"/>
    </row>
    <row r="358">
      <c r="A358" s="5"/>
      <c r="B358" s="406"/>
      <c r="C358" s="151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6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6"/>
      <c r="AX358" s="5"/>
      <c r="AY358" s="7"/>
    </row>
    <row r="359">
      <c r="A359" s="5"/>
      <c r="B359" s="406"/>
      <c r="C359" s="151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6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6"/>
      <c r="AX359" s="5"/>
      <c r="AY359" s="7"/>
    </row>
    <row r="360">
      <c r="A360" s="5"/>
      <c r="B360" s="406"/>
      <c r="C360" s="151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6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6"/>
      <c r="AX360" s="5"/>
      <c r="AY360" s="7"/>
    </row>
    <row r="361">
      <c r="A361" s="5"/>
      <c r="B361" s="406"/>
      <c r="C361" s="151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6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6"/>
      <c r="AX361" s="5"/>
      <c r="AY361" s="7"/>
    </row>
    <row r="362">
      <c r="A362" s="5"/>
      <c r="B362" s="406"/>
      <c r="C362" s="151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6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6"/>
      <c r="AX362" s="5"/>
      <c r="AY362" s="7"/>
    </row>
    <row r="363">
      <c r="A363" s="5"/>
      <c r="B363" s="406"/>
      <c r="C363" s="151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6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6"/>
      <c r="AX363" s="5"/>
      <c r="AY363" s="7"/>
    </row>
    <row r="364">
      <c r="A364" s="5"/>
      <c r="B364" s="406"/>
      <c r="C364" s="151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6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6"/>
      <c r="AX364" s="5"/>
      <c r="AY364" s="7"/>
    </row>
    <row r="365">
      <c r="A365" s="5"/>
      <c r="B365" s="406"/>
      <c r="C365" s="151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6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6"/>
      <c r="AX365" s="5"/>
      <c r="AY365" s="7"/>
    </row>
    <row r="366">
      <c r="A366" s="5"/>
      <c r="B366" s="406"/>
      <c r="C366" s="151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6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6"/>
      <c r="AX366" s="5"/>
      <c r="AY366" s="7"/>
    </row>
    <row r="367">
      <c r="A367" s="5"/>
      <c r="B367" s="406"/>
      <c r="C367" s="151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6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6"/>
      <c r="AX367" s="5"/>
      <c r="AY367" s="7"/>
    </row>
    <row r="368">
      <c r="A368" s="5"/>
      <c r="B368" s="406"/>
      <c r="C368" s="151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6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6"/>
      <c r="AX368" s="5"/>
      <c r="AY368" s="7"/>
    </row>
    <row r="369">
      <c r="A369" s="5"/>
      <c r="B369" s="406"/>
      <c r="C369" s="151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6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6"/>
      <c r="AX369" s="5"/>
      <c r="AY369" s="7"/>
    </row>
    <row r="370">
      <c r="A370" s="5"/>
      <c r="B370" s="406"/>
      <c r="C370" s="151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6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6"/>
      <c r="AX370" s="5"/>
      <c r="AY370" s="7"/>
    </row>
    <row r="371">
      <c r="A371" s="5"/>
      <c r="B371" s="406"/>
      <c r="C371" s="151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6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6"/>
      <c r="AX371" s="5"/>
      <c r="AY371" s="7"/>
    </row>
    <row r="372">
      <c r="A372" s="5"/>
      <c r="B372" s="406"/>
      <c r="C372" s="151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6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6"/>
      <c r="AX372" s="5"/>
      <c r="AY372" s="7"/>
    </row>
    <row r="373">
      <c r="A373" s="5"/>
      <c r="B373" s="406"/>
      <c r="C373" s="151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6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6"/>
      <c r="AX373" s="5"/>
      <c r="AY373" s="7"/>
    </row>
    <row r="374">
      <c r="A374" s="5"/>
      <c r="B374" s="406"/>
      <c r="C374" s="151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6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6"/>
      <c r="AX374" s="5"/>
      <c r="AY374" s="7"/>
    </row>
    <row r="375">
      <c r="A375" s="5"/>
      <c r="B375" s="406"/>
      <c r="C375" s="151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6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6"/>
      <c r="AX375" s="5"/>
      <c r="AY375" s="7"/>
    </row>
    <row r="376">
      <c r="A376" s="5"/>
      <c r="B376" s="406"/>
      <c r="C376" s="151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6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6"/>
      <c r="AX376" s="5"/>
      <c r="AY376" s="7"/>
    </row>
    <row r="377">
      <c r="A377" s="5"/>
      <c r="B377" s="406"/>
      <c r="C377" s="151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6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6"/>
      <c r="AX377" s="5"/>
      <c r="AY377" s="7"/>
    </row>
    <row r="378">
      <c r="A378" s="5"/>
      <c r="B378" s="406"/>
      <c r="C378" s="151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6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6"/>
      <c r="AX378" s="5"/>
      <c r="AY378" s="7"/>
    </row>
    <row r="379">
      <c r="A379" s="5"/>
      <c r="B379" s="406"/>
      <c r="C379" s="151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6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6"/>
      <c r="AX379" s="5"/>
      <c r="AY379" s="7"/>
    </row>
    <row r="380">
      <c r="A380" s="5"/>
      <c r="B380" s="406"/>
      <c r="C380" s="151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6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6"/>
      <c r="AX380" s="5"/>
      <c r="AY380" s="7"/>
    </row>
    <row r="381">
      <c r="A381" s="5"/>
      <c r="B381" s="406"/>
      <c r="C381" s="151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6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6"/>
      <c r="AX381" s="5"/>
      <c r="AY381" s="7"/>
    </row>
    <row r="382">
      <c r="A382" s="5"/>
      <c r="B382" s="406"/>
      <c r="C382" s="151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6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6"/>
      <c r="AX382" s="5"/>
      <c r="AY382" s="7"/>
    </row>
    <row r="383">
      <c r="A383" s="5"/>
      <c r="B383" s="406"/>
      <c r="C383" s="151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6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6"/>
      <c r="AX383" s="5"/>
      <c r="AY383" s="7"/>
    </row>
    <row r="384">
      <c r="A384" s="5"/>
      <c r="B384" s="406"/>
      <c r="C384" s="151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6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6"/>
      <c r="AX384" s="5"/>
      <c r="AY384" s="7"/>
    </row>
    <row r="385">
      <c r="A385" s="5"/>
      <c r="B385" s="406"/>
      <c r="C385" s="151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6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6"/>
      <c r="AX385" s="5"/>
      <c r="AY385" s="7"/>
    </row>
    <row r="386">
      <c r="A386" s="5"/>
      <c r="B386" s="406"/>
      <c r="C386" s="151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6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6"/>
      <c r="AX386" s="5"/>
      <c r="AY386" s="7"/>
    </row>
    <row r="387">
      <c r="A387" s="5"/>
      <c r="B387" s="406"/>
      <c r="C387" s="151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6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6"/>
      <c r="AX387" s="5"/>
      <c r="AY387" s="7"/>
    </row>
    <row r="388">
      <c r="A388" s="5"/>
      <c r="B388" s="406"/>
      <c r="C388" s="151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6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6"/>
      <c r="AX388" s="5"/>
      <c r="AY388" s="7"/>
    </row>
    <row r="389">
      <c r="A389" s="5"/>
      <c r="B389" s="406"/>
      <c r="C389" s="151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6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6"/>
      <c r="AX389" s="5"/>
      <c r="AY389" s="7"/>
    </row>
    <row r="390">
      <c r="A390" s="5"/>
      <c r="B390" s="406"/>
      <c r="C390" s="151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6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6"/>
      <c r="AX390" s="5"/>
      <c r="AY390" s="7"/>
    </row>
    <row r="391">
      <c r="A391" s="5"/>
      <c r="B391" s="406"/>
      <c r="C391" s="151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6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6"/>
      <c r="AX391" s="5"/>
      <c r="AY391" s="7"/>
    </row>
    <row r="392">
      <c r="A392" s="5"/>
      <c r="B392" s="406"/>
      <c r="C392" s="151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6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6"/>
      <c r="AX392" s="5"/>
      <c r="AY392" s="7"/>
    </row>
    <row r="393">
      <c r="A393" s="5"/>
      <c r="B393" s="406"/>
      <c r="C393" s="151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6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6"/>
      <c r="AX393" s="5"/>
      <c r="AY393" s="7"/>
    </row>
    <row r="394">
      <c r="A394" s="5"/>
      <c r="B394" s="406"/>
      <c r="C394" s="151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6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6"/>
      <c r="AX394" s="5"/>
      <c r="AY394" s="7"/>
    </row>
    <row r="395">
      <c r="A395" s="5"/>
      <c r="B395" s="406"/>
      <c r="C395" s="151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6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6"/>
      <c r="AX395" s="5"/>
      <c r="AY395" s="7"/>
    </row>
    <row r="396">
      <c r="A396" s="5"/>
      <c r="B396" s="406"/>
      <c r="C396" s="151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6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6"/>
      <c r="AX396" s="5"/>
      <c r="AY396" s="7"/>
    </row>
    <row r="397">
      <c r="A397" s="5"/>
      <c r="B397" s="406"/>
      <c r="C397" s="151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6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6"/>
      <c r="AX397" s="5"/>
      <c r="AY397" s="7"/>
    </row>
    <row r="398">
      <c r="A398" s="5"/>
      <c r="B398" s="406"/>
      <c r="C398" s="151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6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6"/>
      <c r="AX398" s="5"/>
      <c r="AY398" s="7"/>
    </row>
    <row r="399">
      <c r="A399" s="5"/>
      <c r="B399" s="406"/>
      <c r="C399" s="151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6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6"/>
      <c r="AX399" s="5"/>
      <c r="AY399" s="7"/>
    </row>
    <row r="400">
      <c r="A400" s="5"/>
      <c r="B400" s="406"/>
      <c r="C400" s="151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6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6"/>
      <c r="AX400" s="5"/>
      <c r="AY400" s="7"/>
    </row>
    <row r="401">
      <c r="A401" s="5"/>
      <c r="B401" s="406"/>
      <c r="C401" s="151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6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6"/>
      <c r="AX401" s="5"/>
      <c r="AY401" s="7"/>
    </row>
    <row r="402">
      <c r="A402" s="5"/>
      <c r="B402" s="406"/>
      <c r="C402" s="151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6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6"/>
      <c r="AX402" s="5"/>
      <c r="AY402" s="7"/>
    </row>
    <row r="403">
      <c r="A403" s="5"/>
      <c r="B403" s="406"/>
      <c r="C403" s="151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6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6"/>
      <c r="AX403" s="5"/>
      <c r="AY403" s="7"/>
    </row>
    <row r="404">
      <c r="A404" s="5"/>
      <c r="B404" s="406"/>
      <c r="C404" s="151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6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6"/>
      <c r="AX404" s="5"/>
      <c r="AY404" s="7"/>
    </row>
    <row r="405">
      <c r="A405" s="5"/>
      <c r="B405" s="406"/>
      <c r="C405" s="151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6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6"/>
      <c r="AX405" s="5"/>
      <c r="AY405" s="7"/>
    </row>
    <row r="406">
      <c r="A406" s="5"/>
      <c r="B406" s="406"/>
      <c r="C406" s="151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6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6"/>
      <c r="AX406" s="5"/>
      <c r="AY406" s="7"/>
    </row>
    <row r="407">
      <c r="A407" s="5"/>
      <c r="B407" s="406"/>
      <c r="C407" s="151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6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6"/>
      <c r="AX407" s="5"/>
      <c r="AY407" s="7"/>
    </row>
    <row r="408">
      <c r="A408" s="5"/>
      <c r="B408" s="406"/>
      <c r="C408" s="151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6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6"/>
      <c r="AX408" s="5"/>
      <c r="AY408" s="7"/>
    </row>
    <row r="409">
      <c r="A409" s="5"/>
      <c r="B409" s="406"/>
      <c r="C409" s="151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6"/>
      <c r="AX409" s="5"/>
      <c r="AY409" s="7"/>
    </row>
    <row r="410">
      <c r="A410" s="5"/>
      <c r="B410" s="406"/>
      <c r="C410" s="151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6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6"/>
      <c r="AX410" s="5"/>
      <c r="AY410" s="7"/>
    </row>
    <row r="411">
      <c r="A411" s="5"/>
      <c r="B411" s="406"/>
      <c r="C411" s="151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6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6"/>
      <c r="AX411" s="5"/>
      <c r="AY411" s="7"/>
    </row>
    <row r="412">
      <c r="A412" s="5"/>
      <c r="B412" s="406"/>
      <c r="C412" s="151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6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6"/>
      <c r="AX412" s="5"/>
      <c r="AY412" s="7"/>
    </row>
    <row r="413">
      <c r="A413" s="5"/>
      <c r="B413" s="406"/>
      <c r="C413" s="151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6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6"/>
      <c r="AX413" s="5"/>
      <c r="AY413" s="7"/>
    </row>
    <row r="414">
      <c r="A414" s="5"/>
      <c r="B414" s="406"/>
      <c r="C414" s="151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6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6"/>
      <c r="AX414" s="5"/>
      <c r="AY414" s="7"/>
    </row>
    <row r="415">
      <c r="A415" s="5"/>
      <c r="B415" s="406"/>
      <c r="C415" s="151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6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6"/>
      <c r="AX415" s="5"/>
      <c r="AY415" s="7"/>
    </row>
    <row r="416">
      <c r="A416" s="5"/>
      <c r="B416" s="406"/>
      <c r="C416" s="151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6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6"/>
      <c r="AX416" s="5"/>
      <c r="AY416" s="7"/>
    </row>
    <row r="417">
      <c r="A417" s="5"/>
      <c r="B417" s="406"/>
      <c r="C417" s="151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6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6"/>
      <c r="AX417" s="5"/>
      <c r="AY417" s="7"/>
    </row>
    <row r="418">
      <c r="A418" s="5"/>
      <c r="B418" s="406"/>
      <c r="C418" s="151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6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6"/>
      <c r="AX418" s="5"/>
      <c r="AY418" s="7"/>
    </row>
    <row r="419">
      <c r="A419" s="5"/>
      <c r="B419" s="406"/>
      <c r="C419" s="151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6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6"/>
      <c r="AX419" s="5"/>
      <c r="AY419" s="7"/>
    </row>
    <row r="420">
      <c r="A420" s="5"/>
      <c r="B420" s="406"/>
      <c r="C420" s="151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6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6"/>
      <c r="AX420" s="5"/>
      <c r="AY420" s="7"/>
    </row>
    <row r="421">
      <c r="A421" s="5"/>
      <c r="B421" s="406"/>
      <c r="C421" s="151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6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6"/>
      <c r="AX421" s="5"/>
      <c r="AY421" s="7"/>
    </row>
    <row r="422">
      <c r="A422" s="5"/>
      <c r="B422" s="406"/>
      <c r="C422" s="151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6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6"/>
      <c r="AX422" s="5"/>
      <c r="AY422" s="7"/>
    </row>
    <row r="423">
      <c r="A423" s="5"/>
      <c r="B423" s="406"/>
      <c r="C423" s="151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6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6"/>
      <c r="AX423" s="5"/>
      <c r="AY423" s="7"/>
    </row>
    <row r="424">
      <c r="A424" s="5"/>
      <c r="B424" s="406"/>
      <c r="C424" s="151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6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6"/>
      <c r="AX424" s="5"/>
      <c r="AY424" s="7"/>
    </row>
    <row r="425">
      <c r="A425" s="5"/>
      <c r="B425" s="406"/>
      <c r="C425" s="151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6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6"/>
      <c r="AX425" s="5"/>
      <c r="AY425" s="7"/>
    </row>
    <row r="426">
      <c r="A426" s="5"/>
      <c r="B426" s="406"/>
      <c r="C426" s="151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6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6"/>
      <c r="AX426" s="5"/>
      <c r="AY426" s="7"/>
    </row>
    <row r="427">
      <c r="A427" s="5"/>
      <c r="B427" s="406"/>
      <c r="C427" s="151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6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6"/>
      <c r="AX427" s="5"/>
      <c r="AY427" s="7"/>
    </row>
    <row r="428">
      <c r="A428" s="5"/>
      <c r="B428" s="406"/>
      <c r="C428" s="151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6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6"/>
      <c r="AX428" s="5"/>
      <c r="AY428" s="7"/>
    </row>
    <row r="429">
      <c r="A429" s="5"/>
      <c r="B429" s="406"/>
      <c r="C429" s="151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6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6"/>
      <c r="AX429" s="5"/>
      <c r="AY429" s="7"/>
    </row>
    <row r="430">
      <c r="A430" s="5"/>
      <c r="B430" s="406"/>
      <c r="C430" s="151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6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6"/>
      <c r="AX430" s="5"/>
      <c r="AY430" s="7"/>
    </row>
    <row r="431">
      <c r="A431" s="5"/>
      <c r="B431" s="406"/>
      <c r="C431" s="151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6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6"/>
      <c r="AX431" s="5"/>
      <c r="AY431" s="7"/>
    </row>
    <row r="432">
      <c r="A432" s="5"/>
      <c r="B432" s="406"/>
      <c r="C432" s="151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6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6"/>
      <c r="AX432" s="5"/>
      <c r="AY432" s="7"/>
    </row>
    <row r="433">
      <c r="A433" s="5"/>
      <c r="B433" s="406"/>
      <c r="C433" s="151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6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6"/>
      <c r="AX433" s="5"/>
      <c r="AY433" s="7"/>
    </row>
    <row r="434">
      <c r="A434" s="5"/>
      <c r="B434" s="406"/>
      <c r="C434" s="151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6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6"/>
      <c r="AX434" s="5"/>
      <c r="AY434" s="7"/>
    </row>
    <row r="435">
      <c r="A435" s="5"/>
      <c r="B435" s="406"/>
      <c r="C435" s="151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6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6"/>
      <c r="AX435" s="5"/>
      <c r="AY435" s="7"/>
    </row>
    <row r="436">
      <c r="A436" s="5"/>
      <c r="B436" s="406"/>
      <c r="C436" s="151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6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6"/>
      <c r="AX436" s="5"/>
      <c r="AY436" s="7"/>
    </row>
    <row r="437">
      <c r="A437" s="5"/>
      <c r="B437" s="406"/>
      <c r="C437" s="151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6"/>
      <c r="AX437" s="5"/>
      <c r="AY437" s="7"/>
    </row>
    <row r="438">
      <c r="A438" s="5"/>
      <c r="B438" s="406"/>
      <c r="C438" s="151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6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6"/>
      <c r="AX438" s="5"/>
      <c r="AY438" s="7"/>
    </row>
    <row r="439">
      <c r="A439" s="5"/>
      <c r="B439" s="406"/>
      <c r="C439" s="151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6"/>
      <c r="AX439" s="5"/>
      <c r="AY439" s="7"/>
    </row>
    <row r="440">
      <c r="A440" s="5"/>
      <c r="B440" s="406"/>
      <c r="C440" s="151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6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6"/>
      <c r="AX440" s="5"/>
      <c r="AY440" s="7"/>
    </row>
    <row r="441">
      <c r="A441" s="5"/>
      <c r="B441" s="406"/>
      <c r="C441" s="151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6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6"/>
      <c r="AX441" s="5"/>
      <c r="AY441" s="7"/>
    </row>
    <row r="442">
      <c r="A442" s="5"/>
      <c r="B442" s="406"/>
      <c r="C442" s="151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6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6"/>
      <c r="AX442" s="5"/>
      <c r="AY442" s="7"/>
    </row>
    <row r="443">
      <c r="A443" s="5"/>
      <c r="B443" s="406"/>
      <c r="C443" s="151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6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6"/>
      <c r="AX443" s="5"/>
      <c r="AY443" s="7"/>
    </row>
    <row r="444">
      <c r="A444" s="5"/>
      <c r="B444" s="406"/>
      <c r="C444" s="151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6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6"/>
      <c r="AX444" s="5"/>
      <c r="AY444" s="7"/>
    </row>
    <row r="445">
      <c r="A445" s="5"/>
      <c r="B445" s="406"/>
      <c r="C445" s="151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6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6"/>
      <c r="AX445" s="5"/>
      <c r="AY445" s="7"/>
    </row>
    <row r="446">
      <c r="A446" s="5"/>
      <c r="B446" s="406"/>
      <c r="C446" s="151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6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6"/>
      <c r="AX446" s="5"/>
      <c r="AY446" s="7"/>
    </row>
    <row r="447">
      <c r="A447" s="5"/>
      <c r="B447" s="406"/>
      <c r="C447" s="151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6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6"/>
      <c r="AX447" s="5"/>
      <c r="AY447" s="7"/>
    </row>
    <row r="448">
      <c r="A448" s="5"/>
      <c r="B448" s="406"/>
      <c r="C448" s="151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6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6"/>
      <c r="AX448" s="5"/>
      <c r="AY448" s="7"/>
    </row>
    <row r="449">
      <c r="A449" s="5"/>
      <c r="B449" s="406"/>
      <c r="C449" s="151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6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6"/>
      <c r="AX449" s="5"/>
      <c r="AY449" s="7"/>
    </row>
    <row r="450">
      <c r="A450" s="5"/>
      <c r="B450" s="406"/>
      <c r="C450" s="151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6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6"/>
      <c r="AX450" s="5"/>
      <c r="AY450" s="7"/>
    </row>
    <row r="451">
      <c r="A451" s="5"/>
      <c r="B451" s="406"/>
      <c r="C451" s="151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6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6"/>
      <c r="AX451" s="5"/>
      <c r="AY451" s="7"/>
    </row>
    <row r="452">
      <c r="A452" s="5"/>
      <c r="B452" s="406"/>
      <c r="C452" s="151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6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6"/>
      <c r="AX452" s="5"/>
      <c r="AY452" s="7"/>
    </row>
    <row r="453">
      <c r="A453" s="5"/>
      <c r="B453" s="406"/>
      <c r="C453" s="151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6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6"/>
      <c r="AX453" s="5"/>
      <c r="AY453" s="7"/>
    </row>
    <row r="454">
      <c r="A454" s="5"/>
      <c r="B454" s="406"/>
      <c r="C454" s="151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6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6"/>
      <c r="AX454" s="5"/>
      <c r="AY454" s="7"/>
    </row>
    <row r="455">
      <c r="A455" s="5"/>
      <c r="B455" s="406"/>
      <c r="C455" s="151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6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6"/>
      <c r="AX455" s="5"/>
      <c r="AY455" s="7"/>
    </row>
    <row r="456">
      <c r="A456" s="5"/>
      <c r="B456" s="406"/>
      <c r="C456" s="151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6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6"/>
      <c r="AX456" s="5"/>
      <c r="AY456" s="7"/>
    </row>
    <row r="457">
      <c r="A457" s="5"/>
      <c r="B457" s="406"/>
      <c r="C457" s="151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6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6"/>
      <c r="AX457" s="5"/>
      <c r="AY457" s="7"/>
    </row>
    <row r="458">
      <c r="A458" s="5"/>
      <c r="B458" s="406"/>
      <c r="C458" s="151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6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6"/>
      <c r="AX458" s="5"/>
      <c r="AY458" s="7"/>
    </row>
    <row r="459">
      <c r="A459" s="5"/>
      <c r="B459" s="406"/>
      <c r="C459" s="151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6"/>
      <c r="AX459" s="5"/>
      <c r="AY459" s="7"/>
    </row>
    <row r="460">
      <c r="A460" s="5"/>
      <c r="B460" s="406"/>
      <c r="C460" s="151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6"/>
      <c r="AX460" s="5"/>
      <c r="AY460" s="7"/>
    </row>
    <row r="461">
      <c r="A461" s="5"/>
      <c r="B461" s="406"/>
      <c r="C461" s="151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6"/>
      <c r="AX461" s="5"/>
      <c r="AY461" s="7"/>
    </row>
    <row r="462">
      <c r="A462" s="5"/>
      <c r="B462" s="406"/>
      <c r="C462" s="151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6"/>
      <c r="AX462" s="5"/>
      <c r="AY462" s="7"/>
    </row>
    <row r="463">
      <c r="A463" s="5"/>
      <c r="B463" s="406"/>
      <c r="C463" s="151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6"/>
      <c r="AX463" s="5"/>
      <c r="AY463" s="7"/>
    </row>
    <row r="464">
      <c r="A464" s="5"/>
      <c r="B464" s="406"/>
      <c r="C464" s="151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6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6"/>
      <c r="AX464" s="5"/>
      <c r="AY464" s="7"/>
    </row>
    <row r="465">
      <c r="A465" s="5"/>
      <c r="B465" s="406"/>
      <c r="C465" s="151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6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6"/>
      <c r="AX465" s="5"/>
      <c r="AY465" s="7"/>
    </row>
    <row r="466">
      <c r="A466" s="5"/>
      <c r="B466" s="406"/>
      <c r="C466" s="151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6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6"/>
      <c r="AX466" s="5"/>
      <c r="AY466" s="7"/>
    </row>
    <row r="467">
      <c r="A467" s="5"/>
      <c r="B467" s="406"/>
      <c r="C467" s="151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6"/>
      <c r="AX467" s="5"/>
      <c r="AY467" s="7"/>
    </row>
    <row r="468">
      <c r="A468" s="5"/>
      <c r="B468" s="406"/>
      <c r="C468" s="151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6"/>
      <c r="AX468" s="5"/>
      <c r="AY468" s="7"/>
    </row>
    <row r="469">
      <c r="A469" s="5"/>
      <c r="B469" s="406"/>
      <c r="C469" s="151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6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6"/>
      <c r="AX469" s="5"/>
      <c r="AY469" s="7"/>
    </row>
    <row r="470">
      <c r="A470" s="5"/>
      <c r="B470" s="406"/>
      <c r="C470" s="151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6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6"/>
      <c r="AX470" s="5"/>
      <c r="AY470" s="7"/>
    </row>
    <row r="471">
      <c r="A471" s="5"/>
      <c r="B471" s="406"/>
      <c r="C471" s="151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6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6"/>
      <c r="AX471" s="5"/>
      <c r="AY471" s="7"/>
    </row>
    <row r="472">
      <c r="A472" s="5"/>
      <c r="B472" s="406"/>
      <c r="C472" s="151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6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6"/>
      <c r="AX472" s="5"/>
      <c r="AY472" s="7"/>
    </row>
    <row r="473">
      <c r="A473" s="5"/>
      <c r="B473" s="406"/>
      <c r="C473" s="151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6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6"/>
      <c r="AX473" s="5"/>
      <c r="AY473" s="7"/>
    </row>
    <row r="474">
      <c r="A474" s="5"/>
      <c r="B474" s="406"/>
      <c r="C474" s="151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6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6"/>
      <c r="AX474" s="5"/>
      <c r="AY474" s="7"/>
    </row>
    <row r="475">
      <c r="A475" s="5"/>
      <c r="B475" s="406"/>
      <c r="C475" s="151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6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6"/>
      <c r="AX475" s="5"/>
      <c r="AY475" s="7"/>
    </row>
    <row r="476">
      <c r="A476" s="5"/>
      <c r="B476" s="406"/>
      <c r="C476" s="151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6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6"/>
      <c r="AX476" s="5"/>
      <c r="AY476" s="7"/>
    </row>
    <row r="477">
      <c r="A477" s="5"/>
      <c r="B477" s="406"/>
      <c r="C477" s="151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6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6"/>
      <c r="AX477" s="5"/>
      <c r="AY477" s="7"/>
    </row>
    <row r="478">
      <c r="A478" s="5"/>
      <c r="B478" s="406"/>
      <c r="C478" s="151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6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6"/>
      <c r="AX478" s="5"/>
      <c r="AY478" s="7"/>
    </row>
    <row r="479">
      <c r="A479" s="5"/>
      <c r="B479" s="406"/>
      <c r="C479" s="151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6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6"/>
      <c r="AX479" s="5"/>
      <c r="AY479" s="7"/>
    </row>
    <row r="480">
      <c r="A480" s="5"/>
      <c r="B480" s="406"/>
      <c r="C480" s="151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6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6"/>
      <c r="AX480" s="5"/>
      <c r="AY480" s="7"/>
    </row>
    <row r="481">
      <c r="A481" s="5"/>
      <c r="B481" s="406"/>
      <c r="C481" s="151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6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6"/>
      <c r="AX481" s="5"/>
      <c r="AY481" s="7"/>
    </row>
    <row r="482">
      <c r="A482" s="5"/>
      <c r="B482" s="406"/>
      <c r="C482" s="151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6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6"/>
      <c r="AX482" s="5"/>
      <c r="AY482" s="7"/>
    </row>
    <row r="483">
      <c r="A483" s="5"/>
      <c r="B483" s="406"/>
      <c r="C483" s="151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6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6"/>
      <c r="AX483" s="5"/>
      <c r="AY483" s="7"/>
    </row>
    <row r="484">
      <c r="A484" s="5"/>
      <c r="B484" s="406"/>
      <c r="C484" s="151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6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6"/>
      <c r="AX484" s="5"/>
      <c r="AY484" s="7"/>
    </row>
    <row r="485">
      <c r="A485" s="5"/>
      <c r="B485" s="406"/>
      <c r="C485" s="151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6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6"/>
      <c r="AX485" s="5"/>
      <c r="AY485" s="7"/>
    </row>
    <row r="486">
      <c r="A486" s="5"/>
      <c r="B486" s="406"/>
      <c r="C486" s="151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6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6"/>
      <c r="AX486" s="5"/>
      <c r="AY486" s="7"/>
    </row>
    <row r="487">
      <c r="A487" s="5"/>
      <c r="B487" s="406"/>
      <c r="C487" s="151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6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6"/>
      <c r="AX487" s="5"/>
      <c r="AY487" s="7"/>
    </row>
    <row r="488">
      <c r="A488" s="5"/>
      <c r="B488" s="406"/>
      <c r="C488" s="151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6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6"/>
      <c r="AX488" s="5"/>
      <c r="AY488" s="7"/>
    </row>
    <row r="489">
      <c r="A489" s="5"/>
      <c r="B489" s="406"/>
      <c r="C489" s="151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6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6"/>
      <c r="AX489" s="5"/>
      <c r="AY489" s="7"/>
    </row>
    <row r="490">
      <c r="A490" s="5"/>
      <c r="B490" s="406"/>
      <c r="C490" s="151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6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6"/>
      <c r="AX490" s="5"/>
      <c r="AY490" s="7"/>
    </row>
    <row r="491">
      <c r="A491" s="5"/>
      <c r="B491" s="406"/>
      <c r="C491" s="151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6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6"/>
      <c r="AX491" s="5"/>
      <c r="AY491" s="7"/>
    </row>
    <row r="492">
      <c r="A492" s="5"/>
      <c r="B492" s="406"/>
      <c r="C492" s="151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6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6"/>
      <c r="AX492" s="5"/>
      <c r="AY492" s="7"/>
    </row>
    <row r="493">
      <c r="A493" s="5"/>
      <c r="B493" s="406"/>
      <c r="C493" s="151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6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6"/>
      <c r="AX493" s="5"/>
      <c r="AY493" s="7"/>
    </row>
    <row r="494">
      <c r="A494" s="5"/>
      <c r="B494" s="406"/>
      <c r="C494" s="151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6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6"/>
      <c r="AX494" s="5"/>
      <c r="AY494" s="7"/>
    </row>
    <row r="495">
      <c r="A495" s="5"/>
      <c r="B495" s="406"/>
      <c r="C495" s="151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6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6"/>
      <c r="AX495" s="5"/>
      <c r="AY495" s="7"/>
    </row>
    <row r="496">
      <c r="A496" s="5"/>
      <c r="B496" s="406"/>
      <c r="C496" s="151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6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6"/>
      <c r="AX496" s="5"/>
      <c r="AY496" s="7"/>
    </row>
    <row r="497">
      <c r="A497" s="5"/>
      <c r="B497" s="406"/>
      <c r="C497" s="151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6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6"/>
      <c r="AX497" s="5"/>
      <c r="AY497" s="7"/>
    </row>
    <row r="498">
      <c r="A498" s="5"/>
      <c r="B498" s="406"/>
      <c r="C498" s="151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6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6"/>
      <c r="AX498" s="5"/>
      <c r="AY498" s="7"/>
    </row>
    <row r="499">
      <c r="A499" s="5"/>
      <c r="B499" s="406"/>
      <c r="C499" s="151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6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6"/>
      <c r="AX499" s="5"/>
      <c r="AY499" s="7"/>
    </row>
    <row r="500">
      <c r="A500" s="5"/>
      <c r="B500" s="406"/>
      <c r="C500" s="151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6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6"/>
      <c r="AX500" s="5"/>
      <c r="AY500" s="7"/>
    </row>
    <row r="501">
      <c r="A501" s="5"/>
      <c r="B501" s="406"/>
      <c r="C501" s="151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6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6"/>
      <c r="AX501" s="5"/>
      <c r="AY501" s="7"/>
    </row>
    <row r="502">
      <c r="A502" s="5"/>
      <c r="B502" s="406"/>
      <c r="C502" s="151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6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6"/>
      <c r="AX502" s="5"/>
      <c r="AY502" s="7"/>
    </row>
    <row r="503">
      <c r="A503" s="5"/>
      <c r="B503" s="406"/>
      <c r="C503" s="151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6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6"/>
      <c r="AX503" s="5"/>
      <c r="AY503" s="7"/>
    </row>
    <row r="504">
      <c r="A504" s="5"/>
      <c r="B504" s="406"/>
      <c r="C504" s="151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6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6"/>
      <c r="AX504" s="5"/>
      <c r="AY504" s="7"/>
    </row>
    <row r="505">
      <c r="A505" s="5"/>
      <c r="B505" s="406"/>
      <c r="C505" s="151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6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6"/>
      <c r="AX505" s="5"/>
      <c r="AY505" s="7"/>
    </row>
    <row r="506">
      <c r="A506" s="5"/>
      <c r="B506" s="406"/>
      <c r="C506" s="151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6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6"/>
      <c r="AX506" s="5"/>
      <c r="AY506" s="7"/>
    </row>
    <row r="507">
      <c r="A507" s="5"/>
      <c r="B507" s="406"/>
      <c r="C507" s="151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6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6"/>
      <c r="AX507" s="5"/>
      <c r="AY507" s="7"/>
    </row>
    <row r="508">
      <c r="A508" s="5"/>
      <c r="B508" s="406"/>
      <c r="C508" s="151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6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6"/>
      <c r="AX508" s="5"/>
      <c r="AY508" s="7"/>
    </row>
    <row r="509">
      <c r="A509" s="5"/>
      <c r="B509" s="406"/>
      <c r="C509" s="151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6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6"/>
      <c r="AX509" s="5"/>
      <c r="AY509" s="7"/>
    </row>
    <row r="510">
      <c r="A510" s="5"/>
      <c r="B510" s="406"/>
      <c r="C510" s="151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6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6"/>
      <c r="AX510" s="5"/>
      <c r="AY510" s="7"/>
    </row>
    <row r="511">
      <c r="A511" s="5"/>
      <c r="B511" s="406"/>
      <c r="C511" s="151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6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6"/>
      <c r="AX511" s="5"/>
      <c r="AY511" s="7"/>
    </row>
    <row r="512">
      <c r="A512" s="5"/>
      <c r="B512" s="406"/>
      <c r="C512" s="151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6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6"/>
      <c r="AX512" s="5"/>
      <c r="AY512" s="7"/>
    </row>
    <row r="513">
      <c r="A513" s="5"/>
      <c r="B513" s="406"/>
      <c r="C513" s="151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6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6"/>
      <c r="AX513" s="5"/>
      <c r="AY513" s="7"/>
    </row>
    <row r="514">
      <c r="A514" s="5"/>
      <c r="B514" s="406"/>
      <c r="C514" s="151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6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6"/>
      <c r="AX514" s="5"/>
      <c r="AY514" s="7"/>
    </row>
    <row r="515">
      <c r="A515" s="5"/>
      <c r="B515" s="406"/>
      <c r="C515" s="151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6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6"/>
      <c r="AX515" s="5"/>
      <c r="AY515" s="7"/>
    </row>
    <row r="516">
      <c r="A516" s="5"/>
      <c r="B516" s="406"/>
      <c r="C516" s="151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6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6"/>
      <c r="AX516" s="5"/>
      <c r="AY516" s="7"/>
    </row>
    <row r="517">
      <c r="A517" s="5"/>
      <c r="B517" s="406"/>
      <c r="C517" s="151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6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6"/>
      <c r="AX517" s="5"/>
      <c r="AY517" s="7"/>
    </row>
    <row r="518">
      <c r="A518" s="5"/>
      <c r="B518" s="406"/>
      <c r="C518" s="151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6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6"/>
      <c r="AX518" s="5"/>
      <c r="AY518" s="7"/>
    </row>
    <row r="519">
      <c r="A519" s="5"/>
      <c r="B519" s="406"/>
      <c r="C519" s="151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6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6"/>
      <c r="AX519" s="5"/>
      <c r="AY519" s="7"/>
    </row>
    <row r="520">
      <c r="A520" s="5"/>
      <c r="B520" s="406"/>
      <c r="C520" s="151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6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6"/>
      <c r="AX520" s="5"/>
      <c r="AY520" s="7"/>
    </row>
    <row r="521">
      <c r="A521" s="5"/>
      <c r="B521" s="406"/>
      <c r="C521" s="151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6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6"/>
      <c r="AX521" s="5"/>
      <c r="AY521" s="7"/>
    </row>
    <row r="522">
      <c r="A522" s="5"/>
      <c r="B522" s="406"/>
      <c r="C522" s="151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6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6"/>
      <c r="AX522" s="5"/>
      <c r="AY522" s="7"/>
    </row>
    <row r="523">
      <c r="A523" s="5"/>
      <c r="B523" s="406"/>
      <c r="C523" s="151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6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6"/>
      <c r="AX523" s="5"/>
      <c r="AY523" s="7"/>
    </row>
    <row r="524">
      <c r="A524" s="5"/>
      <c r="B524" s="406"/>
      <c r="C524" s="151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6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6"/>
      <c r="AX524" s="5"/>
      <c r="AY524" s="7"/>
    </row>
    <row r="525">
      <c r="A525" s="5"/>
      <c r="B525" s="406"/>
      <c r="C525" s="151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6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6"/>
      <c r="AX525" s="5"/>
      <c r="AY525" s="7"/>
    </row>
    <row r="526">
      <c r="A526" s="5"/>
      <c r="B526" s="406"/>
      <c r="C526" s="151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6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6"/>
      <c r="AX526" s="5"/>
      <c r="AY526" s="7"/>
    </row>
    <row r="527">
      <c r="A527" s="5"/>
      <c r="B527" s="406"/>
      <c r="C527" s="151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6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6"/>
      <c r="AX527" s="5"/>
      <c r="AY527" s="7"/>
    </row>
    <row r="528">
      <c r="A528" s="5"/>
      <c r="B528" s="406"/>
      <c r="C528" s="151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6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6"/>
      <c r="AX528" s="5"/>
      <c r="AY528" s="7"/>
    </row>
    <row r="529">
      <c r="A529" s="5"/>
      <c r="B529" s="406"/>
      <c r="C529" s="151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6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6"/>
      <c r="AX529" s="5"/>
      <c r="AY529" s="7"/>
    </row>
    <row r="530">
      <c r="A530" s="5"/>
      <c r="B530" s="406"/>
      <c r="C530" s="151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6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6"/>
      <c r="AX530" s="5"/>
      <c r="AY530" s="7"/>
    </row>
    <row r="531">
      <c r="A531" s="5"/>
      <c r="B531" s="406"/>
      <c r="C531" s="151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6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6"/>
      <c r="AX531" s="5"/>
      <c r="AY531" s="7"/>
    </row>
    <row r="532">
      <c r="A532" s="5"/>
      <c r="B532" s="406"/>
      <c r="C532" s="151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6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6"/>
      <c r="AX532" s="5"/>
      <c r="AY532" s="7"/>
    </row>
    <row r="533">
      <c r="A533" s="5"/>
      <c r="B533" s="406"/>
      <c r="C533" s="151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6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6"/>
      <c r="AX533" s="5"/>
      <c r="AY533" s="7"/>
    </row>
    <row r="534">
      <c r="A534" s="5"/>
      <c r="B534" s="406"/>
      <c r="C534" s="151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6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6"/>
      <c r="AX534" s="5"/>
      <c r="AY534" s="7"/>
    </row>
    <row r="535">
      <c r="A535" s="5"/>
      <c r="B535" s="406"/>
      <c r="C535" s="151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6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6"/>
      <c r="AX535" s="5"/>
      <c r="AY535" s="7"/>
    </row>
    <row r="536">
      <c r="A536" s="5"/>
      <c r="B536" s="406"/>
      <c r="C536" s="151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6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6"/>
      <c r="AX536" s="5"/>
      <c r="AY536" s="7"/>
    </row>
    <row r="537">
      <c r="A537" s="5"/>
      <c r="B537" s="406"/>
      <c r="C537" s="151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6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6"/>
      <c r="AX537" s="5"/>
      <c r="AY537" s="7"/>
    </row>
    <row r="538">
      <c r="A538" s="5"/>
      <c r="B538" s="406"/>
      <c r="C538" s="151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6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6"/>
      <c r="AX538" s="5"/>
      <c r="AY538" s="7"/>
    </row>
    <row r="539">
      <c r="A539" s="5"/>
      <c r="B539" s="406"/>
      <c r="C539" s="151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6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6"/>
      <c r="AX539" s="5"/>
      <c r="AY539" s="7"/>
    </row>
    <row r="540">
      <c r="A540" s="5"/>
      <c r="B540" s="406"/>
      <c r="C540" s="151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6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6"/>
      <c r="AX540" s="5"/>
      <c r="AY540" s="7"/>
    </row>
    <row r="541">
      <c r="A541" s="5"/>
      <c r="B541" s="406"/>
      <c r="C541" s="151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6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6"/>
      <c r="AX541" s="5"/>
      <c r="AY541" s="7"/>
    </row>
    <row r="542">
      <c r="A542" s="5"/>
      <c r="B542" s="406"/>
      <c r="C542" s="151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6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6"/>
      <c r="AX542" s="5"/>
      <c r="AY542" s="7"/>
    </row>
    <row r="543">
      <c r="A543" s="5"/>
      <c r="B543" s="406"/>
      <c r="C543" s="151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6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6"/>
      <c r="AX543" s="5"/>
      <c r="AY543" s="7"/>
    </row>
    <row r="544">
      <c r="A544" s="5"/>
      <c r="B544" s="406"/>
      <c r="C544" s="151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6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6"/>
      <c r="AX544" s="5"/>
      <c r="AY544" s="7"/>
    </row>
    <row r="545">
      <c r="A545" s="5"/>
      <c r="B545" s="406"/>
      <c r="C545" s="151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6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6"/>
      <c r="AX545" s="5"/>
      <c r="AY545" s="7"/>
    </row>
    <row r="546">
      <c r="A546" s="5"/>
      <c r="B546" s="406"/>
      <c r="C546" s="151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6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6"/>
      <c r="AX546" s="5"/>
      <c r="AY546" s="7"/>
    </row>
    <row r="547">
      <c r="A547" s="5"/>
      <c r="B547" s="406"/>
      <c r="C547" s="151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6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6"/>
      <c r="AX547" s="5"/>
      <c r="AY547" s="7"/>
    </row>
    <row r="548">
      <c r="A548" s="5"/>
      <c r="B548" s="406"/>
      <c r="C548" s="151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6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6"/>
      <c r="AX548" s="5"/>
      <c r="AY548" s="7"/>
    </row>
    <row r="549">
      <c r="A549" s="5"/>
      <c r="B549" s="406"/>
      <c r="C549" s="151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6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6"/>
      <c r="AX549" s="5"/>
      <c r="AY549" s="7"/>
    </row>
    <row r="550">
      <c r="A550" s="5"/>
      <c r="B550" s="406"/>
      <c r="C550" s="151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6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6"/>
      <c r="AX550" s="5"/>
      <c r="AY550" s="7"/>
    </row>
    <row r="551">
      <c r="A551" s="5"/>
      <c r="B551" s="406"/>
      <c r="C551" s="151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6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6"/>
      <c r="AX551" s="5"/>
      <c r="AY551" s="7"/>
    </row>
    <row r="552">
      <c r="A552" s="5"/>
      <c r="B552" s="406"/>
      <c r="C552" s="151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6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6"/>
      <c r="AX552" s="5"/>
      <c r="AY552" s="7"/>
    </row>
    <row r="553">
      <c r="A553" s="5"/>
      <c r="B553" s="406"/>
      <c r="C553" s="151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6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6"/>
      <c r="AX553" s="5"/>
      <c r="AY553" s="7"/>
    </row>
    <row r="554">
      <c r="A554" s="5"/>
      <c r="B554" s="406"/>
      <c r="C554" s="151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6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6"/>
      <c r="AX554" s="5"/>
      <c r="AY554" s="7"/>
    </row>
    <row r="555">
      <c r="A555" s="5"/>
      <c r="B555" s="406"/>
      <c r="C555" s="151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6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6"/>
      <c r="AX555" s="5"/>
      <c r="AY555" s="7"/>
    </row>
    <row r="556">
      <c r="A556" s="5"/>
      <c r="B556" s="406"/>
      <c r="C556" s="151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6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6"/>
      <c r="AX556" s="5"/>
      <c r="AY556" s="7"/>
    </row>
    <row r="557">
      <c r="A557" s="5"/>
      <c r="B557" s="406"/>
      <c r="C557" s="151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6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6"/>
      <c r="AX557" s="5"/>
      <c r="AY557" s="7"/>
    </row>
    <row r="558">
      <c r="A558" s="5"/>
      <c r="B558" s="406"/>
      <c r="C558" s="151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6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6"/>
      <c r="AX558" s="5"/>
      <c r="AY558" s="7"/>
    </row>
    <row r="559">
      <c r="A559" s="5"/>
      <c r="B559" s="406"/>
      <c r="C559" s="151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6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6"/>
      <c r="AX559" s="5"/>
      <c r="AY559" s="7"/>
    </row>
    <row r="560">
      <c r="A560" s="5"/>
      <c r="B560" s="406"/>
      <c r="C560" s="151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6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6"/>
      <c r="AX560" s="5"/>
      <c r="AY560" s="7"/>
    </row>
    <row r="561">
      <c r="A561" s="5"/>
      <c r="B561" s="406"/>
      <c r="C561" s="151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6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6"/>
      <c r="AX561" s="5"/>
      <c r="AY561" s="7"/>
    </row>
    <row r="562">
      <c r="A562" s="5"/>
      <c r="B562" s="406"/>
      <c r="C562" s="151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6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6"/>
      <c r="AX562" s="5"/>
      <c r="AY562" s="7"/>
    </row>
    <row r="563">
      <c r="A563" s="5"/>
      <c r="B563" s="406"/>
      <c r="C563" s="151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6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6"/>
      <c r="AX563" s="5"/>
      <c r="AY563" s="7"/>
    </row>
    <row r="564">
      <c r="A564" s="5"/>
      <c r="B564" s="406"/>
      <c r="C564" s="151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6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6"/>
      <c r="AX564" s="5"/>
      <c r="AY564" s="7"/>
    </row>
    <row r="565">
      <c r="A565" s="5"/>
      <c r="B565" s="406"/>
      <c r="C565" s="151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6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6"/>
      <c r="AX565" s="5"/>
      <c r="AY565" s="7"/>
    </row>
    <row r="566">
      <c r="A566" s="5"/>
      <c r="B566" s="406"/>
      <c r="C566" s="151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6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6"/>
      <c r="AX566" s="5"/>
      <c r="AY566" s="7"/>
    </row>
    <row r="567">
      <c r="A567" s="5"/>
      <c r="B567" s="406"/>
      <c r="C567" s="151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6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6"/>
      <c r="AX567" s="5"/>
      <c r="AY567" s="7"/>
    </row>
    <row r="568">
      <c r="A568" s="5"/>
      <c r="B568" s="406"/>
      <c r="C568" s="151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6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6"/>
      <c r="AX568" s="5"/>
      <c r="AY568" s="7"/>
    </row>
    <row r="569">
      <c r="A569" s="5"/>
      <c r="B569" s="406"/>
      <c r="C569" s="151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6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6"/>
      <c r="AX569" s="5"/>
      <c r="AY569" s="7"/>
    </row>
    <row r="570">
      <c r="A570" s="5"/>
      <c r="B570" s="406"/>
      <c r="C570" s="151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6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6"/>
      <c r="AX570" s="5"/>
      <c r="AY570" s="7"/>
    </row>
    <row r="571">
      <c r="A571" s="5"/>
      <c r="B571" s="406"/>
      <c r="C571" s="151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6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6"/>
      <c r="AX571" s="5"/>
      <c r="AY571" s="7"/>
    </row>
    <row r="572">
      <c r="A572" s="5"/>
      <c r="B572" s="406"/>
      <c r="C572" s="151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6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6"/>
      <c r="AX572" s="5"/>
      <c r="AY572" s="7"/>
    </row>
    <row r="573">
      <c r="A573" s="5"/>
      <c r="B573" s="406"/>
      <c r="C573" s="151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6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6"/>
      <c r="AX573" s="5"/>
      <c r="AY573" s="7"/>
    </row>
    <row r="574">
      <c r="A574" s="5"/>
      <c r="B574" s="406"/>
      <c r="C574" s="151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6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6"/>
      <c r="AX574" s="5"/>
      <c r="AY574" s="7"/>
    </row>
    <row r="575">
      <c r="A575" s="5"/>
      <c r="B575" s="406"/>
      <c r="C575" s="151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6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6"/>
      <c r="AX575" s="5"/>
      <c r="AY575" s="7"/>
    </row>
    <row r="576">
      <c r="A576" s="5"/>
      <c r="B576" s="406"/>
      <c r="C576" s="151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6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6"/>
      <c r="AX576" s="5"/>
      <c r="AY576" s="7"/>
    </row>
    <row r="577">
      <c r="A577" s="5"/>
      <c r="B577" s="406"/>
      <c r="C577" s="151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6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6"/>
      <c r="AX577" s="5"/>
      <c r="AY577" s="7"/>
    </row>
    <row r="578">
      <c r="A578" s="5"/>
      <c r="B578" s="406"/>
      <c r="C578" s="151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6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6"/>
      <c r="AX578" s="5"/>
      <c r="AY578" s="7"/>
    </row>
    <row r="579">
      <c r="A579" s="5"/>
      <c r="B579" s="406"/>
      <c r="C579" s="151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6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6"/>
      <c r="AX579" s="5"/>
      <c r="AY579" s="7"/>
    </row>
    <row r="580">
      <c r="A580" s="5"/>
      <c r="B580" s="406"/>
      <c r="C580" s="151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6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6"/>
      <c r="AX580" s="5"/>
      <c r="AY580" s="7"/>
    </row>
    <row r="581">
      <c r="A581" s="5"/>
      <c r="B581" s="406"/>
      <c r="C581" s="151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6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6"/>
      <c r="AX581" s="5"/>
      <c r="AY581" s="7"/>
    </row>
    <row r="582">
      <c r="A582" s="5"/>
      <c r="B582" s="406"/>
      <c r="C582" s="151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6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6"/>
      <c r="AX582" s="5"/>
      <c r="AY582" s="7"/>
    </row>
    <row r="583">
      <c r="A583" s="5"/>
      <c r="B583" s="406"/>
      <c r="C583" s="151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6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6"/>
      <c r="AX583" s="5"/>
      <c r="AY583" s="7"/>
    </row>
    <row r="584">
      <c r="A584" s="5"/>
      <c r="B584" s="406"/>
      <c r="C584" s="151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6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6"/>
      <c r="AX584" s="5"/>
      <c r="AY584" s="7"/>
    </row>
    <row r="585">
      <c r="A585" s="5"/>
      <c r="B585" s="406"/>
      <c r="C585" s="151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6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6"/>
      <c r="AX585" s="5"/>
      <c r="AY585" s="7"/>
    </row>
    <row r="586">
      <c r="A586" s="5"/>
      <c r="B586" s="406"/>
      <c r="C586" s="151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6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6"/>
      <c r="AX586" s="5"/>
      <c r="AY586" s="7"/>
    </row>
    <row r="587">
      <c r="A587" s="5"/>
      <c r="B587" s="406"/>
      <c r="C587" s="151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6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6"/>
      <c r="AX587" s="5"/>
      <c r="AY587" s="7"/>
    </row>
    <row r="588">
      <c r="A588" s="5"/>
      <c r="B588" s="406"/>
      <c r="C588" s="151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6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6"/>
      <c r="AX588" s="5"/>
      <c r="AY588" s="7"/>
    </row>
    <row r="589">
      <c r="A589" s="5"/>
      <c r="B589" s="406"/>
      <c r="C589" s="151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6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6"/>
      <c r="AX589" s="5"/>
      <c r="AY589" s="7"/>
    </row>
    <row r="590">
      <c r="A590" s="5"/>
      <c r="B590" s="406"/>
      <c r="C590" s="151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6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6"/>
      <c r="AX590" s="5"/>
      <c r="AY590" s="7"/>
    </row>
    <row r="591">
      <c r="A591" s="5"/>
      <c r="B591" s="406"/>
      <c r="C591" s="151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6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6"/>
      <c r="AX591" s="5"/>
      <c r="AY591" s="7"/>
    </row>
    <row r="592">
      <c r="A592" s="5"/>
      <c r="B592" s="406"/>
      <c r="C592" s="151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6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6"/>
      <c r="AX592" s="5"/>
      <c r="AY592" s="7"/>
    </row>
    <row r="593">
      <c r="A593" s="5"/>
      <c r="B593" s="406"/>
      <c r="C593" s="151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6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6"/>
      <c r="AX593" s="5"/>
      <c r="AY593" s="7"/>
    </row>
    <row r="594">
      <c r="A594" s="5"/>
      <c r="B594" s="406"/>
      <c r="C594" s="151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6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6"/>
      <c r="AX594" s="5"/>
      <c r="AY594" s="7"/>
    </row>
    <row r="595">
      <c r="A595" s="5"/>
      <c r="B595" s="406"/>
      <c r="C595" s="151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6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6"/>
      <c r="AX595" s="5"/>
      <c r="AY595" s="7"/>
    </row>
    <row r="596">
      <c r="A596" s="5"/>
      <c r="B596" s="406"/>
      <c r="C596" s="151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6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6"/>
      <c r="AX596" s="5"/>
      <c r="AY596" s="7"/>
    </row>
    <row r="597">
      <c r="A597" s="5"/>
      <c r="B597" s="406"/>
      <c r="C597" s="151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6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6"/>
      <c r="AX597" s="5"/>
      <c r="AY597" s="7"/>
    </row>
    <row r="598">
      <c r="A598" s="5"/>
      <c r="B598" s="406"/>
      <c r="C598" s="151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6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6"/>
      <c r="AX598" s="5"/>
      <c r="AY598" s="7"/>
    </row>
    <row r="599">
      <c r="A599" s="5"/>
      <c r="B599" s="406"/>
      <c r="C599" s="151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6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6"/>
      <c r="AX599" s="5"/>
      <c r="AY599" s="7"/>
    </row>
    <row r="600">
      <c r="A600" s="5"/>
      <c r="B600" s="406"/>
      <c r="C600" s="151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6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6"/>
      <c r="AX600" s="5"/>
      <c r="AY600" s="7"/>
    </row>
    <row r="601">
      <c r="A601" s="5"/>
      <c r="B601" s="406"/>
      <c r="C601" s="151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6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6"/>
      <c r="AX601" s="5"/>
      <c r="AY601" s="7"/>
    </row>
    <row r="602">
      <c r="A602" s="5"/>
      <c r="B602" s="406"/>
      <c r="C602" s="151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6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6"/>
      <c r="AX602" s="5"/>
      <c r="AY602" s="7"/>
    </row>
    <row r="603">
      <c r="A603" s="5"/>
      <c r="B603" s="406"/>
      <c r="C603" s="151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6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6"/>
      <c r="AX603" s="5"/>
      <c r="AY603" s="7"/>
    </row>
    <row r="604">
      <c r="A604" s="5"/>
      <c r="B604" s="406"/>
      <c r="C604" s="151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6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6"/>
      <c r="AX604" s="5"/>
      <c r="AY604" s="7"/>
    </row>
    <row r="605">
      <c r="A605" s="5"/>
      <c r="B605" s="406"/>
      <c r="C605" s="151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6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6"/>
      <c r="AX605" s="5"/>
      <c r="AY605" s="7"/>
    </row>
    <row r="606">
      <c r="A606" s="5"/>
      <c r="B606" s="406"/>
      <c r="C606" s="151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6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6"/>
      <c r="AX606" s="5"/>
      <c r="AY606" s="7"/>
    </row>
    <row r="607">
      <c r="A607" s="5"/>
      <c r="B607" s="406"/>
      <c r="C607" s="151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6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6"/>
      <c r="AX607" s="5"/>
      <c r="AY607" s="7"/>
    </row>
    <row r="608">
      <c r="A608" s="5"/>
      <c r="B608" s="406"/>
      <c r="C608" s="151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6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6"/>
      <c r="AX608" s="5"/>
      <c r="AY608" s="7"/>
    </row>
    <row r="609">
      <c r="A609" s="5"/>
      <c r="B609" s="406"/>
      <c r="C609" s="151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6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6"/>
      <c r="AX609" s="5"/>
      <c r="AY609" s="7"/>
    </row>
    <row r="610">
      <c r="A610" s="5"/>
      <c r="B610" s="406"/>
      <c r="C610" s="151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6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6"/>
      <c r="AX610" s="5"/>
      <c r="AY610" s="7"/>
    </row>
    <row r="611">
      <c r="A611" s="5"/>
      <c r="B611" s="406"/>
      <c r="C611" s="151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6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6"/>
      <c r="AX611" s="5"/>
      <c r="AY611" s="7"/>
    </row>
    <row r="612">
      <c r="A612" s="5"/>
      <c r="B612" s="406"/>
      <c r="C612" s="151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6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6"/>
      <c r="AX612" s="5"/>
      <c r="AY612" s="7"/>
    </row>
    <row r="613">
      <c r="A613" s="5"/>
      <c r="B613" s="406"/>
      <c r="C613" s="151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6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6"/>
      <c r="AX613" s="5"/>
      <c r="AY613" s="7"/>
    </row>
    <row r="614">
      <c r="A614" s="5"/>
      <c r="B614" s="406"/>
      <c r="C614" s="151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6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6"/>
      <c r="AX614" s="5"/>
      <c r="AY614" s="7"/>
    </row>
    <row r="615">
      <c r="A615" s="5"/>
      <c r="B615" s="406"/>
      <c r="C615" s="151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6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6"/>
      <c r="AX615" s="5"/>
      <c r="AY615" s="7"/>
    </row>
    <row r="616">
      <c r="A616" s="5"/>
      <c r="B616" s="406"/>
      <c r="C616" s="151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6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6"/>
      <c r="AX616" s="5"/>
      <c r="AY616" s="7"/>
    </row>
    <row r="617">
      <c r="A617" s="5"/>
      <c r="B617" s="406"/>
      <c r="C617" s="151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6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6"/>
      <c r="AX617" s="5"/>
      <c r="AY617" s="7"/>
    </row>
    <row r="618">
      <c r="A618" s="5"/>
      <c r="B618" s="406"/>
      <c r="C618" s="151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6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6"/>
      <c r="AX618" s="5"/>
      <c r="AY618" s="7"/>
    </row>
    <row r="619">
      <c r="A619" s="5"/>
      <c r="B619" s="406"/>
      <c r="C619" s="151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6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6"/>
      <c r="AX619" s="5"/>
      <c r="AY619" s="7"/>
    </row>
    <row r="620">
      <c r="A620" s="5"/>
      <c r="B620" s="406"/>
      <c r="C620" s="151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6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6"/>
      <c r="AX620" s="5"/>
      <c r="AY620" s="7"/>
    </row>
    <row r="621">
      <c r="A621" s="5"/>
      <c r="B621" s="406"/>
      <c r="C621" s="151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6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6"/>
      <c r="AX621" s="5"/>
      <c r="AY621" s="7"/>
    </row>
    <row r="622">
      <c r="A622" s="5"/>
      <c r="B622" s="406"/>
      <c r="C622" s="151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6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6"/>
      <c r="AX622" s="5"/>
      <c r="AY622" s="7"/>
    </row>
    <row r="623">
      <c r="A623" s="5"/>
      <c r="B623" s="406"/>
      <c r="C623" s="151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6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6"/>
      <c r="AX623" s="5"/>
      <c r="AY623" s="7"/>
    </row>
    <row r="624">
      <c r="A624" s="5"/>
      <c r="B624" s="406"/>
      <c r="C624" s="151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6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6"/>
      <c r="AX624" s="5"/>
      <c r="AY624" s="7"/>
    </row>
    <row r="625">
      <c r="A625" s="5"/>
      <c r="B625" s="406"/>
      <c r="C625" s="151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6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6"/>
      <c r="AX625" s="5"/>
      <c r="AY625" s="7"/>
    </row>
    <row r="626">
      <c r="A626" s="5"/>
      <c r="B626" s="406"/>
      <c r="C626" s="151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6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6"/>
      <c r="AX626" s="5"/>
      <c r="AY626" s="7"/>
    </row>
    <row r="627">
      <c r="A627" s="5"/>
      <c r="B627" s="406"/>
      <c r="C627" s="151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6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6"/>
      <c r="AX627" s="5"/>
      <c r="AY627" s="7"/>
    </row>
    <row r="628">
      <c r="A628" s="5"/>
      <c r="B628" s="406"/>
      <c r="C628" s="151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6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6"/>
      <c r="AX628" s="5"/>
      <c r="AY628" s="7"/>
    </row>
    <row r="629">
      <c r="A629" s="5"/>
      <c r="B629" s="406"/>
      <c r="C629" s="151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6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6"/>
      <c r="AX629" s="5"/>
      <c r="AY629" s="7"/>
    </row>
    <row r="630">
      <c r="A630" s="5"/>
      <c r="B630" s="406"/>
      <c r="C630" s="151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6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6"/>
      <c r="AX630" s="5"/>
      <c r="AY630" s="7"/>
    </row>
    <row r="631">
      <c r="A631" s="5"/>
      <c r="B631" s="406"/>
      <c r="C631" s="151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6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6"/>
      <c r="AX631" s="5"/>
      <c r="AY631" s="7"/>
    </row>
    <row r="632">
      <c r="A632" s="5"/>
      <c r="B632" s="406"/>
      <c r="C632" s="151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6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6"/>
      <c r="AX632" s="5"/>
      <c r="AY632" s="7"/>
    </row>
    <row r="633">
      <c r="A633" s="5"/>
      <c r="B633" s="406"/>
      <c r="C633" s="151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6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6"/>
      <c r="AX633" s="5"/>
      <c r="AY633" s="7"/>
    </row>
    <row r="634">
      <c r="A634" s="5"/>
      <c r="B634" s="406"/>
      <c r="C634" s="151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6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6"/>
      <c r="AX634" s="5"/>
      <c r="AY634" s="7"/>
    </row>
    <row r="635">
      <c r="A635" s="5"/>
      <c r="B635" s="406"/>
      <c r="C635" s="151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6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6"/>
      <c r="AX635" s="5"/>
      <c r="AY635" s="7"/>
    </row>
    <row r="636">
      <c r="A636" s="5"/>
      <c r="B636" s="406"/>
      <c r="C636" s="151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6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6"/>
      <c r="AX636" s="5"/>
      <c r="AY636" s="7"/>
    </row>
    <row r="637">
      <c r="A637" s="5"/>
      <c r="B637" s="406"/>
      <c r="C637" s="151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6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6"/>
      <c r="AX637" s="5"/>
      <c r="AY637" s="7"/>
    </row>
    <row r="638">
      <c r="A638" s="5"/>
      <c r="B638" s="406"/>
      <c r="C638" s="151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6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6"/>
      <c r="AX638" s="5"/>
      <c r="AY638" s="7"/>
    </row>
    <row r="639">
      <c r="A639" s="5"/>
      <c r="B639" s="406"/>
      <c r="C639" s="151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6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6"/>
      <c r="AX639" s="5"/>
      <c r="AY639" s="7"/>
    </row>
    <row r="640">
      <c r="A640" s="5"/>
      <c r="B640" s="406"/>
      <c r="C640" s="151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6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6"/>
      <c r="AX640" s="5"/>
      <c r="AY640" s="7"/>
    </row>
    <row r="641">
      <c r="A641" s="5"/>
      <c r="B641" s="406"/>
      <c r="C641" s="151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6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6"/>
      <c r="AX641" s="5"/>
      <c r="AY641" s="7"/>
    </row>
    <row r="642">
      <c r="A642" s="5"/>
      <c r="B642" s="406"/>
      <c r="C642" s="151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6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6"/>
      <c r="AX642" s="5"/>
      <c r="AY642" s="7"/>
    </row>
    <row r="643">
      <c r="A643" s="5"/>
      <c r="B643" s="406"/>
      <c r="C643" s="151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6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6"/>
      <c r="AX643" s="5"/>
      <c r="AY643" s="7"/>
    </row>
    <row r="644">
      <c r="A644" s="5"/>
      <c r="B644" s="406"/>
      <c r="C644" s="151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6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6"/>
      <c r="AX644" s="5"/>
      <c r="AY644" s="7"/>
    </row>
    <row r="645">
      <c r="A645" s="5"/>
      <c r="B645" s="406"/>
      <c r="C645" s="151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6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6"/>
      <c r="AX645" s="5"/>
      <c r="AY645" s="7"/>
    </row>
    <row r="646">
      <c r="A646" s="5"/>
      <c r="B646" s="406"/>
      <c r="C646" s="151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6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6"/>
      <c r="AX646" s="5"/>
      <c r="AY646" s="7"/>
    </row>
    <row r="647">
      <c r="A647" s="5"/>
      <c r="B647" s="406"/>
      <c r="C647" s="151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6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6"/>
      <c r="AX647" s="5"/>
      <c r="AY647" s="7"/>
    </row>
    <row r="648">
      <c r="A648" s="5"/>
      <c r="B648" s="406"/>
      <c r="C648" s="151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6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6"/>
      <c r="AX648" s="5"/>
      <c r="AY648" s="7"/>
    </row>
    <row r="649">
      <c r="A649" s="5"/>
      <c r="B649" s="406"/>
      <c r="C649" s="151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6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6"/>
      <c r="AX649" s="5"/>
      <c r="AY649" s="7"/>
    </row>
    <row r="650">
      <c r="A650" s="5"/>
      <c r="B650" s="406"/>
      <c r="C650" s="151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6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6"/>
      <c r="AX650" s="5"/>
      <c r="AY650" s="7"/>
    </row>
    <row r="651">
      <c r="A651" s="5"/>
      <c r="B651" s="406"/>
      <c r="C651" s="151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6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6"/>
      <c r="AX651" s="5"/>
      <c r="AY651" s="7"/>
    </row>
    <row r="652">
      <c r="A652" s="5"/>
      <c r="B652" s="406"/>
      <c r="C652" s="151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6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6"/>
      <c r="AX652" s="5"/>
      <c r="AY652" s="7"/>
    </row>
    <row r="653">
      <c r="A653" s="5"/>
      <c r="B653" s="406"/>
      <c r="C653" s="151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6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6"/>
      <c r="AX653" s="5"/>
      <c r="AY653" s="7"/>
    </row>
    <row r="654">
      <c r="A654" s="5"/>
      <c r="B654" s="406"/>
      <c r="C654" s="151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6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6"/>
      <c r="AX654" s="5"/>
      <c r="AY654" s="7"/>
    </row>
    <row r="655">
      <c r="A655" s="5"/>
      <c r="B655" s="406"/>
      <c r="C655" s="151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6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6"/>
      <c r="AX655" s="5"/>
      <c r="AY655" s="7"/>
    </row>
    <row r="656">
      <c r="A656" s="5"/>
      <c r="B656" s="406"/>
      <c r="C656" s="151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6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6"/>
      <c r="AX656" s="5"/>
      <c r="AY656" s="7"/>
    </row>
    <row r="657">
      <c r="A657" s="5"/>
      <c r="B657" s="406"/>
      <c r="C657" s="151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6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6"/>
      <c r="AX657" s="5"/>
      <c r="AY657" s="7"/>
    </row>
    <row r="658">
      <c r="A658" s="5"/>
      <c r="B658" s="406"/>
      <c r="C658" s="151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6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6"/>
      <c r="AX658" s="5"/>
      <c r="AY658" s="7"/>
    </row>
    <row r="659">
      <c r="A659" s="5"/>
      <c r="B659" s="406"/>
      <c r="C659" s="151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6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6"/>
      <c r="AX659" s="5"/>
      <c r="AY659" s="7"/>
    </row>
    <row r="660">
      <c r="A660" s="5"/>
      <c r="B660" s="406"/>
      <c r="C660" s="151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6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6"/>
      <c r="AX660" s="5"/>
      <c r="AY660" s="7"/>
    </row>
    <row r="661">
      <c r="A661" s="5"/>
      <c r="B661" s="406"/>
      <c r="C661" s="151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6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6"/>
      <c r="AX661" s="5"/>
      <c r="AY661" s="7"/>
    </row>
    <row r="662">
      <c r="A662" s="5"/>
      <c r="B662" s="406"/>
      <c r="C662" s="151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6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6"/>
      <c r="AX662" s="5"/>
      <c r="AY662" s="7"/>
    </row>
    <row r="663">
      <c r="A663" s="5"/>
      <c r="B663" s="406"/>
      <c r="C663" s="151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6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6"/>
      <c r="AX663" s="5"/>
      <c r="AY663" s="7"/>
    </row>
    <row r="664">
      <c r="A664" s="5"/>
      <c r="B664" s="406"/>
      <c r="C664" s="151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6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6"/>
      <c r="AX664" s="5"/>
      <c r="AY664" s="7"/>
    </row>
    <row r="665">
      <c r="A665" s="5"/>
      <c r="B665" s="406"/>
      <c r="C665" s="151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6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6"/>
      <c r="AX665" s="5"/>
      <c r="AY665" s="7"/>
    </row>
    <row r="666">
      <c r="A666" s="5"/>
      <c r="B666" s="406"/>
      <c r="C666" s="151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6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6"/>
      <c r="AX666" s="5"/>
      <c r="AY666" s="7"/>
    </row>
    <row r="667">
      <c r="A667" s="5"/>
      <c r="B667" s="406"/>
      <c r="C667" s="151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6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6"/>
      <c r="AX667" s="5"/>
      <c r="AY667" s="7"/>
    </row>
    <row r="668">
      <c r="A668" s="5"/>
      <c r="B668" s="406"/>
      <c r="C668" s="151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6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6"/>
      <c r="AX668" s="5"/>
      <c r="AY668" s="7"/>
    </row>
    <row r="669">
      <c r="A669" s="5"/>
      <c r="B669" s="406"/>
      <c r="C669" s="151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6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6"/>
      <c r="AX669" s="5"/>
      <c r="AY669" s="7"/>
    </row>
    <row r="670">
      <c r="A670" s="5"/>
      <c r="B670" s="406"/>
      <c r="C670" s="151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6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6"/>
      <c r="AX670" s="5"/>
      <c r="AY670" s="7"/>
    </row>
    <row r="671">
      <c r="A671" s="5"/>
      <c r="B671" s="406"/>
      <c r="C671" s="151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6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6"/>
      <c r="AX671" s="5"/>
      <c r="AY671" s="7"/>
    </row>
    <row r="672">
      <c r="A672" s="5"/>
      <c r="B672" s="406"/>
      <c r="C672" s="151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6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6"/>
      <c r="AX672" s="5"/>
      <c r="AY672" s="7"/>
    </row>
    <row r="673">
      <c r="A673" s="5"/>
      <c r="B673" s="406"/>
      <c r="C673" s="151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6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6"/>
      <c r="AX673" s="5"/>
      <c r="AY673" s="7"/>
    </row>
    <row r="674">
      <c r="A674" s="5"/>
      <c r="B674" s="406"/>
      <c r="C674" s="151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6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6"/>
      <c r="AX674" s="5"/>
      <c r="AY674" s="7"/>
    </row>
    <row r="675">
      <c r="A675" s="5"/>
      <c r="B675" s="406"/>
      <c r="C675" s="151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6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6"/>
      <c r="AX675" s="5"/>
      <c r="AY675" s="7"/>
    </row>
    <row r="676">
      <c r="A676" s="5"/>
      <c r="B676" s="406"/>
      <c r="C676" s="151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6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6"/>
      <c r="AX676" s="5"/>
      <c r="AY676" s="7"/>
    </row>
    <row r="677">
      <c r="A677" s="5"/>
      <c r="B677" s="406"/>
      <c r="C677" s="151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6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6"/>
      <c r="AX677" s="5"/>
      <c r="AY677" s="7"/>
    </row>
    <row r="678">
      <c r="A678" s="5"/>
      <c r="B678" s="406"/>
      <c r="C678" s="151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6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6"/>
      <c r="AX678" s="5"/>
      <c r="AY678" s="7"/>
    </row>
    <row r="679">
      <c r="A679" s="5"/>
      <c r="B679" s="406"/>
      <c r="C679" s="151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6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6"/>
      <c r="AX679" s="5"/>
      <c r="AY679" s="7"/>
    </row>
    <row r="680">
      <c r="A680" s="5"/>
      <c r="B680" s="406"/>
      <c r="C680" s="151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6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6"/>
      <c r="AX680" s="5"/>
      <c r="AY680" s="7"/>
    </row>
    <row r="681">
      <c r="A681" s="5"/>
      <c r="B681" s="406"/>
      <c r="C681" s="151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6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6"/>
      <c r="AX681" s="5"/>
      <c r="AY681" s="7"/>
    </row>
    <row r="682">
      <c r="A682" s="5"/>
      <c r="B682" s="406"/>
      <c r="C682" s="151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6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6"/>
      <c r="AX682" s="5"/>
      <c r="AY682" s="7"/>
    </row>
    <row r="683">
      <c r="A683" s="5"/>
      <c r="B683" s="406"/>
      <c r="C683" s="151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6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6"/>
      <c r="AX683" s="5"/>
      <c r="AY683" s="7"/>
    </row>
    <row r="684">
      <c r="A684" s="5"/>
      <c r="B684" s="406"/>
      <c r="C684" s="151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6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6"/>
      <c r="AX684" s="5"/>
      <c r="AY684" s="7"/>
    </row>
    <row r="685">
      <c r="A685" s="5"/>
      <c r="B685" s="406"/>
      <c r="C685" s="151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6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6"/>
      <c r="AX685" s="5"/>
      <c r="AY685" s="7"/>
    </row>
    <row r="686">
      <c r="A686" s="5"/>
      <c r="B686" s="406"/>
      <c r="C686" s="151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6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6"/>
      <c r="AX686" s="5"/>
      <c r="AY686" s="7"/>
    </row>
    <row r="687">
      <c r="A687" s="5"/>
      <c r="B687" s="406"/>
      <c r="C687" s="151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6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6"/>
      <c r="AX687" s="5"/>
      <c r="AY687" s="7"/>
    </row>
    <row r="688">
      <c r="A688" s="5"/>
      <c r="B688" s="406"/>
      <c r="C688" s="151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6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6"/>
      <c r="AX688" s="5"/>
      <c r="AY688" s="7"/>
    </row>
    <row r="689">
      <c r="A689" s="5"/>
      <c r="B689" s="406"/>
      <c r="C689" s="151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6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6"/>
      <c r="AX689" s="5"/>
      <c r="AY689" s="7"/>
    </row>
    <row r="690">
      <c r="A690" s="5"/>
      <c r="B690" s="406"/>
      <c r="C690" s="151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6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6"/>
      <c r="AX690" s="5"/>
      <c r="AY690" s="7"/>
    </row>
    <row r="691">
      <c r="A691" s="5"/>
      <c r="B691" s="406"/>
      <c r="C691" s="151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6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6"/>
      <c r="AX691" s="5"/>
      <c r="AY691" s="7"/>
    </row>
    <row r="692">
      <c r="A692" s="5"/>
      <c r="B692" s="406"/>
      <c r="C692" s="151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6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6"/>
      <c r="AX692" s="5"/>
      <c r="AY692" s="7"/>
    </row>
    <row r="693">
      <c r="A693" s="5"/>
      <c r="B693" s="406"/>
      <c r="C693" s="151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6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6"/>
      <c r="AX693" s="5"/>
      <c r="AY693" s="7"/>
    </row>
    <row r="694">
      <c r="A694" s="5"/>
      <c r="B694" s="406"/>
      <c r="C694" s="151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6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6"/>
      <c r="AX694" s="5"/>
      <c r="AY694" s="7"/>
    </row>
    <row r="695">
      <c r="A695" s="5"/>
      <c r="B695" s="406"/>
      <c r="C695" s="151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6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6"/>
      <c r="AX695" s="5"/>
      <c r="AY695" s="7"/>
    </row>
    <row r="696">
      <c r="A696" s="5"/>
      <c r="B696" s="406"/>
      <c r="C696" s="151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6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6"/>
      <c r="AX696" s="5"/>
      <c r="AY696" s="7"/>
    </row>
    <row r="697">
      <c r="A697" s="5"/>
      <c r="B697" s="406"/>
      <c r="C697" s="151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6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6"/>
      <c r="AX697" s="5"/>
      <c r="AY697" s="7"/>
    </row>
    <row r="698">
      <c r="A698" s="5"/>
      <c r="B698" s="406"/>
      <c r="C698" s="151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6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6"/>
      <c r="AX698" s="5"/>
      <c r="AY698" s="7"/>
    </row>
    <row r="699">
      <c r="A699" s="5"/>
      <c r="B699" s="406"/>
      <c r="C699" s="151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6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6"/>
      <c r="AX699" s="5"/>
      <c r="AY699" s="7"/>
    </row>
    <row r="700">
      <c r="A700" s="5"/>
      <c r="B700" s="406"/>
      <c r="C700" s="151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6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6"/>
      <c r="AX700" s="5"/>
      <c r="AY700" s="7"/>
    </row>
    <row r="701">
      <c r="A701" s="5"/>
      <c r="B701" s="406"/>
      <c r="C701" s="151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6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6"/>
      <c r="AX701" s="5"/>
      <c r="AY701" s="7"/>
    </row>
    <row r="702">
      <c r="A702" s="5"/>
      <c r="B702" s="406"/>
      <c r="C702" s="151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6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6"/>
      <c r="AX702" s="5"/>
      <c r="AY702" s="7"/>
    </row>
    <row r="703">
      <c r="A703" s="5"/>
      <c r="B703" s="406"/>
      <c r="C703" s="151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6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6"/>
      <c r="AX703" s="5"/>
      <c r="AY703" s="7"/>
    </row>
    <row r="704">
      <c r="A704" s="5"/>
      <c r="B704" s="406"/>
      <c r="C704" s="151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6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6"/>
      <c r="AX704" s="5"/>
      <c r="AY704" s="7"/>
    </row>
    <row r="705">
      <c r="A705" s="5"/>
      <c r="B705" s="406"/>
      <c r="C705" s="151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6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6"/>
      <c r="AX705" s="5"/>
      <c r="AY705" s="7"/>
    </row>
    <row r="706">
      <c r="A706" s="5"/>
      <c r="B706" s="406"/>
      <c r="C706" s="151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6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6"/>
      <c r="AX706" s="5"/>
      <c r="AY706" s="7"/>
    </row>
    <row r="707">
      <c r="A707" s="5"/>
      <c r="B707" s="406"/>
      <c r="C707" s="151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6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6"/>
      <c r="AX707" s="5"/>
      <c r="AY707" s="7"/>
    </row>
    <row r="708">
      <c r="A708" s="5"/>
      <c r="B708" s="406"/>
      <c r="C708" s="151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6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6"/>
      <c r="AX708" s="5"/>
      <c r="AY708" s="7"/>
    </row>
    <row r="709">
      <c r="A709" s="5"/>
      <c r="B709" s="406"/>
      <c r="C709" s="151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6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6"/>
      <c r="AX709" s="5"/>
      <c r="AY709" s="7"/>
    </row>
    <row r="710">
      <c r="A710" s="5"/>
      <c r="B710" s="406"/>
      <c r="C710" s="151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6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6"/>
      <c r="AX710" s="5"/>
      <c r="AY710" s="7"/>
    </row>
    <row r="711">
      <c r="A711" s="5"/>
      <c r="B711" s="406"/>
      <c r="C711" s="151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6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6"/>
      <c r="AX711" s="5"/>
      <c r="AY711" s="7"/>
    </row>
    <row r="712">
      <c r="A712" s="5"/>
      <c r="B712" s="406"/>
      <c r="C712" s="151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6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6"/>
      <c r="AX712" s="5"/>
      <c r="AY712" s="7"/>
    </row>
    <row r="713">
      <c r="A713" s="5"/>
      <c r="B713" s="406"/>
      <c r="C713" s="151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6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6"/>
      <c r="AX713" s="5"/>
      <c r="AY713" s="7"/>
    </row>
    <row r="714">
      <c r="A714" s="5"/>
      <c r="B714" s="406"/>
      <c r="C714" s="151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6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6"/>
      <c r="AX714" s="5"/>
      <c r="AY714" s="7"/>
    </row>
    <row r="715">
      <c r="A715" s="5"/>
      <c r="B715" s="406"/>
      <c r="C715" s="151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6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6"/>
      <c r="AX715" s="5"/>
      <c r="AY715" s="7"/>
    </row>
    <row r="716">
      <c r="A716" s="5"/>
      <c r="B716" s="406"/>
      <c r="C716" s="151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6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6"/>
      <c r="AX716" s="5"/>
      <c r="AY716" s="7"/>
    </row>
    <row r="717">
      <c r="A717" s="5"/>
      <c r="B717" s="406"/>
      <c r="C717" s="151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6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6"/>
      <c r="AX717" s="5"/>
      <c r="AY717" s="7"/>
    </row>
    <row r="718">
      <c r="A718" s="5"/>
      <c r="B718" s="406"/>
      <c r="C718" s="151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6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6"/>
      <c r="AX718" s="5"/>
      <c r="AY718" s="7"/>
    </row>
    <row r="719">
      <c r="A719" s="5"/>
      <c r="B719" s="406"/>
      <c r="C719" s="151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6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6"/>
      <c r="AX719" s="5"/>
      <c r="AY719" s="7"/>
    </row>
    <row r="720">
      <c r="A720" s="5"/>
      <c r="B720" s="406"/>
      <c r="C720" s="151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6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6"/>
      <c r="AX720" s="5"/>
      <c r="AY720" s="7"/>
    </row>
    <row r="721">
      <c r="A721" s="5"/>
      <c r="B721" s="406"/>
      <c r="C721" s="151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6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6"/>
      <c r="AX721" s="5"/>
      <c r="AY721" s="7"/>
    </row>
    <row r="722">
      <c r="A722" s="5"/>
      <c r="B722" s="406"/>
      <c r="C722" s="151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6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6"/>
      <c r="AX722" s="5"/>
      <c r="AY722" s="7"/>
    </row>
    <row r="723">
      <c r="A723" s="5"/>
      <c r="B723" s="406"/>
      <c r="C723" s="151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6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6"/>
      <c r="AX723" s="5"/>
      <c r="AY723" s="7"/>
    </row>
    <row r="724">
      <c r="A724" s="5"/>
      <c r="B724" s="406"/>
      <c r="C724" s="151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6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6"/>
      <c r="AX724" s="5"/>
      <c r="AY724" s="7"/>
    </row>
    <row r="725">
      <c r="A725" s="5"/>
      <c r="B725" s="406"/>
      <c r="C725" s="151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6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6"/>
      <c r="AX725" s="5"/>
      <c r="AY725" s="7"/>
    </row>
    <row r="726">
      <c r="A726" s="5"/>
      <c r="B726" s="406"/>
      <c r="C726" s="151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6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6"/>
      <c r="AX726" s="5"/>
      <c r="AY726" s="7"/>
    </row>
    <row r="727">
      <c r="A727" s="5"/>
      <c r="B727" s="406"/>
      <c r="C727" s="151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6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6"/>
      <c r="AX727" s="5"/>
      <c r="AY727" s="7"/>
    </row>
    <row r="728">
      <c r="A728" s="5"/>
      <c r="B728" s="406"/>
      <c r="C728" s="151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6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6"/>
      <c r="AX728" s="5"/>
      <c r="AY728" s="7"/>
    </row>
    <row r="729">
      <c r="A729" s="5"/>
      <c r="B729" s="406"/>
      <c r="C729" s="151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6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6"/>
      <c r="AX729" s="5"/>
      <c r="AY729" s="7"/>
    </row>
    <row r="730">
      <c r="A730" s="5"/>
      <c r="B730" s="406"/>
      <c r="C730" s="151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6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6"/>
      <c r="AX730" s="5"/>
      <c r="AY730" s="7"/>
    </row>
    <row r="731">
      <c r="A731" s="5"/>
      <c r="B731" s="406"/>
      <c r="C731" s="151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6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6"/>
      <c r="AX731" s="5"/>
      <c r="AY731" s="7"/>
    </row>
    <row r="732">
      <c r="A732" s="5"/>
      <c r="B732" s="406"/>
      <c r="C732" s="151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6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6"/>
      <c r="AX732" s="5"/>
      <c r="AY732" s="7"/>
    </row>
    <row r="733">
      <c r="A733" s="5"/>
      <c r="B733" s="406"/>
      <c r="C733" s="151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6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6"/>
      <c r="AX733" s="5"/>
      <c r="AY733" s="7"/>
    </row>
    <row r="734">
      <c r="A734" s="5"/>
      <c r="B734" s="406"/>
      <c r="C734" s="151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6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6"/>
      <c r="AX734" s="5"/>
      <c r="AY734" s="7"/>
    </row>
    <row r="735">
      <c r="A735" s="5"/>
      <c r="B735" s="406"/>
      <c r="C735" s="151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6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6"/>
      <c r="AX735" s="5"/>
      <c r="AY735" s="7"/>
    </row>
    <row r="736">
      <c r="A736" s="5"/>
      <c r="B736" s="406"/>
      <c r="C736" s="151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6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6"/>
      <c r="AX736" s="5"/>
      <c r="AY736" s="7"/>
    </row>
    <row r="737">
      <c r="A737" s="5"/>
      <c r="B737" s="406"/>
      <c r="C737" s="151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6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6"/>
      <c r="AX737" s="5"/>
      <c r="AY737" s="7"/>
    </row>
    <row r="738">
      <c r="A738" s="5"/>
      <c r="B738" s="406"/>
      <c r="C738" s="151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6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6"/>
      <c r="AX738" s="5"/>
      <c r="AY738" s="7"/>
    </row>
    <row r="739">
      <c r="A739" s="5"/>
      <c r="B739" s="406"/>
      <c r="C739" s="151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6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6"/>
      <c r="AX739" s="5"/>
      <c r="AY739" s="7"/>
    </row>
    <row r="740">
      <c r="A740" s="5"/>
      <c r="B740" s="406"/>
      <c r="C740" s="151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6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6"/>
      <c r="AX740" s="5"/>
      <c r="AY740" s="7"/>
    </row>
    <row r="741">
      <c r="A741" s="5"/>
      <c r="B741" s="406"/>
      <c r="C741" s="151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6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6"/>
      <c r="AX741" s="5"/>
      <c r="AY741" s="7"/>
    </row>
    <row r="742">
      <c r="A742" s="5"/>
      <c r="B742" s="406"/>
      <c r="C742" s="151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6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6"/>
      <c r="AX742" s="5"/>
      <c r="AY742" s="7"/>
    </row>
    <row r="743">
      <c r="A743" s="5"/>
      <c r="B743" s="406"/>
      <c r="C743" s="151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6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6"/>
      <c r="AX743" s="5"/>
      <c r="AY743" s="7"/>
    </row>
    <row r="744">
      <c r="A744" s="5"/>
      <c r="B744" s="406"/>
      <c r="C744" s="151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6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6"/>
      <c r="AX744" s="5"/>
      <c r="AY744" s="7"/>
    </row>
    <row r="745">
      <c r="A745" s="5"/>
      <c r="B745" s="406"/>
      <c r="C745" s="151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6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6"/>
      <c r="AX745" s="5"/>
      <c r="AY745" s="7"/>
    </row>
    <row r="746">
      <c r="A746" s="5"/>
      <c r="B746" s="406"/>
      <c r="C746" s="151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6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6"/>
      <c r="AX746" s="5"/>
      <c r="AY746" s="7"/>
    </row>
    <row r="747">
      <c r="A747" s="5"/>
      <c r="B747" s="406"/>
      <c r="C747" s="151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6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6"/>
      <c r="AX747" s="5"/>
      <c r="AY747" s="7"/>
    </row>
    <row r="748">
      <c r="A748" s="5"/>
      <c r="B748" s="406"/>
      <c r="C748" s="151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6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6"/>
      <c r="AX748" s="5"/>
      <c r="AY748" s="7"/>
    </row>
    <row r="749">
      <c r="A749" s="5"/>
      <c r="B749" s="406"/>
      <c r="C749" s="151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6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6"/>
      <c r="AX749" s="5"/>
      <c r="AY749" s="7"/>
    </row>
    <row r="750">
      <c r="A750" s="5"/>
      <c r="B750" s="406"/>
      <c r="C750" s="151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6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6"/>
      <c r="AX750" s="5"/>
      <c r="AY750" s="7"/>
    </row>
    <row r="751">
      <c r="A751" s="5"/>
      <c r="B751" s="406"/>
      <c r="C751" s="151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6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6"/>
      <c r="AX751" s="5"/>
      <c r="AY751" s="7"/>
    </row>
    <row r="752">
      <c r="A752" s="5"/>
      <c r="B752" s="406"/>
      <c r="C752" s="151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6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6"/>
      <c r="AX752" s="5"/>
      <c r="AY752" s="7"/>
    </row>
    <row r="753">
      <c r="A753" s="5"/>
      <c r="B753" s="406"/>
      <c r="C753" s="151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6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6"/>
      <c r="AX753" s="5"/>
      <c r="AY753" s="7"/>
    </row>
    <row r="754">
      <c r="A754" s="5"/>
      <c r="B754" s="406"/>
      <c r="C754" s="151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6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6"/>
      <c r="AX754" s="5"/>
      <c r="AY754" s="7"/>
    </row>
    <row r="755">
      <c r="A755" s="5"/>
      <c r="B755" s="406"/>
      <c r="C755" s="151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6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6"/>
      <c r="AX755" s="5"/>
      <c r="AY755" s="7"/>
    </row>
    <row r="756">
      <c r="A756" s="5"/>
      <c r="B756" s="406"/>
      <c r="C756" s="151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6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6"/>
      <c r="AX756" s="5"/>
      <c r="AY756" s="7"/>
    </row>
    <row r="757">
      <c r="A757" s="5"/>
      <c r="B757" s="406"/>
      <c r="C757" s="151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6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6"/>
      <c r="AX757" s="5"/>
      <c r="AY757" s="7"/>
    </row>
    <row r="758">
      <c r="A758" s="5"/>
      <c r="B758" s="406"/>
      <c r="C758" s="151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6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6"/>
      <c r="AX758" s="5"/>
      <c r="AY758" s="7"/>
    </row>
    <row r="759">
      <c r="A759" s="5"/>
      <c r="B759" s="406"/>
      <c r="C759" s="151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6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6"/>
      <c r="AX759" s="5"/>
      <c r="AY759" s="7"/>
    </row>
    <row r="760">
      <c r="A760" s="5"/>
      <c r="B760" s="406"/>
      <c r="C760" s="151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6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6"/>
      <c r="AX760" s="5"/>
      <c r="AY760" s="7"/>
    </row>
    <row r="761">
      <c r="A761" s="5"/>
      <c r="B761" s="406"/>
      <c r="C761" s="151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6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6"/>
      <c r="AX761" s="5"/>
      <c r="AY761" s="7"/>
    </row>
    <row r="762">
      <c r="A762" s="5"/>
      <c r="B762" s="406"/>
      <c r="C762" s="151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6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6"/>
      <c r="AX762" s="5"/>
      <c r="AY762" s="7"/>
    </row>
    <row r="763">
      <c r="A763" s="5"/>
      <c r="B763" s="406"/>
      <c r="C763" s="151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6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6"/>
      <c r="AX763" s="5"/>
      <c r="AY763" s="7"/>
    </row>
    <row r="764">
      <c r="A764" s="5"/>
      <c r="B764" s="406"/>
      <c r="C764" s="151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6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6"/>
      <c r="AX764" s="5"/>
      <c r="AY764" s="7"/>
    </row>
    <row r="765">
      <c r="A765" s="5"/>
      <c r="B765" s="406"/>
      <c r="C765" s="151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6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6"/>
      <c r="AX765" s="5"/>
      <c r="AY765" s="7"/>
    </row>
    <row r="766">
      <c r="A766" s="5"/>
      <c r="B766" s="406"/>
      <c r="C766" s="151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6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6"/>
      <c r="AX766" s="5"/>
      <c r="AY766" s="7"/>
    </row>
    <row r="767">
      <c r="A767" s="5"/>
      <c r="B767" s="406"/>
      <c r="C767" s="151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6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6"/>
      <c r="AX767" s="5"/>
      <c r="AY767" s="7"/>
    </row>
    <row r="768">
      <c r="A768" s="5"/>
      <c r="B768" s="406"/>
      <c r="C768" s="151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6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6"/>
      <c r="AX768" s="5"/>
      <c r="AY768" s="7"/>
    </row>
    <row r="769">
      <c r="A769" s="5"/>
      <c r="B769" s="406"/>
      <c r="C769" s="151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6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6"/>
      <c r="AX769" s="5"/>
      <c r="AY769" s="7"/>
    </row>
    <row r="770">
      <c r="A770" s="5"/>
      <c r="B770" s="406"/>
      <c r="C770" s="151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6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6"/>
      <c r="AX770" s="5"/>
      <c r="AY770" s="7"/>
    </row>
    <row r="771">
      <c r="A771" s="5"/>
      <c r="B771" s="406"/>
      <c r="C771" s="151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6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6"/>
      <c r="AX771" s="5"/>
      <c r="AY771" s="7"/>
    </row>
    <row r="772">
      <c r="A772" s="5"/>
      <c r="B772" s="406"/>
      <c r="C772" s="151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6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6"/>
      <c r="AX772" s="5"/>
      <c r="AY772" s="7"/>
    </row>
    <row r="773">
      <c r="A773" s="5"/>
      <c r="B773" s="406"/>
      <c r="C773" s="151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6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6"/>
      <c r="AX773" s="5"/>
      <c r="AY773" s="7"/>
    </row>
    <row r="774">
      <c r="A774" s="5"/>
      <c r="B774" s="406"/>
      <c r="C774" s="151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6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6"/>
      <c r="AX774" s="5"/>
      <c r="AY774" s="7"/>
    </row>
    <row r="775">
      <c r="A775" s="5"/>
      <c r="B775" s="406"/>
      <c r="C775" s="151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6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6"/>
      <c r="AX775" s="5"/>
      <c r="AY775" s="7"/>
    </row>
    <row r="776">
      <c r="A776" s="5"/>
      <c r="B776" s="406"/>
      <c r="C776" s="151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6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6"/>
      <c r="AX776" s="5"/>
      <c r="AY776" s="7"/>
    </row>
    <row r="777">
      <c r="A777" s="5"/>
      <c r="B777" s="406"/>
      <c r="C777" s="151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6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6"/>
      <c r="AX777" s="5"/>
      <c r="AY777" s="7"/>
    </row>
    <row r="778">
      <c r="A778" s="5"/>
      <c r="B778" s="406"/>
      <c r="C778" s="151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6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6"/>
      <c r="AX778" s="5"/>
      <c r="AY778" s="7"/>
    </row>
    <row r="779">
      <c r="A779" s="5"/>
      <c r="B779" s="406"/>
      <c r="C779" s="151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6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6"/>
      <c r="AX779" s="5"/>
      <c r="AY779" s="7"/>
    </row>
    <row r="780">
      <c r="A780" s="5"/>
      <c r="B780" s="406"/>
      <c r="C780" s="151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6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6"/>
      <c r="AX780" s="5"/>
      <c r="AY780" s="7"/>
    </row>
    <row r="781">
      <c r="A781" s="5"/>
      <c r="B781" s="406"/>
      <c r="C781" s="151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6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6"/>
      <c r="AX781" s="5"/>
      <c r="AY781" s="7"/>
    </row>
    <row r="782">
      <c r="A782" s="5"/>
      <c r="B782" s="406"/>
      <c r="C782" s="151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6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6"/>
      <c r="AX782" s="5"/>
      <c r="AY782" s="7"/>
    </row>
    <row r="783">
      <c r="A783" s="5"/>
      <c r="B783" s="406"/>
      <c r="C783" s="151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6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6"/>
      <c r="AX783" s="5"/>
      <c r="AY783" s="7"/>
    </row>
    <row r="784">
      <c r="A784" s="5"/>
      <c r="B784" s="406"/>
      <c r="C784" s="151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6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6"/>
      <c r="AX784" s="5"/>
      <c r="AY784" s="7"/>
    </row>
    <row r="785">
      <c r="A785" s="5"/>
      <c r="B785" s="406"/>
      <c r="C785" s="151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6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6"/>
      <c r="AX785" s="5"/>
      <c r="AY785" s="7"/>
    </row>
    <row r="786">
      <c r="A786" s="5"/>
      <c r="B786" s="406"/>
      <c r="C786" s="151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6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6"/>
      <c r="AX786" s="5"/>
      <c r="AY786" s="7"/>
    </row>
    <row r="787">
      <c r="A787" s="5"/>
      <c r="B787" s="406"/>
      <c r="C787" s="151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6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6"/>
      <c r="AX787" s="5"/>
      <c r="AY787" s="7"/>
    </row>
    <row r="788">
      <c r="A788" s="5"/>
      <c r="B788" s="406"/>
      <c r="C788" s="151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6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6"/>
      <c r="AX788" s="5"/>
      <c r="AY788" s="7"/>
    </row>
    <row r="789">
      <c r="A789" s="5"/>
      <c r="B789" s="406"/>
      <c r="C789" s="151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6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6"/>
      <c r="AX789" s="5"/>
      <c r="AY789" s="7"/>
    </row>
    <row r="790">
      <c r="A790" s="5"/>
      <c r="B790" s="406"/>
      <c r="C790" s="151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6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6"/>
      <c r="AX790" s="5"/>
      <c r="AY790" s="7"/>
    </row>
    <row r="791">
      <c r="A791" s="5"/>
      <c r="B791" s="406"/>
      <c r="C791" s="151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6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6"/>
      <c r="AX791" s="5"/>
      <c r="AY791" s="7"/>
    </row>
    <row r="792">
      <c r="A792" s="5"/>
      <c r="B792" s="406"/>
      <c r="C792" s="151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6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6"/>
      <c r="AX792" s="5"/>
      <c r="AY792" s="7"/>
    </row>
    <row r="793">
      <c r="A793" s="5"/>
      <c r="B793" s="406"/>
      <c r="C793" s="151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6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6"/>
      <c r="AX793" s="5"/>
      <c r="AY793" s="7"/>
    </row>
    <row r="794">
      <c r="A794" s="5"/>
      <c r="B794" s="406"/>
      <c r="C794" s="151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6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6"/>
      <c r="AX794" s="5"/>
      <c r="AY794" s="7"/>
    </row>
    <row r="795">
      <c r="A795" s="5"/>
      <c r="B795" s="406"/>
      <c r="C795" s="151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6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6"/>
      <c r="AX795" s="5"/>
      <c r="AY795" s="7"/>
    </row>
    <row r="796">
      <c r="A796" s="5"/>
      <c r="B796" s="406"/>
      <c r="C796" s="151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6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6"/>
      <c r="AX796" s="5"/>
      <c r="AY796" s="7"/>
    </row>
    <row r="797">
      <c r="A797" s="5"/>
      <c r="B797" s="406"/>
      <c r="C797" s="151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6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6"/>
      <c r="AX797" s="5"/>
      <c r="AY797" s="7"/>
    </row>
    <row r="798">
      <c r="A798" s="5"/>
      <c r="B798" s="406"/>
      <c r="C798" s="151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6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6"/>
      <c r="AX798" s="5"/>
      <c r="AY798" s="7"/>
    </row>
    <row r="799">
      <c r="A799" s="5"/>
      <c r="B799" s="406"/>
      <c r="C799" s="151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6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6"/>
      <c r="AX799" s="5"/>
      <c r="AY799" s="7"/>
    </row>
    <row r="800">
      <c r="A800" s="5"/>
      <c r="B800" s="406"/>
      <c r="C800" s="151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6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6"/>
      <c r="AX800" s="5"/>
      <c r="AY800" s="7"/>
    </row>
    <row r="801">
      <c r="A801" s="5"/>
      <c r="B801" s="406"/>
      <c r="C801" s="151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6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6"/>
      <c r="AX801" s="5"/>
      <c r="AY801" s="7"/>
    </row>
    <row r="802">
      <c r="A802" s="5"/>
      <c r="B802" s="406"/>
      <c r="C802" s="151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6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6"/>
      <c r="AX802" s="5"/>
      <c r="AY802" s="7"/>
    </row>
    <row r="803">
      <c r="A803" s="5"/>
      <c r="B803" s="406"/>
      <c r="C803" s="151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6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6"/>
      <c r="AX803" s="5"/>
      <c r="AY803" s="7"/>
    </row>
    <row r="804">
      <c r="A804" s="5"/>
      <c r="B804" s="406"/>
      <c r="C804" s="151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6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6"/>
      <c r="AX804" s="5"/>
      <c r="AY804" s="7"/>
    </row>
    <row r="805">
      <c r="A805" s="5"/>
      <c r="B805" s="406"/>
      <c r="C805" s="151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6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6"/>
      <c r="AX805" s="5"/>
      <c r="AY805" s="7"/>
    </row>
    <row r="806">
      <c r="A806" s="5"/>
      <c r="B806" s="406"/>
      <c r="C806" s="151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6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6"/>
      <c r="AX806" s="5"/>
      <c r="AY806" s="7"/>
    </row>
    <row r="807">
      <c r="A807" s="5"/>
      <c r="B807" s="406"/>
      <c r="C807" s="151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6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6"/>
      <c r="AX807" s="5"/>
      <c r="AY807" s="7"/>
    </row>
    <row r="808">
      <c r="A808" s="5"/>
      <c r="B808" s="406"/>
      <c r="C808" s="151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6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6"/>
      <c r="AX808" s="5"/>
      <c r="AY808" s="7"/>
    </row>
    <row r="809">
      <c r="A809" s="5"/>
      <c r="B809" s="406"/>
      <c r="C809" s="151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6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6"/>
      <c r="AX809" s="5"/>
      <c r="AY809" s="7"/>
    </row>
    <row r="810">
      <c r="A810" s="5"/>
      <c r="B810" s="406"/>
      <c r="C810" s="151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6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6"/>
      <c r="AX810" s="5"/>
      <c r="AY810" s="7"/>
    </row>
    <row r="811">
      <c r="A811" s="5"/>
      <c r="B811" s="406"/>
      <c r="C811" s="151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6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6"/>
      <c r="AX811" s="5"/>
      <c r="AY811" s="7"/>
    </row>
    <row r="812">
      <c r="A812" s="5"/>
      <c r="B812" s="406"/>
      <c r="C812" s="151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6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6"/>
      <c r="AX812" s="5"/>
      <c r="AY812" s="7"/>
    </row>
    <row r="813">
      <c r="A813" s="5"/>
      <c r="B813" s="406"/>
      <c r="C813" s="151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6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6"/>
      <c r="AX813" s="5"/>
      <c r="AY813" s="7"/>
    </row>
    <row r="814">
      <c r="A814" s="5"/>
      <c r="B814" s="406"/>
      <c r="C814" s="151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6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6"/>
      <c r="AX814" s="5"/>
      <c r="AY814" s="7"/>
    </row>
    <row r="815">
      <c r="A815" s="5"/>
      <c r="B815" s="406"/>
      <c r="C815" s="151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6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6"/>
      <c r="AX815" s="5"/>
      <c r="AY815" s="7"/>
    </row>
    <row r="816">
      <c r="A816" s="5"/>
      <c r="B816" s="406"/>
      <c r="C816" s="151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6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6"/>
      <c r="AX816" s="5"/>
      <c r="AY816" s="7"/>
    </row>
    <row r="817">
      <c r="A817" s="5"/>
      <c r="B817" s="406"/>
      <c r="C817" s="151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6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6"/>
      <c r="AX817" s="5"/>
      <c r="AY817" s="7"/>
    </row>
    <row r="818">
      <c r="A818" s="5"/>
      <c r="B818" s="406"/>
      <c r="C818" s="151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6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6"/>
      <c r="AX818" s="5"/>
      <c r="AY818" s="7"/>
    </row>
    <row r="819">
      <c r="A819" s="5"/>
      <c r="B819" s="406"/>
      <c r="C819" s="151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6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6"/>
      <c r="AX819" s="5"/>
      <c r="AY819" s="7"/>
    </row>
    <row r="820">
      <c r="A820" s="5"/>
      <c r="B820" s="406"/>
      <c r="C820" s="151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6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6"/>
      <c r="AX820" s="5"/>
      <c r="AY820" s="7"/>
    </row>
    <row r="821">
      <c r="A821" s="5"/>
      <c r="B821" s="406"/>
      <c r="C821" s="151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6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6"/>
      <c r="AX821" s="5"/>
      <c r="AY821" s="7"/>
    </row>
    <row r="822">
      <c r="A822" s="5"/>
      <c r="B822" s="406"/>
      <c r="C822" s="151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6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6"/>
      <c r="AX822" s="5"/>
      <c r="AY822" s="7"/>
    </row>
    <row r="823">
      <c r="A823" s="5"/>
      <c r="B823" s="406"/>
      <c r="C823" s="151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6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6"/>
      <c r="AX823" s="5"/>
      <c r="AY823" s="7"/>
    </row>
    <row r="824">
      <c r="A824" s="5"/>
      <c r="B824" s="406"/>
      <c r="C824" s="151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6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6"/>
      <c r="AX824" s="5"/>
      <c r="AY824" s="7"/>
    </row>
    <row r="825">
      <c r="A825" s="5"/>
      <c r="B825" s="406"/>
      <c r="C825" s="151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6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6"/>
      <c r="AX825" s="5"/>
      <c r="AY825" s="7"/>
    </row>
    <row r="826">
      <c r="A826" s="5"/>
      <c r="B826" s="406"/>
      <c r="C826" s="151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6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6"/>
      <c r="AX826" s="5"/>
      <c r="AY826" s="7"/>
    </row>
    <row r="827">
      <c r="A827" s="5"/>
      <c r="B827" s="406"/>
      <c r="C827" s="151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6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6"/>
      <c r="AX827" s="5"/>
      <c r="AY827" s="7"/>
    </row>
    <row r="828">
      <c r="A828" s="5"/>
      <c r="B828" s="406"/>
      <c r="C828" s="151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6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6"/>
      <c r="AX828" s="5"/>
      <c r="AY828" s="7"/>
    </row>
    <row r="829">
      <c r="A829" s="5"/>
      <c r="B829" s="406"/>
      <c r="C829" s="151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6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6"/>
      <c r="AX829" s="5"/>
      <c r="AY829" s="7"/>
    </row>
    <row r="830">
      <c r="A830" s="5"/>
      <c r="B830" s="406"/>
      <c r="C830" s="151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6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6"/>
      <c r="AX830" s="5"/>
      <c r="AY830" s="7"/>
    </row>
    <row r="831">
      <c r="A831" s="5"/>
      <c r="B831" s="406"/>
      <c r="C831" s="151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6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6"/>
      <c r="AX831" s="5"/>
      <c r="AY831" s="7"/>
    </row>
    <row r="832">
      <c r="A832" s="5"/>
      <c r="B832" s="406"/>
      <c r="C832" s="151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6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6"/>
      <c r="AX832" s="5"/>
      <c r="AY832" s="7"/>
    </row>
    <row r="833">
      <c r="A833" s="5"/>
      <c r="B833" s="406"/>
      <c r="C833" s="151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6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6"/>
      <c r="AX833" s="5"/>
      <c r="AY833" s="7"/>
    </row>
    <row r="834">
      <c r="A834" s="5"/>
      <c r="B834" s="406"/>
      <c r="C834" s="151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6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6"/>
      <c r="AX834" s="5"/>
      <c r="AY834" s="7"/>
    </row>
    <row r="835">
      <c r="A835" s="5"/>
      <c r="B835" s="406"/>
      <c r="C835" s="151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6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6"/>
      <c r="AX835" s="5"/>
      <c r="AY835" s="7"/>
    </row>
    <row r="836">
      <c r="A836" s="5"/>
      <c r="B836" s="406"/>
      <c r="C836" s="151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6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6"/>
      <c r="AX836" s="5"/>
      <c r="AY836" s="7"/>
    </row>
    <row r="837">
      <c r="A837" s="5"/>
      <c r="B837" s="406"/>
      <c r="C837" s="151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6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6"/>
      <c r="AX837" s="5"/>
      <c r="AY837" s="7"/>
    </row>
    <row r="838">
      <c r="A838" s="5"/>
      <c r="B838" s="406"/>
      <c r="C838" s="151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6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6"/>
      <c r="AX838" s="5"/>
      <c r="AY838" s="7"/>
    </row>
    <row r="839">
      <c r="A839" s="5"/>
      <c r="B839" s="406"/>
      <c r="C839" s="151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6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6"/>
      <c r="AX839" s="5"/>
      <c r="AY839" s="7"/>
    </row>
    <row r="840">
      <c r="A840" s="5"/>
      <c r="B840" s="406"/>
      <c r="C840" s="151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6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6"/>
      <c r="AX840" s="5"/>
      <c r="AY840" s="7"/>
    </row>
    <row r="841">
      <c r="A841" s="5"/>
      <c r="B841" s="406"/>
      <c r="C841" s="151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6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6"/>
      <c r="AX841" s="5"/>
      <c r="AY841" s="7"/>
    </row>
    <row r="842">
      <c r="A842" s="5"/>
      <c r="B842" s="406"/>
      <c r="C842" s="151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6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6"/>
      <c r="AX842" s="5"/>
      <c r="AY842" s="7"/>
    </row>
    <row r="843">
      <c r="A843" s="5"/>
      <c r="B843" s="406"/>
      <c r="C843" s="151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6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6"/>
      <c r="AX843" s="5"/>
      <c r="AY843" s="7"/>
    </row>
    <row r="844">
      <c r="A844" s="5"/>
      <c r="B844" s="406"/>
      <c r="C844" s="151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6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6"/>
      <c r="AX844" s="5"/>
      <c r="AY844" s="7"/>
    </row>
    <row r="845">
      <c r="A845" s="5"/>
      <c r="B845" s="406"/>
      <c r="C845" s="151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6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6"/>
      <c r="AX845" s="5"/>
      <c r="AY845" s="7"/>
    </row>
    <row r="846">
      <c r="A846" s="5"/>
      <c r="B846" s="406"/>
      <c r="C846" s="151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6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6"/>
      <c r="AX846" s="5"/>
      <c r="AY846" s="7"/>
    </row>
    <row r="847">
      <c r="A847" s="5"/>
      <c r="B847" s="406"/>
      <c r="C847" s="151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6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6"/>
      <c r="AX847" s="5"/>
      <c r="AY847" s="7"/>
    </row>
    <row r="848">
      <c r="A848" s="5"/>
      <c r="B848" s="406"/>
      <c r="C848" s="151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6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6"/>
      <c r="AX848" s="5"/>
      <c r="AY848" s="7"/>
    </row>
    <row r="849">
      <c r="A849" s="5"/>
      <c r="B849" s="406"/>
      <c r="C849" s="151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6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6"/>
      <c r="AX849" s="5"/>
      <c r="AY849" s="7"/>
    </row>
    <row r="850">
      <c r="A850" s="5"/>
      <c r="B850" s="406"/>
      <c r="C850" s="151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6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6"/>
      <c r="AX850" s="5"/>
      <c r="AY850" s="7"/>
    </row>
    <row r="851">
      <c r="A851" s="5"/>
      <c r="B851" s="406"/>
      <c r="C851" s="151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6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6"/>
      <c r="AX851" s="5"/>
      <c r="AY851" s="7"/>
    </row>
    <row r="852">
      <c r="A852" s="5"/>
      <c r="B852" s="406"/>
      <c r="C852" s="151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6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6"/>
      <c r="AX852" s="5"/>
      <c r="AY852" s="7"/>
    </row>
    <row r="853">
      <c r="A853" s="5"/>
      <c r="B853" s="406"/>
      <c r="C853" s="151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6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6"/>
      <c r="AX853" s="5"/>
      <c r="AY853" s="7"/>
    </row>
    <row r="854">
      <c r="A854" s="5"/>
      <c r="B854" s="406"/>
      <c r="C854" s="151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6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6"/>
      <c r="AX854" s="5"/>
      <c r="AY854" s="7"/>
    </row>
    <row r="855">
      <c r="A855" s="5"/>
      <c r="B855" s="406"/>
      <c r="C855" s="151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6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6"/>
      <c r="AX855" s="5"/>
      <c r="AY855" s="7"/>
    </row>
    <row r="856">
      <c r="A856" s="5"/>
      <c r="B856" s="406"/>
      <c r="C856" s="151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6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6"/>
      <c r="AX856" s="5"/>
      <c r="AY856" s="7"/>
    </row>
    <row r="857">
      <c r="A857" s="5"/>
      <c r="B857" s="406"/>
      <c r="C857" s="151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6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6"/>
      <c r="AX857" s="5"/>
      <c r="AY857" s="7"/>
    </row>
    <row r="858">
      <c r="A858" s="5"/>
      <c r="B858" s="406"/>
      <c r="C858" s="151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6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6"/>
      <c r="AX858" s="5"/>
      <c r="AY858" s="7"/>
    </row>
    <row r="859">
      <c r="A859" s="5"/>
      <c r="B859" s="406"/>
      <c r="C859" s="151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6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6"/>
      <c r="AX859" s="5"/>
      <c r="AY859" s="7"/>
    </row>
    <row r="860">
      <c r="A860" s="5"/>
      <c r="B860" s="406"/>
      <c r="C860" s="151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6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6"/>
      <c r="AX860" s="5"/>
      <c r="AY860" s="7"/>
    </row>
    <row r="861">
      <c r="A861" s="5"/>
      <c r="B861" s="406"/>
      <c r="C861" s="151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6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6"/>
      <c r="AX861" s="5"/>
      <c r="AY861" s="7"/>
    </row>
    <row r="862">
      <c r="A862" s="5"/>
      <c r="B862" s="406"/>
      <c r="C862" s="151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6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6"/>
      <c r="AX862" s="5"/>
      <c r="AY862" s="7"/>
    </row>
    <row r="863">
      <c r="A863" s="5"/>
      <c r="B863" s="406"/>
      <c r="C863" s="151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6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6"/>
      <c r="AX863" s="5"/>
      <c r="AY863" s="7"/>
    </row>
    <row r="864">
      <c r="A864" s="5"/>
      <c r="B864" s="406"/>
      <c r="C864" s="151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6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6"/>
      <c r="AX864" s="5"/>
      <c r="AY864" s="7"/>
    </row>
    <row r="865">
      <c r="A865" s="5"/>
      <c r="B865" s="406"/>
      <c r="C865" s="151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6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6"/>
      <c r="AX865" s="5"/>
      <c r="AY865" s="7"/>
    </row>
    <row r="866">
      <c r="A866" s="5"/>
      <c r="B866" s="406"/>
      <c r="C866" s="151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6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6"/>
      <c r="AX866" s="5"/>
      <c r="AY866" s="7"/>
    </row>
    <row r="867">
      <c r="A867" s="5"/>
      <c r="B867" s="406"/>
      <c r="C867" s="151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6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6"/>
      <c r="AX867" s="5"/>
      <c r="AY867" s="7"/>
    </row>
    <row r="868">
      <c r="A868" s="5"/>
      <c r="B868" s="406"/>
      <c r="C868" s="151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6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6"/>
      <c r="AX868" s="5"/>
      <c r="AY868" s="7"/>
    </row>
    <row r="869">
      <c r="A869" s="5"/>
      <c r="B869" s="406"/>
      <c r="C869" s="151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6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6"/>
      <c r="AX869" s="5"/>
      <c r="AY869" s="7"/>
    </row>
    <row r="870">
      <c r="A870" s="5"/>
      <c r="B870" s="406"/>
      <c r="C870" s="151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6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6"/>
      <c r="AX870" s="5"/>
      <c r="AY870" s="7"/>
    </row>
    <row r="871">
      <c r="A871" s="5"/>
      <c r="B871" s="406"/>
      <c r="C871" s="151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6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6"/>
      <c r="AX871" s="5"/>
      <c r="AY871" s="7"/>
    </row>
    <row r="872">
      <c r="A872" s="5"/>
      <c r="B872" s="406"/>
      <c r="C872" s="151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6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6"/>
      <c r="AX872" s="5"/>
      <c r="AY872" s="7"/>
    </row>
    <row r="873">
      <c r="A873" s="5"/>
      <c r="B873" s="406"/>
      <c r="C873" s="151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6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6"/>
      <c r="AX873" s="5"/>
      <c r="AY873" s="7"/>
    </row>
    <row r="874">
      <c r="A874" s="5"/>
      <c r="B874" s="406"/>
      <c r="C874" s="151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6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6"/>
      <c r="AX874" s="5"/>
      <c r="AY874" s="7"/>
    </row>
    <row r="875">
      <c r="A875" s="5"/>
      <c r="B875" s="406"/>
      <c r="C875" s="151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6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6"/>
      <c r="AX875" s="5"/>
      <c r="AY875" s="7"/>
    </row>
    <row r="876">
      <c r="A876" s="5"/>
      <c r="B876" s="406"/>
      <c r="C876" s="151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6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6"/>
      <c r="AX876" s="5"/>
      <c r="AY876" s="7"/>
    </row>
    <row r="877">
      <c r="A877" s="5"/>
      <c r="B877" s="406"/>
      <c r="C877" s="151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6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6"/>
      <c r="AX877" s="5"/>
      <c r="AY877" s="7"/>
    </row>
    <row r="878">
      <c r="A878" s="5"/>
      <c r="B878" s="406"/>
      <c r="C878" s="151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6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6"/>
      <c r="AX878" s="5"/>
      <c r="AY878" s="7"/>
    </row>
    <row r="879">
      <c r="A879" s="5"/>
      <c r="B879" s="406"/>
      <c r="C879" s="151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6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6"/>
      <c r="AX879" s="5"/>
      <c r="AY879" s="7"/>
    </row>
    <row r="880">
      <c r="A880" s="5"/>
      <c r="B880" s="406"/>
      <c r="C880" s="151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6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6"/>
      <c r="AX880" s="5"/>
      <c r="AY880" s="7"/>
    </row>
    <row r="881">
      <c r="A881" s="5"/>
      <c r="B881" s="406"/>
      <c r="C881" s="151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6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6"/>
      <c r="AX881" s="5"/>
      <c r="AY881" s="7"/>
    </row>
    <row r="882">
      <c r="A882" s="5"/>
      <c r="B882" s="406"/>
      <c r="C882" s="151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6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6"/>
      <c r="AX882" s="5"/>
      <c r="AY882" s="7"/>
    </row>
    <row r="883">
      <c r="A883" s="5"/>
      <c r="B883" s="406"/>
      <c r="C883" s="151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6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6"/>
      <c r="AX883" s="5"/>
      <c r="AY883" s="7"/>
    </row>
    <row r="884">
      <c r="A884" s="5"/>
      <c r="B884" s="406"/>
      <c r="C884" s="151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6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6"/>
      <c r="AX884" s="5"/>
      <c r="AY884" s="7"/>
    </row>
    <row r="885">
      <c r="A885" s="5"/>
      <c r="B885" s="406"/>
      <c r="C885" s="151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6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6"/>
      <c r="AX885" s="5"/>
      <c r="AY885" s="7"/>
    </row>
    <row r="886">
      <c r="A886" s="5"/>
      <c r="B886" s="406"/>
      <c r="C886" s="151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6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6"/>
      <c r="AX886" s="5"/>
      <c r="AY886" s="7"/>
    </row>
    <row r="887">
      <c r="A887" s="5"/>
      <c r="B887" s="406"/>
      <c r="C887" s="151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6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6"/>
      <c r="AX887" s="5"/>
      <c r="AY887" s="7"/>
    </row>
    <row r="888">
      <c r="A888" s="5"/>
      <c r="B888" s="406"/>
      <c r="C888" s="151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6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6"/>
      <c r="AX888" s="5"/>
      <c r="AY888" s="7"/>
    </row>
    <row r="889">
      <c r="A889" s="5"/>
      <c r="B889" s="406"/>
      <c r="C889" s="151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6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6"/>
      <c r="AX889" s="5"/>
      <c r="AY889" s="7"/>
    </row>
    <row r="890">
      <c r="A890" s="5"/>
      <c r="B890" s="406"/>
      <c r="C890" s="151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6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6"/>
      <c r="AX890" s="5"/>
      <c r="AY890" s="7"/>
    </row>
    <row r="891">
      <c r="A891" s="5"/>
      <c r="B891" s="406"/>
      <c r="C891" s="151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6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6"/>
      <c r="AX891" s="5"/>
      <c r="AY891" s="7"/>
    </row>
    <row r="892">
      <c r="A892" s="5"/>
      <c r="B892" s="406"/>
      <c r="C892" s="151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6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6"/>
      <c r="AX892" s="5"/>
      <c r="AY892" s="7"/>
    </row>
    <row r="893">
      <c r="A893" s="5"/>
      <c r="B893" s="406"/>
      <c r="C893" s="151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6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6"/>
      <c r="AX893" s="5"/>
      <c r="AY893" s="7"/>
    </row>
    <row r="894">
      <c r="A894" s="5"/>
      <c r="B894" s="406"/>
      <c r="C894" s="151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6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6"/>
      <c r="AX894" s="5"/>
      <c r="AY894" s="7"/>
    </row>
    <row r="895">
      <c r="A895" s="5"/>
      <c r="B895" s="406"/>
      <c r="C895" s="151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6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6"/>
      <c r="AX895" s="5"/>
      <c r="AY895" s="7"/>
    </row>
    <row r="896">
      <c r="A896" s="5"/>
      <c r="B896" s="406"/>
      <c r="C896" s="151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6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6"/>
      <c r="AX896" s="5"/>
      <c r="AY896" s="7"/>
    </row>
    <row r="897">
      <c r="A897" s="5"/>
      <c r="B897" s="406"/>
      <c r="C897" s="151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6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6"/>
      <c r="AX897" s="5"/>
      <c r="AY897" s="7"/>
    </row>
    <row r="898">
      <c r="A898" s="5"/>
      <c r="B898" s="406"/>
      <c r="C898" s="151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6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6"/>
      <c r="AX898" s="5"/>
      <c r="AY898" s="7"/>
    </row>
    <row r="899">
      <c r="A899" s="5"/>
      <c r="B899" s="406"/>
      <c r="C899" s="151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6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6"/>
      <c r="AX899" s="5"/>
      <c r="AY899" s="7"/>
    </row>
    <row r="900">
      <c r="A900" s="5"/>
      <c r="B900" s="406"/>
      <c r="C900" s="151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6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6"/>
      <c r="AX900" s="5"/>
      <c r="AY900" s="7"/>
    </row>
    <row r="901">
      <c r="A901" s="5"/>
      <c r="B901" s="406"/>
      <c r="C901" s="151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6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6"/>
      <c r="AX901" s="5"/>
      <c r="AY901" s="7"/>
    </row>
    <row r="902">
      <c r="A902" s="5"/>
      <c r="B902" s="406"/>
      <c r="C902" s="151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6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6"/>
      <c r="AX902" s="5"/>
      <c r="AY902" s="7"/>
    </row>
    <row r="903">
      <c r="A903" s="5"/>
      <c r="B903" s="406"/>
      <c r="C903" s="151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6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6"/>
      <c r="AX903" s="5"/>
      <c r="AY903" s="7"/>
    </row>
    <row r="904">
      <c r="A904" s="5"/>
      <c r="B904" s="406"/>
      <c r="C904" s="151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6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6"/>
      <c r="AX904" s="5"/>
      <c r="AY904" s="7"/>
    </row>
    <row r="905">
      <c r="A905" s="5"/>
      <c r="B905" s="406"/>
      <c r="C905" s="151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6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6"/>
      <c r="AX905" s="5"/>
      <c r="AY905" s="7"/>
    </row>
    <row r="906">
      <c r="A906" s="5"/>
      <c r="B906" s="406"/>
      <c r="C906" s="151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6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6"/>
      <c r="AX906" s="5"/>
      <c r="AY906" s="7"/>
    </row>
    <row r="907">
      <c r="A907" s="5"/>
      <c r="B907" s="406"/>
      <c r="C907" s="151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6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6"/>
      <c r="AX907" s="5"/>
      <c r="AY907" s="7"/>
    </row>
    <row r="908">
      <c r="A908" s="5"/>
      <c r="B908" s="406"/>
      <c r="C908" s="151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6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6"/>
      <c r="AX908" s="5"/>
      <c r="AY908" s="7"/>
    </row>
    <row r="909">
      <c r="A909" s="5"/>
      <c r="B909" s="406"/>
      <c r="C909" s="151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6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6"/>
      <c r="AX909" s="5"/>
      <c r="AY909" s="7"/>
    </row>
    <row r="910">
      <c r="A910" s="5"/>
      <c r="B910" s="406"/>
      <c r="C910" s="151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6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6"/>
      <c r="AX910" s="5"/>
      <c r="AY910" s="7"/>
    </row>
    <row r="911">
      <c r="A911" s="5"/>
      <c r="B911" s="406"/>
      <c r="C911" s="151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6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6"/>
      <c r="AX911" s="5"/>
      <c r="AY911" s="7"/>
    </row>
    <row r="912">
      <c r="A912" s="5"/>
      <c r="B912" s="406"/>
      <c r="C912" s="151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6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6"/>
      <c r="AX912" s="5"/>
      <c r="AY912" s="7"/>
    </row>
    <row r="913">
      <c r="A913" s="5"/>
      <c r="B913" s="406"/>
      <c r="C913" s="151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6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6"/>
      <c r="AX913" s="5"/>
      <c r="AY913" s="7"/>
    </row>
    <row r="914">
      <c r="A914" s="5"/>
      <c r="B914" s="406"/>
      <c r="C914" s="151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6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6"/>
      <c r="AX914" s="5"/>
      <c r="AY914" s="7"/>
    </row>
    <row r="915">
      <c r="A915" s="5"/>
      <c r="B915" s="406"/>
      <c r="C915" s="151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6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6"/>
      <c r="AX915" s="5"/>
      <c r="AY915" s="7"/>
    </row>
    <row r="916">
      <c r="A916" s="5"/>
      <c r="B916" s="406"/>
      <c r="C916" s="151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6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6"/>
      <c r="AX916" s="5"/>
      <c r="AY916" s="7"/>
    </row>
    <row r="917">
      <c r="A917" s="5"/>
      <c r="B917" s="406"/>
      <c r="C917" s="151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6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6"/>
      <c r="AX917" s="5"/>
      <c r="AY917" s="7"/>
    </row>
    <row r="918">
      <c r="A918" s="5"/>
      <c r="B918" s="406"/>
      <c r="C918" s="151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6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6"/>
      <c r="AX918" s="5"/>
      <c r="AY918" s="7"/>
    </row>
    <row r="919">
      <c r="A919" s="5"/>
      <c r="B919" s="406"/>
      <c r="C919" s="151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6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6"/>
      <c r="AX919" s="5"/>
      <c r="AY919" s="7"/>
    </row>
    <row r="920">
      <c r="A920" s="5"/>
      <c r="B920" s="406"/>
      <c r="C920" s="151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6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6"/>
      <c r="AX920" s="5"/>
      <c r="AY920" s="7"/>
    </row>
    <row r="921">
      <c r="A921" s="5"/>
      <c r="B921" s="406"/>
      <c r="C921" s="151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6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6"/>
      <c r="AX921" s="5"/>
      <c r="AY921" s="7"/>
    </row>
    <row r="922">
      <c r="A922" s="5"/>
      <c r="B922" s="406"/>
      <c r="C922" s="151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6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6"/>
      <c r="AX922" s="5"/>
      <c r="AY922" s="7"/>
    </row>
    <row r="923">
      <c r="A923" s="5"/>
      <c r="B923" s="406"/>
      <c r="C923" s="151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6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6"/>
      <c r="AX923" s="5"/>
      <c r="AY923" s="7"/>
    </row>
    <row r="924">
      <c r="A924" s="5"/>
      <c r="B924" s="406"/>
      <c r="C924" s="151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6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6"/>
      <c r="AX924" s="5"/>
      <c r="AY924" s="7"/>
    </row>
    <row r="925">
      <c r="A925" s="5"/>
      <c r="B925" s="406"/>
      <c r="C925" s="151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6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6"/>
      <c r="AX925" s="5"/>
      <c r="AY925" s="7"/>
    </row>
    <row r="926">
      <c r="A926" s="5"/>
      <c r="B926" s="406"/>
      <c r="C926" s="151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6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6"/>
      <c r="AX926" s="5"/>
      <c r="AY926" s="7"/>
    </row>
    <row r="927">
      <c r="A927" s="5"/>
      <c r="B927" s="406"/>
      <c r="C927" s="151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6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6"/>
      <c r="AX927" s="5"/>
      <c r="AY927" s="7"/>
    </row>
    <row r="928">
      <c r="A928" s="5"/>
      <c r="B928" s="406"/>
      <c r="C928" s="151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6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6"/>
      <c r="AX928" s="5"/>
      <c r="AY928" s="7"/>
    </row>
    <row r="929">
      <c r="A929" s="5"/>
      <c r="B929" s="406"/>
      <c r="C929" s="151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6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6"/>
      <c r="AX929" s="5"/>
      <c r="AY929" s="7"/>
    </row>
    <row r="930">
      <c r="A930" s="5"/>
      <c r="B930" s="406"/>
      <c r="C930" s="151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6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6"/>
      <c r="AX930" s="5"/>
      <c r="AY930" s="7"/>
    </row>
    <row r="931">
      <c r="A931" s="5"/>
      <c r="B931" s="406"/>
      <c r="C931" s="151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6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6"/>
      <c r="AX931" s="5"/>
      <c r="AY931" s="7"/>
    </row>
    <row r="932">
      <c r="A932" s="5"/>
      <c r="B932" s="406"/>
      <c r="C932" s="151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6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6"/>
      <c r="AX932" s="5"/>
      <c r="AY932" s="7"/>
    </row>
  </sheetData>
  <mergeCells count="18">
    <mergeCell ref="Q2:T2"/>
    <mergeCell ref="V2:Y2"/>
    <mergeCell ref="AC2:AF2"/>
    <mergeCell ref="AQ2:AV2"/>
    <mergeCell ref="D3:O3"/>
    <mergeCell ref="Q3:T3"/>
    <mergeCell ref="V3:AA3"/>
    <mergeCell ref="AC3:AH3"/>
    <mergeCell ref="AJ3:AO3"/>
    <mergeCell ref="AQ3:AV3"/>
    <mergeCell ref="BA3:BF3"/>
    <mergeCell ref="A1:C3"/>
    <mergeCell ref="D1:H1"/>
    <mergeCell ref="I1:M1"/>
    <mergeCell ref="N1:O1"/>
    <mergeCell ref="D2:H2"/>
    <mergeCell ref="I2:M2"/>
    <mergeCell ref="N2:O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75"/>
  <cols>
    <col customWidth="1" min="1" max="1" width="9.14"/>
    <col customWidth="1" min="2" max="2" width="5.71"/>
    <col customWidth="1" min="3" max="3" width="9.14"/>
    <col customWidth="1" min="4" max="4" width="9.86"/>
    <col customWidth="1" min="5" max="5" width="9.14"/>
    <col customWidth="1" min="6" max="6" width="11.86"/>
    <col customWidth="1" min="7" max="18" width="9.14"/>
    <col customWidth="1" min="19" max="19" width="23.71"/>
    <col customWidth="1" min="20" max="28" width="8.71"/>
  </cols>
  <sheetData>
    <row r="1">
      <c r="A1" s="481"/>
      <c r="B1" s="481"/>
      <c r="C1" s="482" t="s">
        <v>2215</v>
      </c>
      <c r="S1" s="483"/>
      <c r="T1" s="481"/>
      <c r="U1" s="481"/>
      <c r="V1" s="481"/>
      <c r="W1" s="481"/>
      <c r="X1" s="481"/>
      <c r="Y1" s="481"/>
      <c r="Z1" s="481"/>
      <c r="AA1" s="481"/>
      <c r="AB1" s="481"/>
    </row>
    <row r="2" ht="10.5" customHeight="1">
      <c r="A2" s="481"/>
      <c r="B2" s="481"/>
      <c r="T2" s="481"/>
      <c r="U2" s="481"/>
      <c r="V2" s="481"/>
      <c r="W2" s="481"/>
      <c r="X2" s="481"/>
      <c r="Y2" s="481"/>
      <c r="Z2" s="481"/>
      <c r="AA2" s="481"/>
      <c r="AB2" s="481"/>
    </row>
    <row r="3" ht="14.25" customHeight="1">
      <c r="A3" s="481"/>
      <c r="B3" s="481"/>
      <c r="C3" s="481"/>
      <c r="D3" s="483"/>
      <c r="E3" s="481"/>
      <c r="F3" s="483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T3" s="481"/>
      <c r="U3" s="481"/>
      <c r="V3" s="481"/>
      <c r="W3" s="481"/>
      <c r="X3" s="481"/>
      <c r="Y3" s="481"/>
      <c r="Z3" s="481"/>
      <c r="AA3" s="481"/>
      <c r="AB3" s="481"/>
    </row>
    <row r="4">
      <c r="A4" s="481"/>
      <c r="B4" s="484" t="s">
        <v>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1"/>
      <c r="T4" s="481"/>
      <c r="U4" s="481"/>
      <c r="V4" s="481"/>
      <c r="W4" s="481"/>
      <c r="X4" s="481"/>
      <c r="Y4" s="481"/>
      <c r="Z4" s="481"/>
      <c r="AA4" s="481"/>
      <c r="AB4" s="481"/>
    </row>
    <row r="5">
      <c r="A5" s="481"/>
      <c r="B5" s="485" t="s">
        <v>16</v>
      </c>
      <c r="C5" s="486" t="s">
        <v>18</v>
      </c>
      <c r="D5" s="487" t="s">
        <v>2216</v>
      </c>
      <c r="E5" s="488" t="s">
        <v>2217</v>
      </c>
      <c r="F5" s="486" t="s">
        <v>2218</v>
      </c>
      <c r="G5" s="489" t="s">
        <v>2219</v>
      </c>
      <c r="H5" s="490" t="s">
        <v>2220</v>
      </c>
      <c r="I5" s="489" t="s">
        <v>2221</v>
      </c>
      <c r="J5" s="490" t="s">
        <v>2222</v>
      </c>
      <c r="K5" s="488" t="s">
        <v>2223</v>
      </c>
      <c r="L5" s="486" t="s">
        <v>2224</v>
      </c>
      <c r="M5" s="488" t="s">
        <v>2225</v>
      </c>
      <c r="N5" s="486" t="s">
        <v>2226</v>
      </c>
      <c r="O5" s="488" t="s">
        <v>2227</v>
      </c>
      <c r="P5" s="486" t="s">
        <v>2228</v>
      </c>
      <c r="Q5" s="491" t="s">
        <v>302</v>
      </c>
      <c r="R5" s="488" t="s">
        <v>2229</v>
      </c>
      <c r="S5" s="492" t="s">
        <v>31</v>
      </c>
      <c r="T5" s="481"/>
      <c r="U5" s="481"/>
      <c r="V5" s="481"/>
      <c r="W5" s="481"/>
      <c r="X5" s="481"/>
      <c r="Y5" s="481"/>
      <c r="Z5" s="481"/>
      <c r="AA5" s="481"/>
      <c r="AB5" s="481"/>
    </row>
    <row r="6">
      <c r="A6" s="481"/>
      <c r="B6" s="493">
        <v>1.0</v>
      </c>
      <c r="C6" s="494"/>
      <c r="D6" s="495"/>
      <c r="E6" s="496"/>
      <c r="F6" s="495"/>
      <c r="G6" s="496"/>
      <c r="H6" s="497"/>
      <c r="I6" s="498"/>
      <c r="J6" s="495"/>
      <c r="K6" s="498"/>
      <c r="L6" s="495"/>
      <c r="M6" s="496"/>
      <c r="N6" s="495"/>
      <c r="O6" s="496"/>
      <c r="P6" s="495"/>
      <c r="Q6" s="499"/>
      <c r="R6" s="496"/>
      <c r="S6" s="500"/>
      <c r="T6" s="481"/>
      <c r="U6" s="481"/>
      <c r="V6" s="481"/>
      <c r="W6" s="481"/>
      <c r="X6" s="481"/>
      <c r="Y6" s="481"/>
      <c r="Z6" s="481"/>
      <c r="AA6" s="481"/>
      <c r="AB6" s="481"/>
    </row>
    <row r="7">
      <c r="A7" s="481"/>
      <c r="B7" s="493">
        <v>2.0</v>
      </c>
      <c r="C7" s="494"/>
      <c r="D7" s="495"/>
      <c r="E7" s="496"/>
      <c r="F7" s="495"/>
      <c r="G7" s="496"/>
      <c r="H7" s="497"/>
      <c r="I7" s="498"/>
      <c r="J7" s="495"/>
      <c r="K7" s="498"/>
      <c r="L7" s="495"/>
      <c r="M7" s="496"/>
      <c r="N7" s="495"/>
      <c r="O7" s="496"/>
      <c r="P7" s="495"/>
      <c r="Q7" s="499"/>
      <c r="R7" s="496"/>
      <c r="S7" s="500"/>
      <c r="T7" s="481"/>
      <c r="U7" s="481"/>
      <c r="V7" s="481"/>
      <c r="W7" s="481"/>
      <c r="X7" s="481"/>
      <c r="Y7" s="481"/>
      <c r="Z7" s="481"/>
      <c r="AA7" s="481"/>
      <c r="AB7" s="481"/>
    </row>
    <row r="8">
      <c r="A8" s="481"/>
      <c r="B8" s="493">
        <v>3.0</v>
      </c>
      <c r="C8" s="494"/>
      <c r="D8" s="495"/>
      <c r="E8" s="496"/>
      <c r="F8" s="495"/>
      <c r="G8" s="496"/>
      <c r="H8" s="501"/>
      <c r="I8" s="498"/>
      <c r="J8" s="495"/>
      <c r="K8" s="498"/>
      <c r="L8" s="495"/>
      <c r="M8" s="496"/>
      <c r="N8" s="495"/>
      <c r="O8" s="496"/>
      <c r="P8" s="495"/>
      <c r="Q8" s="502"/>
      <c r="R8" s="496"/>
      <c r="S8" s="500"/>
      <c r="T8" s="481"/>
      <c r="U8" s="481"/>
      <c r="V8" s="481"/>
      <c r="W8" s="481"/>
      <c r="X8" s="481"/>
      <c r="Y8" s="481"/>
      <c r="Z8" s="481"/>
      <c r="AA8" s="481"/>
      <c r="AB8" s="481"/>
    </row>
    <row r="9">
      <c r="A9" s="481"/>
      <c r="B9" s="493">
        <v>4.0</v>
      </c>
      <c r="C9" s="494"/>
      <c r="D9" s="495"/>
      <c r="E9" s="496"/>
      <c r="F9" s="495"/>
      <c r="G9" s="496"/>
      <c r="H9" s="497"/>
      <c r="I9" s="498"/>
      <c r="J9" s="495"/>
      <c r="K9" s="498"/>
      <c r="L9" s="495"/>
      <c r="M9" s="496"/>
      <c r="N9" s="495"/>
      <c r="O9" s="496"/>
      <c r="P9" s="495"/>
      <c r="Q9" s="499"/>
      <c r="R9" s="496"/>
      <c r="S9" s="500"/>
      <c r="T9" s="481"/>
      <c r="U9" s="481"/>
      <c r="V9" s="481"/>
      <c r="W9" s="481"/>
      <c r="X9" s="481"/>
      <c r="Y9" s="481"/>
      <c r="Z9" s="481"/>
      <c r="AA9" s="481"/>
      <c r="AB9" s="481"/>
    </row>
    <row r="10">
      <c r="A10" s="481"/>
      <c r="B10" s="493">
        <v>5.0</v>
      </c>
      <c r="C10" s="494"/>
      <c r="D10" s="495"/>
      <c r="E10" s="496"/>
      <c r="F10" s="495"/>
      <c r="G10" s="496"/>
      <c r="H10" s="497"/>
      <c r="I10" s="498"/>
      <c r="J10" s="495"/>
      <c r="K10" s="498"/>
      <c r="L10" s="495"/>
      <c r="M10" s="496"/>
      <c r="N10" s="495"/>
      <c r="O10" s="496"/>
      <c r="P10" s="495"/>
      <c r="Q10" s="499"/>
      <c r="R10" s="496"/>
      <c r="S10" s="500"/>
      <c r="T10" s="481"/>
      <c r="U10" s="481"/>
      <c r="V10" s="481"/>
      <c r="W10" s="481"/>
      <c r="X10" s="481"/>
      <c r="Y10" s="481"/>
      <c r="Z10" s="481"/>
      <c r="AA10" s="481"/>
      <c r="AB10" s="481"/>
    </row>
    <row r="11">
      <c r="A11" s="481"/>
      <c r="B11" s="493">
        <v>6.0</v>
      </c>
      <c r="C11" s="494"/>
      <c r="D11" s="495"/>
      <c r="E11" s="496"/>
      <c r="F11" s="495"/>
      <c r="G11" s="496"/>
      <c r="H11" s="497"/>
      <c r="I11" s="498"/>
      <c r="J11" s="495"/>
      <c r="K11" s="498"/>
      <c r="L11" s="495"/>
      <c r="M11" s="496"/>
      <c r="N11" s="495"/>
      <c r="O11" s="496"/>
      <c r="P11" s="495"/>
      <c r="Q11" s="499"/>
      <c r="R11" s="496"/>
      <c r="S11" s="500"/>
      <c r="T11" s="481"/>
      <c r="U11" s="481"/>
      <c r="V11" s="481"/>
      <c r="W11" s="481"/>
      <c r="X11" s="481"/>
      <c r="Y11" s="481"/>
      <c r="Z11" s="481"/>
      <c r="AA11" s="481"/>
      <c r="AB11" s="481"/>
    </row>
    <row r="12">
      <c r="A12" s="481"/>
      <c r="B12" s="493">
        <v>7.0</v>
      </c>
      <c r="C12" s="494"/>
      <c r="D12" s="495"/>
      <c r="E12" s="496"/>
      <c r="F12" s="495"/>
      <c r="G12" s="496"/>
      <c r="H12" s="497"/>
      <c r="I12" s="498"/>
      <c r="J12" s="495"/>
      <c r="K12" s="498"/>
      <c r="L12" s="495"/>
      <c r="M12" s="496"/>
      <c r="N12" s="495"/>
      <c r="O12" s="496"/>
      <c r="P12" s="495"/>
      <c r="Q12" s="499"/>
      <c r="R12" s="496"/>
      <c r="S12" s="500"/>
      <c r="T12" s="481"/>
      <c r="U12" s="481"/>
      <c r="V12" s="481"/>
      <c r="W12" s="481"/>
      <c r="X12" s="481"/>
      <c r="Y12" s="481"/>
      <c r="Z12" s="481"/>
      <c r="AA12" s="481"/>
      <c r="AB12" s="481"/>
    </row>
    <row r="13">
      <c r="A13" s="481"/>
      <c r="B13" s="493">
        <v>8.0</v>
      </c>
      <c r="C13" s="495"/>
      <c r="D13" s="494"/>
      <c r="E13" s="496"/>
      <c r="F13" s="495"/>
      <c r="G13" s="496"/>
      <c r="H13" s="501"/>
      <c r="I13" s="498"/>
      <c r="J13" s="495"/>
      <c r="K13" s="498"/>
      <c r="L13" s="494"/>
      <c r="M13" s="496"/>
      <c r="N13" s="495"/>
      <c r="O13" s="496"/>
      <c r="P13" s="494"/>
      <c r="Q13" s="502"/>
      <c r="R13" s="496"/>
      <c r="S13" s="503"/>
      <c r="T13" s="481"/>
      <c r="U13" s="481"/>
      <c r="V13" s="481"/>
      <c r="W13" s="481"/>
      <c r="X13" s="481"/>
      <c r="Y13" s="481"/>
      <c r="Z13" s="481"/>
      <c r="AA13" s="481"/>
      <c r="AB13" s="481"/>
    </row>
    <row r="14">
      <c r="A14" s="481"/>
      <c r="B14" s="493">
        <v>9.0</v>
      </c>
      <c r="C14" s="494"/>
      <c r="D14" s="495"/>
      <c r="E14" s="496"/>
      <c r="F14" s="495"/>
      <c r="G14" s="496"/>
      <c r="H14" s="497"/>
      <c r="I14" s="498"/>
      <c r="J14" s="495"/>
      <c r="K14" s="498"/>
      <c r="L14" s="495"/>
      <c r="M14" s="496"/>
      <c r="N14" s="495"/>
      <c r="O14" s="496"/>
      <c r="P14" s="495"/>
      <c r="Q14" s="499"/>
      <c r="R14" s="496"/>
      <c r="S14" s="500"/>
      <c r="T14" s="481"/>
      <c r="U14" s="481"/>
      <c r="V14" s="481"/>
      <c r="W14" s="481"/>
      <c r="X14" s="481"/>
      <c r="Y14" s="481"/>
      <c r="Z14" s="481"/>
      <c r="AA14" s="481"/>
      <c r="AB14" s="481"/>
    </row>
    <row r="15">
      <c r="A15" s="481"/>
      <c r="B15" s="493">
        <v>10.0</v>
      </c>
      <c r="C15" s="494"/>
      <c r="D15" s="495"/>
      <c r="E15" s="496"/>
      <c r="F15" s="495"/>
      <c r="G15" s="496"/>
      <c r="H15" s="497"/>
      <c r="I15" s="498"/>
      <c r="J15" s="495"/>
      <c r="K15" s="498"/>
      <c r="L15" s="495"/>
      <c r="M15" s="496"/>
      <c r="N15" s="495"/>
      <c r="O15" s="496"/>
      <c r="P15" s="495"/>
      <c r="Q15" s="499"/>
      <c r="R15" s="496"/>
      <c r="S15" s="500"/>
      <c r="T15" s="481"/>
      <c r="U15" s="481"/>
      <c r="V15" s="481"/>
      <c r="W15" s="481"/>
      <c r="X15" s="481"/>
      <c r="Y15" s="481"/>
      <c r="Z15" s="481"/>
      <c r="AA15" s="481"/>
      <c r="AB15" s="481"/>
    </row>
    <row r="16">
      <c r="A16" s="481"/>
      <c r="B16" s="493">
        <v>11.0</v>
      </c>
      <c r="C16" s="494"/>
      <c r="D16" s="495"/>
      <c r="E16" s="496"/>
      <c r="F16" s="495"/>
      <c r="G16" s="496"/>
      <c r="H16" s="497"/>
      <c r="I16" s="498"/>
      <c r="J16" s="495"/>
      <c r="K16" s="498"/>
      <c r="L16" s="495"/>
      <c r="M16" s="496"/>
      <c r="N16" s="495"/>
      <c r="O16" s="496"/>
      <c r="P16" s="495"/>
      <c r="Q16" s="499"/>
      <c r="R16" s="496"/>
      <c r="S16" s="500"/>
      <c r="T16" s="481"/>
      <c r="U16" s="481"/>
      <c r="V16" s="481"/>
      <c r="W16" s="481"/>
      <c r="X16" s="481"/>
      <c r="Y16" s="481"/>
      <c r="Z16" s="481"/>
      <c r="AA16" s="481"/>
      <c r="AB16" s="481"/>
    </row>
    <row r="17">
      <c r="A17" s="481"/>
      <c r="B17" s="493">
        <v>12.0</v>
      </c>
      <c r="C17" s="494"/>
      <c r="D17" s="495"/>
      <c r="E17" s="496"/>
      <c r="F17" s="495"/>
      <c r="G17" s="496"/>
      <c r="H17" s="497"/>
      <c r="I17" s="498"/>
      <c r="J17" s="495"/>
      <c r="K17" s="498"/>
      <c r="L17" s="495"/>
      <c r="M17" s="496"/>
      <c r="N17" s="495"/>
      <c r="O17" s="496"/>
      <c r="P17" s="495"/>
      <c r="Q17" s="499"/>
      <c r="R17" s="496"/>
      <c r="S17" s="500"/>
      <c r="T17" s="481"/>
      <c r="U17" s="481"/>
      <c r="V17" s="481"/>
      <c r="W17" s="481"/>
      <c r="X17" s="481"/>
      <c r="Y17" s="481"/>
      <c r="Z17" s="481"/>
      <c r="AA17" s="481"/>
      <c r="AB17" s="481"/>
    </row>
    <row r="18">
      <c r="A18" s="481"/>
      <c r="B18" s="493">
        <v>13.0</v>
      </c>
      <c r="C18" s="494"/>
      <c r="D18" s="495"/>
      <c r="E18" s="496"/>
      <c r="F18" s="495"/>
      <c r="G18" s="496"/>
      <c r="H18" s="497"/>
      <c r="I18" s="498"/>
      <c r="J18" s="495"/>
      <c r="K18" s="498"/>
      <c r="L18" s="495"/>
      <c r="M18" s="496"/>
      <c r="N18" s="495"/>
      <c r="O18" s="496"/>
      <c r="P18" s="495"/>
      <c r="Q18" s="499"/>
      <c r="R18" s="496"/>
      <c r="S18" s="500"/>
      <c r="T18" s="481"/>
      <c r="U18" s="481"/>
      <c r="V18" s="481"/>
      <c r="W18" s="481"/>
      <c r="X18" s="481"/>
      <c r="Y18" s="481"/>
      <c r="Z18" s="481"/>
      <c r="AA18" s="481"/>
      <c r="AB18" s="481"/>
    </row>
    <row r="19">
      <c r="A19" s="481"/>
      <c r="B19" s="481"/>
      <c r="C19" s="504"/>
      <c r="D19" s="505"/>
      <c r="E19" s="505"/>
      <c r="F19" s="505"/>
      <c r="G19" s="505"/>
      <c r="H19" s="505"/>
      <c r="I19" s="505"/>
      <c r="J19" s="505"/>
      <c r="K19" s="505"/>
      <c r="L19" s="505"/>
      <c r="M19" s="505"/>
      <c r="N19" s="505"/>
      <c r="O19" s="505"/>
      <c r="P19" s="505"/>
      <c r="Q19" s="504"/>
      <c r="R19" s="504"/>
      <c r="S19" s="504"/>
      <c r="T19" s="481"/>
      <c r="U19" s="481"/>
      <c r="V19" s="481"/>
      <c r="W19" s="481"/>
      <c r="X19" s="481"/>
      <c r="Y19" s="481"/>
      <c r="Z19" s="481"/>
      <c r="AA19" s="481"/>
      <c r="AB19" s="481"/>
    </row>
    <row r="20">
      <c r="A20" s="481"/>
      <c r="B20" s="481"/>
      <c r="C20" s="504"/>
      <c r="D20" s="506"/>
      <c r="E20" s="504"/>
      <c r="F20" s="506"/>
      <c r="G20" s="504"/>
      <c r="H20" s="504"/>
      <c r="I20" s="504"/>
      <c r="J20" s="504"/>
      <c r="K20" s="504"/>
      <c r="L20" s="504"/>
      <c r="M20" s="504"/>
      <c r="N20" s="504"/>
      <c r="O20" s="504"/>
      <c r="P20" s="504"/>
      <c r="Q20" s="504"/>
      <c r="R20" s="504"/>
      <c r="S20" s="504"/>
      <c r="T20" s="481"/>
      <c r="U20" s="481"/>
      <c r="V20" s="481"/>
      <c r="W20" s="481"/>
      <c r="X20" s="481"/>
      <c r="Y20" s="481"/>
      <c r="Z20" s="481"/>
      <c r="AA20" s="481"/>
      <c r="AB20" s="481"/>
    </row>
    <row r="21">
      <c r="A21" s="481"/>
      <c r="B21" s="481"/>
      <c r="C21" s="481"/>
      <c r="D21" s="483"/>
      <c r="E21" s="481"/>
      <c r="F21" s="483"/>
      <c r="G21" s="481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</row>
    <row r="22">
      <c r="A22" s="481"/>
      <c r="B22" s="481"/>
      <c r="C22" s="481"/>
      <c r="D22" s="483"/>
      <c r="E22" s="481"/>
      <c r="F22" s="483"/>
      <c r="G22" s="481"/>
      <c r="H22" s="481"/>
      <c r="I22" s="481"/>
      <c r="J22" s="481"/>
      <c r="K22" s="481"/>
      <c r="L22" s="481"/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</row>
    <row r="23">
      <c r="A23" s="481"/>
      <c r="B23" s="481"/>
      <c r="C23" s="481"/>
      <c r="D23" s="483"/>
      <c r="E23" s="481"/>
      <c r="F23" s="483"/>
      <c r="G23" s="481"/>
      <c r="H23" s="481"/>
      <c r="I23" s="481"/>
      <c r="J23" s="481"/>
      <c r="K23" s="481"/>
      <c r="L23" s="481"/>
      <c r="M23" s="481"/>
      <c r="N23" s="481"/>
      <c r="O23" s="481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1"/>
      <c r="AB23" s="481"/>
    </row>
    <row r="24">
      <c r="A24" s="481"/>
      <c r="B24" s="481"/>
      <c r="C24" s="481"/>
      <c r="D24" s="483"/>
      <c r="E24" s="481"/>
      <c r="F24" s="483"/>
      <c r="G24" s="481"/>
      <c r="H24" s="481"/>
      <c r="I24" s="481"/>
      <c r="J24" s="481"/>
      <c r="K24" s="481"/>
      <c r="L24" s="481"/>
      <c r="M24" s="481"/>
      <c r="N24" s="481"/>
      <c r="O24" s="481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  <c r="AA24" s="481"/>
      <c r="AB24" s="481"/>
    </row>
    <row r="25">
      <c r="A25" s="481"/>
      <c r="B25" s="481"/>
      <c r="C25" s="481"/>
      <c r="D25" s="483"/>
      <c r="E25" s="481"/>
      <c r="F25" s="483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481"/>
    </row>
    <row r="26">
      <c r="A26" s="481"/>
      <c r="B26" s="481"/>
      <c r="C26" s="481"/>
      <c r="D26" s="483"/>
      <c r="E26" s="481"/>
      <c r="F26" s="483"/>
      <c r="G26" s="481"/>
      <c r="H26" s="481"/>
      <c r="I26" s="481"/>
      <c r="J26" s="481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81"/>
      <c r="AB26" s="481"/>
    </row>
    <row r="27">
      <c r="A27" s="481"/>
      <c r="B27" s="481"/>
      <c r="C27" s="481"/>
      <c r="D27" s="483"/>
      <c r="E27" s="481"/>
      <c r="F27" s="483"/>
      <c r="G27" s="481"/>
      <c r="H27" s="481"/>
      <c r="I27" s="481"/>
      <c r="J27" s="481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</row>
    <row r="28">
      <c r="A28" s="481"/>
      <c r="B28" s="481"/>
      <c r="C28" s="481"/>
      <c r="D28" s="483"/>
      <c r="E28" s="481"/>
      <c r="F28" s="483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</row>
    <row r="29">
      <c r="A29" s="481"/>
      <c r="B29" s="481"/>
      <c r="C29" s="481"/>
      <c r="D29" s="483"/>
      <c r="E29" s="481"/>
      <c r="F29" s="483"/>
      <c r="G29" s="481"/>
      <c r="H29" s="481"/>
      <c r="I29" s="481"/>
      <c r="J29" s="481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1"/>
      <c r="AB29" s="481"/>
    </row>
    <row r="30">
      <c r="A30" s="481"/>
      <c r="B30" s="481"/>
      <c r="C30" s="481"/>
      <c r="D30" s="483"/>
      <c r="E30" s="481"/>
      <c r="F30" s="483"/>
      <c r="G30" s="481"/>
      <c r="H30" s="481"/>
      <c r="I30" s="481"/>
      <c r="J30" s="481"/>
      <c r="K30" s="481"/>
      <c r="L30" s="481"/>
      <c r="M30" s="481"/>
      <c r="N30" s="481"/>
      <c r="O30" s="481"/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  <c r="AA30" s="481"/>
      <c r="AB30" s="481"/>
    </row>
    <row r="31">
      <c r="A31" s="481"/>
      <c r="B31" s="481"/>
      <c r="C31" s="481"/>
      <c r="D31" s="483"/>
      <c r="E31" s="481"/>
      <c r="F31" s="483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</row>
    <row r="32">
      <c r="A32" s="481"/>
      <c r="B32" s="481"/>
      <c r="C32" s="481"/>
      <c r="D32" s="483"/>
      <c r="E32" s="481"/>
      <c r="F32" s="483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  <c r="AA32" s="481"/>
      <c r="AB32" s="481"/>
    </row>
    <row r="33">
      <c r="A33" s="481"/>
      <c r="B33" s="481"/>
      <c r="C33" s="481"/>
      <c r="D33" s="483"/>
      <c r="E33" s="481"/>
      <c r="F33" s="483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</row>
    <row r="34">
      <c r="A34" s="481"/>
      <c r="B34" s="481"/>
      <c r="C34" s="481"/>
      <c r="D34" s="483"/>
      <c r="E34" s="481"/>
      <c r="F34" s="483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</row>
    <row r="35">
      <c r="A35" s="481"/>
      <c r="B35" s="481"/>
      <c r="C35" s="481"/>
      <c r="D35" s="483"/>
      <c r="E35" s="481"/>
      <c r="F35" s="483"/>
      <c r="G35" s="481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  <c r="Z35" s="481"/>
      <c r="AA35" s="481"/>
      <c r="AB35" s="481"/>
    </row>
    <row r="36">
      <c r="A36" s="481"/>
      <c r="B36" s="481"/>
      <c r="C36" s="481"/>
      <c r="D36" s="483"/>
      <c r="E36" s="481"/>
      <c r="F36" s="483"/>
      <c r="G36" s="481"/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  <c r="Z36" s="481"/>
      <c r="AA36" s="481"/>
      <c r="AB36" s="481"/>
    </row>
    <row r="37">
      <c r="A37" s="481"/>
      <c r="B37" s="481"/>
      <c r="C37" s="481"/>
      <c r="D37" s="483"/>
      <c r="E37" s="481"/>
      <c r="F37" s="483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</row>
    <row r="38">
      <c r="A38" s="481"/>
      <c r="B38" s="481"/>
      <c r="C38" s="481"/>
      <c r="D38" s="483"/>
      <c r="E38" s="481"/>
      <c r="F38" s="483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  <c r="Z38" s="481"/>
      <c r="AA38" s="481"/>
      <c r="AB38" s="481"/>
    </row>
    <row r="39">
      <c r="A39" s="481"/>
      <c r="B39" s="481"/>
      <c r="C39" s="481"/>
      <c r="D39" s="483"/>
      <c r="E39" s="481"/>
      <c r="F39" s="483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  <c r="AA39" s="481"/>
      <c r="AB39" s="481"/>
    </row>
    <row r="40">
      <c r="A40" s="481"/>
      <c r="B40" s="481"/>
      <c r="C40" s="481"/>
      <c r="D40" s="483"/>
      <c r="E40" s="481"/>
      <c r="F40" s="483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481"/>
    </row>
    <row r="41">
      <c r="A41" s="481"/>
      <c r="B41" s="481"/>
      <c r="C41" s="481"/>
      <c r="D41" s="483"/>
      <c r="E41" s="481"/>
      <c r="F41" s="483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</row>
    <row r="42">
      <c r="A42" s="481"/>
      <c r="B42" s="481"/>
      <c r="C42" s="481"/>
      <c r="D42" s="483"/>
      <c r="E42" s="481"/>
      <c r="F42" s="483"/>
      <c r="G42" s="481"/>
      <c r="H42" s="481"/>
      <c r="I42" s="481"/>
      <c r="J42" s="481"/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</row>
    <row r="43">
      <c r="A43" s="481"/>
      <c r="B43" s="481"/>
      <c r="C43" s="481"/>
      <c r="D43" s="483"/>
      <c r="E43" s="481"/>
      <c r="F43" s="483"/>
      <c r="G43" s="481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</row>
    <row r="44">
      <c r="A44" s="481"/>
      <c r="B44" s="481"/>
      <c r="C44" s="481"/>
      <c r="D44" s="483"/>
      <c r="E44" s="481"/>
      <c r="F44" s="483"/>
      <c r="G44" s="481"/>
      <c r="H44" s="481"/>
      <c r="I44" s="481"/>
      <c r="J44" s="481"/>
      <c r="K44" s="481"/>
      <c r="L44" s="481"/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  <c r="AA44" s="481"/>
      <c r="AB44" s="481"/>
    </row>
    <row r="45">
      <c r="A45" s="481"/>
      <c r="B45" s="481"/>
      <c r="C45" s="481"/>
      <c r="D45" s="483"/>
      <c r="E45" s="481"/>
      <c r="F45" s="483"/>
      <c r="G45" s="481"/>
      <c r="H45" s="481"/>
      <c r="I45" s="481"/>
      <c r="J45" s="481"/>
      <c r="K45" s="481"/>
      <c r="L45" s="481"/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</row>
    <row r="46">
      <c r="A46" s="481"/>
      <c r="B46" s="481"/>
      <c r="C46" s="481"/>
      <c r="D46" s="483"/>
      <c r="E46" s="481"/>
      <c r="F46" s="483"/>
      <c r="G46" s="481"/>
      <c r="H46" s="481"/>
      <c r="I46" s="481"/>
      <c r="J46" s="481"/>
      <c r="K46" s="481"/>
      <c r="L46" s="481"/>
      <c r="M46" s="481"/>
      <c r="N46" s="481"/>
      <c r="O46" s="481"/>
      <c r="P46" s="481"/>
      <c r="Q46" s="481"/>
      <c r="R46" s="481"/>
      <c r="S46" s="481"/>
      <c r="T46" s="481"/>
      <c r="U46" s="481"/>
      <c r="V46" s="481"/>
      <c r="W46" s="481"/>
      <c r="X46" s="481"/>
      <c r="Y46" s="481"/>
      <c r="Z46" s="481"/>
      <c r="AA46" s="481"/>
      <c r="AB46" s="481"/>
    </row>
    <row r="47">
      <c r="A47" s="481"/>
      <c r="B47" s="481"/>
      <c r="C47" s="481"/>
      <c r="D47" s="483"/>
      <c r="E47" s="481"/>
      <c r="F47" s="483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</row>
    <row r="48">
      <c r="A48" s="481"/>
      <c r="B48" s="481"/>
      <c r="C48" s="481"/>
      <c r="D48" s="483"/>
      <c r="E48" s="481"/>
      <c r="F48" s="483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</row>
    <row r="49">
      <c r="A49" s="481"/>
      <c r="B49" s="481"/>
      <c r="C49" s="481"/>
      <c r="D49" s="483"/>
      <c r="E49" s="481"/>
      <c r="F49" s="483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</row>
    <row r="50">
      <c r="A50" s="481"/>
      <c r="B50" s="481"/>
      <c r="C50" s="481"/>
      <c r="D50" s="483"/>
      <c r="E50" s="481"/>
      <c r="F50" s="483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  <c r="Z50" s="481"/>
      <c r="AA50" s="481"/>
      <c r="AB50" s="481"/>
    </row>
    <row r="51">
      <c r="A51" s="481"/>
      <c r="B51" s="481"/>
      <c r="C51" s="481"/>
      <c r="D51" s="483"/>
      <c r="E51" s="481"/>
      <c r="F51" s="483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81"/>
      <c r="AB51" s="481"/>
    </row>
    <row r="52">
      <c r="A52" s="481"/>
      <c r="B52" s="481"/>
      <c r="C52" s="481"/>
      <c r="D52" s="483"/>
      <c r="E52" s="481"/>
      <c r="F52" s="483"/>
      <c r="G52" s="481"/>
      <c r="H52" s="481"/>
      <c r="I52" s="481"/>
      <c r="J52" s="481"/>
      <c r="K52" s="481"/>
      <c r="L52" s="481"/>
      <c r="M52" s="481"/>
      <c r="N52" s="481"/>
      <c r="O52" s="481"/>
      <c r="P52" s="481"/>
      <c r="Q52" s="481"/>
      <c r="R52" s="481"/>
      <c r="S52" s="481"/>
      <c r="T52" s="481"/>
      <c r="U52" s="481"/>
      <c r="V52" s="481"/>
      <c r="W52" s="481"/>
      <c r="X52" s="481"/>
      <c r="Y52" s="481"/>
      <c r="Z52" s="481"/>
      <c r="AA52" s="481"/>
      <c r="AB52" s="481"/>
    </row>
    <row r="53">
      <c r="A53" s="481"/>
      <c r="B53" s="481"/>
      <c r="C53" s="481"/>
      <c r="D53" s="483"/>
      <c r="E53" s="481"/>
      <c r="F53" s="483"/>
      <c r="G53" s="481"/>
      <c r="H53" s="481"/>
      <c r="I53" s="481"/>
      <c r="J53" s="481"/>
      <c r="K53" s="481"/>
      <c r="L53" s="481"/>
      <c r="M53" s="481"/>
      <c r="N53" s="481"/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  <c r="Z53" s="481"/>
      <c r="AA53" s="481"/>
      <c r="AB53" s="481"/>
    </row>
    <row r="54">
      <c r="A54" s="481"/>
      <c r="B54" s="481"/>
      <c r="C54" s="481"/>
      <c r="D54" s="483"/>
      <c r="E54" s="481"/>
      <c r="F54" s="483"/>
      <c r="G54" s="481"/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1"/>
      <c r="AB54" s="481"/>
    </row>
    <row r="55">
      <c r="A55" s="481"/>
      <c r="B55" s="481"/>
      <c r="C55" s="481"/>
      <c r="D55" s="483"/>
      <c r="E55" s="481"/>
      <c r="F55" s="483"/>
      <c r="G55" s="481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481"/>
    </row>
    <row r="56">
      <c r="A56" s="481"/>
      <c r="B56" s="481"/>
      <c r="C56" s="481"/>
      <c r="D56" s="483"/>
      <c r="E56" s="481"/>
      <c r="F56" s="483"/>
      <c r="G56" s="481"/>
      <c r="H56" s="481"/>
      <c r="I56" s="481"/>
      <c r="J56" s="481"/>
      <c r="K56" s="481"/>
      <c r="L56" s="481"/>
      <c r="M56" s="481"/>
      <c r="N56" s="481"/>
      <c r="O56" s="481"/>
      <c r="P56" s="481"/>
      <c r="Q56" s="481"/>
      <c r="R56" s="481"/>
      <c r="S56" s="481"/>
      <c r="T56" s="481"/>
      <c r="U56" s="481"/>
      <c r="V56" s="481"/>
      <c r="W56" s="481"/>
      <c r="X56" s="481"/>
      <c r="Y56" s="481"/>
      <c r="Z56" s="481"/>
      <c r="AA56" s="481"/>
      <c r="AB56" s="481"/>
    </row>
    <row r="57">
      <c r="A57" s="481"/>
      <c r="B57" s="481"/>
      <c r="C57" s="481"/>
      <c r="D57" s="483"/>
      <c r="E57" s="481"/>
      <c r="F57" s="483"/>
      <c r="G57" s="481"/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1"/>
      <c r="AB57" s="481"/>
    </row>
    <row r="58">
      <c r="A58" s="481"/>
      <c r="B58" s="481"/>
      <c r="C58" s="481"/>
      <c r="D58" s="483"/>
      <c r="E58" s="481"/>
      <c r="F58" s="483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1"/>
      <c r="AB58" s="481"/>
    </row>
    <row r="59">
      <c r="A59" s="481"/>
      <c r="B59" s="481"/>
      <c r="C59" s="481"/>
      <c r="D59" s="483"/>
      <c r="E59" s="481"/>
      <c r="F59" s="483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1"/>
      <c r="AB59" s="481"/>
    </row>
    <row r="60">
      <c r="A60" s="481"/>
      <c r="B60" s="481"/>
      <c r="C60" s="481"/>
      <c r="D60" s="483"/>
      <c r="E60" s="481"/>
      <c r="F60" s="483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1"/>
      <c r="AB60" s="481"/>
    </row>
    <row r="61">
      <c r="A61" s="481"/>
      <c r="B61" s="481"/>
      <c r="C61" s="481"/>
      <c r="D61" s="483"/>
      <c r="E61" s="481"/>
      <c r="F61" s="483"/>
      <c r="G61" s="481"/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1"/>
      <c r="AB61" s="481"/>
    </row>
    <row r="62">
      <c r="A62" s="481"/>
      <c r="B62" s="481"/>
      <c r="C62" s="481"/>
      <c r="D62" s="483"/>
      <c r="E62" s="481"/>
      <c r="F62" s="483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1"/>
      <c r="AB62" s="481"/>
    </row>
    <row r="63">
      <c r="A63" s="481"/>
      <c r="B63" s="481"/>
      <c r="C63" s="481"/>
      <c r="D63" s="483"/>
      <c r="E63" s="481"/>
      <c r="F63" s="483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1"/>
      <c r="AB63" s="481"/>
    </row>
    <row r="64">
      <c r="A64" s="481"/>
      <c r="B64" s="481"/>
      <c r="C64" s="481"/>
      <c r="D64" s="483"/>
      <c r="E64" s="481"/>
      <c r="F64" s="483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81"/>
      <c r="AB64" s="481"/>
    </row>
    <row r="65">
      <c r="A65" s="481"/>
      <c r="B65" s="481"/>
      <c r="C65" s="481"/>
      <c r="D65" s="483"/>
      <c r="E65" s="481"/>
      <c r="F65" s="483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1"/>
      <c r="AB65" s="481"/>
    </row>
    <row r="66">
      <c r="A66" s="481"/>
      <c r="B66" s="481"/>
      <c r="C66" s="481"/>
      <c r="D66" s="483"/>
      <c r="E66" s="481"/>
      <c r="F66" s="483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1"/>
      <c r="AB66" s="481"/>
    </row>
    <row r="67">
      <c r="A67" s="481"/>
      <c r="B67" s="481"/>
      <c r="C67" s="481"/>
      <c r="D67" s="483"/>
      <c r="E67" s="481"/>
      <c r="F67" s="483"/>
      <c r="G67" s="481"/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  <c r="AA67" s="481"/>
      <c r="AB67" s="481"/>
    </row>
    <row r="68">
      <c r="A68" s="481"/>
      <c r="B68" s="481"/>
      <c r="C68" s="481"/>
      <c r="D68" s="483"/>
      <c r="E68" s="481"/>
      <c r="F68" s="483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1"/>
      <c r="AB68" s="481"/>
    </row>
    <row r="69">
      <c r="A69" s="481"/>
      <c r="B69" s="481"/>
      <c r="C69" s="481"/>
      <c r="D69" s="483"/>
      <c r="E69" s="481"/>
      <c r="F69" s="483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1"/>
      <c r="AB69" s="481"/>
    </row>
    <row r="70">
      <c r="A70" s="481"/>
      <c r="B70" s="481"/>
      <c r="C70" s="481"/>
      <c r="D70" s="483"/>
      <c r="E70" s="481"/>
      <c r="F70" s="483"/>
      <c r="G70" s="481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481"/>
    </row>
    <row r="71">
      <c r="A71" s="481"/>
      <c r="B71" s="481"/>
      <c r="C71" s="481"/>
      <c r="D71" s="483"/>
      <c r="E71" s="481"/>
      <c r="F71" s="483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1"/>
      <c r="AB71" s="481"/>
    </row>
    <row r="72">
      <c r="A72" s="481"/>
      <c r="B72" s="481"/>
      <c r="C72" s="481"/>
      <c r="D72" s="483"/>
      <c r="E72" s="481"/>
      <c r="F72" s="483"/>
      <c r="G72" s="481"/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  <c r="AA72" s="481"/>
      <c r="AB72" s="481"/>
    </row>
    <row r="73">
      <c r="A73" s="481"/>
      <c r="B73" s="481"/>
      <c r="C73" s="481"/>
      <c r="D73" s="483"/>
      <c r="E73" s="481"/>
      <c r="F73" s="483"/>
      <c r="G73" s="481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1"/>
      <c r="AA73" s="481"/>
      <c r="AB73" s="481"/>
    </row>
    <row r="74">
      <c r="A74" s="481"/>
      <c r="B74" s="481"/>
      <c r="C74" s="481"/>
      <c r="D74" s="483"/>
      <c r="E74" s="481"/>
      <c r="F74" s="483"/>
      <c r="G74" s="481"/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  <c r="AA74" s="481"/>
      <c r="AB74" s="481"/>
    </row>
    <row r="75">
      <c r="A75" s="481"/>
      <c r="B75" s="481"/>
      <c r="C75" s="481"/>
      <c r="D75" s="483"/>
      <c r="E75" s="481"/>
      <c r="F75" s="483"/>
      <c r="G75" s="481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  <c r="AA75" s="481"/>
      <c r="AB75" s="481"/>
    </row>
    <row r="76">
      <c r="A76" s="481"/>
      <c r="B76" s="481"/>
      <c r="C76" s="481"/>
      <c r="D76" s="483"/>
      <c r="E76" s="481"/>
      <c r="F76" s="483"/>
      <c r="G76" s="481"/>
      <c r="H76" s="481"/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  <c r="Z76" s="481"/>
      <c r="AA76" s="481"/>
      <c r="AB76" s="481"/>
    </row>
    <row r="77">
      <c r="A77" s="481"/>
      <c r="B77" s="481"/>
      <c r="C77" s="481"/>
      <c r="D77" s="483"/>
      <c r="E77" s="481"/>
      <c r="F77" s="483"/>
      <c r="G77" s="481"/>
      <c r="H77" s="481"/>
      <c r="I77" s="481"/>
      <c r="J77" s="481"/>
      <c r="K77" s="481"/>
      <c r="L77" s="481"/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  <c r="Z77" s="481"/>
      <c r="AA77" s="481"/>
      <c r="AB77" s="481"/>
    </row>
    <row r="78">
      <c r="A78" s="481"/>
      <c r="B78" s="481"/>
      <c r="C78" s="481"/>
      <c r="D78" s="483"/>
      <c r="E78" s="481"/>
      <c r="F78" s="483"/>
      <c r="G78" s="481"/>
      <c r="H78" s="481"/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  <c r="Z78" s="481"/>
      <c r="AA78" s="481"/>
      <c r="AB78" s="481"/>
    </row>
    <row r="79">
      <c r="A79" s="481"/>
      <c r="B79" s="481"/>
      <c r="C79" s="481"/>
      <c r="D79" s="483"/>
      <c r="E79" s="481"/>
      <c r="F79" s="483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  <c r="AA79" s="481"/>
      <c r="AB79" s="481"/>
    </row>
    <row r="80">
      <c r="A80" s="481"/>
      <c r="B80" s="481"/>
      <c r="C80" s="481"/>
      <c r="D80" s="483"/>
      <c r="E80" s="481"/>
      <c r="F80" s="483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81"/>
      <c r="AB80" s="481"/>
    </row>
    <row r="81">
      <c r="A81" s="481"/>
      <c r="B81" s="481"/>
      <c r="C81" s="481"/>
      <c r="D81" s="483"/>
      <c r="E81" s="481"/>
      <c r="F81" s="483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  <c r="AA81" s="481"/>
      <c r="AB81" s="481"/>
    </row>
    <row r="82">
      <c r="A82" s="481"/>
      <c r="B82" s="481"/>
      <c r="C82" s="481"/>
      <c r="D82" s="483"/>
      <c r="E82" s="481"/>
      <c r="F82" s="483"/>
      <c r="G82" s="481"/>
      <c r="H82" s="481"/>
      <c r="I82" s="481"/>
      <c r="J82" s="481"/>
      <c r="K82" s="481"/>
      <c r="L82" s="481"/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  <c r="Z82" s="481"/>
      <c r="AA82" s="481"/>
      <c r="AB82" s="481"/>
    </row>
    <row r="83">
      <c r="A83" s="481"/>
      <c r="B83" s="481"/>
      <c r="C83" s="481"/>
      <c r="D83" s="483"/>
      <c r="E83" s="481"/>
      <c r="F83" s="483"/>
      <c r="G83" s="481"/>
      <c r="H83" s="481"/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  <c r="Z83" s="481"/>
      <c r="AA83" s="481"/>
      <c r="AB83" s="481"/>
    </row>
    <row r="84">
      <c r="A84" s="481"/>
      <c r="B84" s="481"/>
      <c r="C84" s="481"/>
      <c r="D84" s="483"/>
      <c r="E84" s="481"/>
      <c r="F84" s="483"/>
      <c r="G84" s="481"/>
      <c r="H84" s="481"/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  <c r="Z84" s="481"/>
      <c r="AA84" s="481"/>
      <c r="AB84" s="481"/>
    </row>
    <row r="85">
      <c r="A85" s="481"/>
      <c r="B85" s="481"/>
      <c r="C85" s="481"/>
      <c r="D85" s="483"/>
      <c r="E85" s="481"/>
      <c r="F85" s="483"/>
      <c r="G85" s="481"/>
      <c r="H85" s="481"/>
      <c r="I85" s="481"/>
      <c r="J85" s="481"/>
      <c r="K85" s="481"/>
      <c r="L85" s="481"/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  <c r="Z85" s="481"/>
      <c r="AA85" s="481"/>
      <c r="AB85" s="481"/>
    </row>
    <row r="86">
      <c r="A86" s="481"/>
      <c r="B86" s="481"/>
      <c r="C86" s="481"/>
      <c r="D86" s="483"/>
      <c r="E86" s="481"/>
      <c r="F86" s="483"/>
      <c r="G86" s="481"/>
      <c r="H86" s="481"/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  <c r="Z86" s="481"/>
      <c r="AA86" s="481"/>
      <c r="AB86" s="481"/>
    </row>
    <row r="87">
      <c r="A87" s="481"/>
      <c r="B87" s="481"/>
      <c r="C87" s="481"/>
      <c r="D87" s="483"/>
      <c r="E87" s="481"/>
      <c r="F87" s="483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  <c r="Z87" s="481"/>
      <c r="AA87" s="481"/>
      <c r="AB87" s="481"/>
    </row>
    <row r="88">
      <c r="A88" s="481"/>
      <c r="B88" s="481"/>
      <c r="C88" s="481"/>
      <c r="D88" s="483"/>
      <c r="E88" s="481"/>
      <c r="F88" s="483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1"/>
      <c r="AA88" s="481"/>
      <c r="AB88" s="481"/>
    </row>
    <row r="89">
      <c r="A89" s="481"/>
      <c r="B89" s="481"/>
      <c r="C89" s="481"/>
      <c r="D89" s="483"/>
      <c r="E89" s="481"/>
      <c r="F89" s="483"/>
      <c r="G89" s="481"/>
      <c r="H89" s="481"/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  <c r="Z89" s="481"/>
      <c r="AA89" s="481"/>
      <c r="AB89" s="481"/>
    </row>
    <row r="90">
      <c r="A90" s="481"/>
      <c r="B90" s="481"/>
      <c r="C90" s="481"/>
      <c r="D90" s="483"/>
      <c r="E90" s="481"/>
      <c r="F90" s="483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  <c r="Z90" s="481"/>
      <c r="AA90" s="481"/>
      <c r="AB90" s="481"/>
    </row>
    <row r="91">
      <c r="A91" s="481"/>
      <c r="B91" s="481"/>
      <c r="C91" s="481"/>
      <c r="D91" s="483"/>
      <c r="E91" s="481"/>
      <c r="F91" s="483"/>
      <c r="G91" s="481"/>
      <c r="H91" s="481"/>
      <c r="I91" s="481"/>
      <c r="J91" s="481"/>
      <c r="K91" s="481"/>
      <c r="L91" s="481"/>
      <c r="M91" s="481"/>
      <c r="N91" s="481"/>
      <c r="O91" s="481"/>
      <c r="P91" s="481"/>
      <c r="Q91" s="481"/>
      <c r="R91" s="481"/>
      <c r="S91" s="481"/>
      <c r="T91" s="481"/>
      <c r="U91" s="481"/>
      <c r="V91" s="481"/>
      <c r="W91" s="481"/>
      <c r="X91" s="481"/>
      <c r="Y91" s="481"/>
      <c r="Z91" s="481"/>
      <c r="AA91" s="481"/>
      <c r="AB91" s="481"/>
    </row>
    <row r="92">
      <c r="A92" s="481"/>
      <c r="B92" s="481"/>
      <c r="C92" s="481"/>
      <c r="D92" s="483"/>
      <c r="E92" s="481"/>
      <c r="F92" s="483"/>
      <c r="G92" s="481"/>
      <c r="H92" s="481"/>
      <c r="I92" s="481"/>
      <c r="J92" s="481"/>
      <c r="K92" s="481"/>
      <c r="L92" s="481"/>
      <c r="M92" s="481"/>
      <c r="N92" s="481"/>
      <c r="O92" s="481"/>
      <c r="P92" s="481"/>
      <c r="Q92" s="481"/>
      <c r="R92" s="481"/>
      <c r="S92" s="481"/>
      <c r="T92" s="481"/>
      <c r="U92" s="481"/>
      <c r="V92" s="481"/>
      <c r="W92" s="481"/>
      <c r="X92" s="481"/>
      <c r="Y92" s="481"/>
      <c r="Z92" s="481"/>
      <c r="AA92" s="481"/>
      <c r="AB92" s="481"/>
    </row>
    <row r="93">
      <c r="A93" s="481"/>
      <c r="B93" s="481"/>
      <c r="C93" s="481"/>
      <c r="D93" s="483"/>
      <c r="E93" s="481"/>
      <c r="F93" s="483"/>
      <c r="G93" s="481"/>
      <c r="H93" s="481"/>
      <c r="I93" s="481"/>
      <c r="J93" s="481"/>
      <c r="K93" s="481"/>
      <c r="L93" s="481"/>
      <c r="M93" s="481"/>
      <c r="N93" s="481"/>
      <c r="O93" s="481"/>
      <c r="P93" s="481"/>
      <c r="Q93" s="481"/>
      <c r="R93" s="481"/>
      <c r="S93" s="481"/>
      <c r="T93" s="481"/>
      <c r="U93" s="481"/>
      <c r="V93" s="481"/>
      <c r="W93" s="481"/>
      <c r="X93" s="481"/>
      <c r="Y93" s="481"/>
      <c r="Z93" s="481"/>
      <c r="AA93" s="481"/>
      <c r="AB93" s="481"/>
    </row>
    <row r="94">
      <c r="A94" s="481"/>
      <c r="B94" s="481"/>
      <c r="C94" s="481"/>
      <c r="D94" s="483"/>
      <c r="E94" s="481"/>
      <c r="F94" s="483"/>
      <c r="G94" s="481"/>
      <c r="H94" s="481"/>
      <c r="I94" s="481"/>
      <c r="J94" s="481"/>
      <c r="K94" s="481"/>
      <c r="L94" s="481"/>
      <c r="M94" s="481"/>
      <c r="N94" s="481"/>
      <c r="O94" s="481"/>
      <c r="P94" s="481"/>
      <c r="Q94" s="481"/>
      <c r="R94" s="481"/>
      <c r="S94" s="481"/>
      <c r="T94" s="481"/>
      <c r="U94" s="481"/>
      <c r="V94" s="481"/>
      <c r="W94" s="481"/>
      <c r="X94" s="481"/>
      <c r="Y94" s="481"/>
      <c r="Z94" s="481"/>
      <c r="AA94" s="481"/>
      <c r="AB94" s="481"/>
    </row>
    <row r="95">
      <c r="A95" s="481"/>
      <c r="B95" s="481"/>
      <c r="C95" s="481"/>
      <c r="D95" s="483"/>
      <c r="E95" s="481"/>
      <c r="F95" s="483"/>
      <c r="G95" s="481"/>
      <c r="H95" s="481"/>
      <c r="I95" s="481"/>
      <c r="J95" s="481"/>
      <c r="K95" s="481"/>
      <c r="L95" s="481"/>
      <c r="M95" s="481"/>
      <c r="N95" s="481"/>
      <c r="O95" s="481"/>
      <c r="P95" s="481"/>
      <c r="Q95" s="481"/>
      <c r="R95" s="481"/>
      <c r="S95" s="481"/>
      <c r="T95" s="481"/>
      <c r="U95" s="481"/>
      <c r="V95" s="481"/>
      <c r="W95" s="481"/>
      <c r="X95" s="481"/>
      <c r="Y95" s="481"/>
      <c r="Z95" s="481"/>
      <c r="AA95" s="481"/>
      <c r="AB95" s="481"/>
    </row>
    <row r="96">
      <c r="A96" s="481"/>
      <c r="B96" s="481"/>
      <c r="C96" s="481"/>
      <c r="D96" s="483"/>
      <c r="E96" s="481"/>
      <c r="F96" s="483"/>
      <c r="G96" s="481"/>
      <c r="H96" s="481"/>
      <c r="I96" s="481"/>
      <c r="J96" s="481"/>
      <c r="K96" s="481"/>
      <c r="L96" s="481"/>
      <c r="M96" s="481"/>
      <c r="N96" s="481"/>
      <c r="O96" s="481"/>
      <c r="P96" s="481"/>
      <c r="Q96" s="481"/>
      <c r="R96" s="481"/>
      <c r="S96" s="481"/>
      <c r="T96" s="481"/>
      <c r="U96" s="481"/>
      <c r="V96" s="481"/>
      <c r="W96" s="481"/>
      <c r="X96" s="481"/>
      <c r="Y96" s="481"/>
      <c r="Z96" s="481"/>
      <c r="AA96" s="481"/>
      <c r="AB96" s="481"/>
    </row>
    <row r="97">
      <c r="A97" s="481"/>
      <c r="B97" s="481"/>
      <c r="C97" s="481"/>
      <c r="D97" s="483"/>
      <c r="E97" s="481"/>
      <c r="F97" s="483"/>
      <c r="G97" s="481"/>
      <c r="H97" s="481"/>
      <c r="I97" s="481"/>
      <c r="J97" s="481"/>
      <c r="K97" s="481"/>
      <c r="L97" s="481"/>
      <c r="M97" s="481"/>
      <c r="N97" s="481"/>
      <c r="O97" s="481"/>
      <c r="P97" s="481"/>
      <c r="Q97" s="481"/>
      <c r="R97" s="481"/>
      <c r="S97" s="481"/>
      <c r="T97" s="481"/>
      <c r="U97" s="481"/>
      <c r="V97" s="481"/>
      <c r="W97" s="481"/>
      <c r="X97" s="481"/>
      <c r="Y97" s="481"/>
      <c r="Z97" s="481"/>
      <c r="AA97" s="481"/>
      <c r="AB97" s="481"/>
    </row>
    <row r="98">
      <c r="A98" s="481"/>
      <c r="B98" s="481"/>
      <c r="C98" s="481"/>
      <c r="D98" s="483"/>
      <c r="E98" s="481"/>
      <c r="F98" s="483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481"/>
      <c r="Z98" s="481"/>
      <c r="AA98" s="481"/>
      <c r="AB98" s="481"/>
    </row>
    <row r="99">
      <c r="A99" s="481"/>
      <c r="B99" s="481"/>
      <c r="C99" s="481"/>
      <c r="D99" s="483"/>
      <c r="E99" s="481"/>
      <c r="F99" s="483"/>
      <c r="G99" s="481"/>
      <c r="H99" s="481"/>
      <c r="I99" s="481"/>
      <c r="J99" s="481"/>
      <c r="K99" s="481"/>
      <c r="L99" s="481"/>
      <c r="M99" s="481"/>
      <c r="N99" s="481"/>
      <c r="O99" s="481"/>
      <c r="P99" s="481"/>
      <c r="Q99" s="481"/>
      <c r="R99" s="481"/>
      <c r="S99" s="481"/>
      <c r="T99" s="481"/>
      <c r="U99" s="481"/>
      <c r="V99" s="481"/>
      <c r="W99" s="481"/>
      <c r="X99" s="481"/>
      <c r="Y99" s="481"/>
      <c r="Z99" s="481"/>
      <c r="AA99" s="481"/>
      <c r="AB99" s="481"/>
    </row>
    <row r="100">
      <c r="A100" s="481"/>
      <c r="B100" s="481"/>
      <c r="C100" s="481"/>
      <c r="D100" s="483"/>
      <c r="E100" s="481"/>
      <c r="F100" s="483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</row>
    <row r="101">
      <c r="A101" s="481"/>
      <c r="B101" s="481"/>
      <c r="C101" s="481"/>
      <c r="D101" s="483"/>
      <c r="E101" s="481"/>
      <c r="F101" s="483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481"/>
      <c r="Z101" s="481"/>
      <c r="AA101" s="481"/>
      <c r="AB101" s="481"/>
    </row>
    <row r="102">
      <c r="A102" s="481"/>
      <c r="B102" s="481"/>
      <c r="C102" s="481"/>
      <c r="D102" s="483"/>
      <c r="E102" s="481"/>
      <c r="F102" s="483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</row>
    <row r="103">
      <c r="A103" s="481"/>
      <c r="B103" s="481"/>
      <c r="C103" s="481"/>
      <c r="D103" s="483"/>
      <c r="E103" s="481"/>
      <c r="F103" s="483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1"/>
      <c r="AA103" s="481"/>
      <c r="AB103" s="481"/>
    </row>
    <row r="104">
      <c r="A104" s="481"/>
      <c r="B104" s="481"/>
      <c r="C104" s="481"/>
      <c r="D104" s="483"/>
      <c r="E104" s="481"/>
      <c r="F104" s="483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  <c r="AA104" s="481"/>
      <c r="AB104" s="481"/>
    </row>
    <row r="105">
      <c r="A105" s="481"/>
      <c r="B105" s="481"/>
      <c r="C105" s="481"/>
      <c r="D105" s="483"/>
      <c r="E105" s="481"/>
      <c r="F105" s="483"/>
      <c r="G105" s="481"/>
      <c r="H105" s="481"/>
      <c r="I105" s="481"/>
      <c r="J105" s="481"/>
      <c r="K105" s="481"/>
      <c r="L105" s="481"/>
      <c r="M105" s="481"/>
      <c r="N105" s="481"/>
      <c r="O105" s="481"/>
      <c r="P105" s="481"/>
      <c r="Q105" s="481"/>
      <c r="R105" s="481"/>
      <c r="S105" s="481"/>
      <c r="T105" s="481"/>
      <c r="U105" s="481"/>
      <c r="V105" s="481"/>
      <c r="W105" s="481"/>
      <c r="X105" s="481"/>
      <c r="Y105" s="481"/>
      <c r="Z105" s="481"/>
      <c r="AA105" s="481"/>
      <c r="AB105" s="481"/>
    </row>
    <row r="106">
      <c r="A106" s="481"/>
      <c r="B106" s="481"/>
      <c r="C106" s="481"/>
      <c r="D106" s="483"/>
      <c r="E106" s="481"/>
      <c r="F106" s="483"/>
      <c r="G106" s="481"/>
      <c r="H106" s="481"/>
      <c r="I106" s="48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1"/>
      <c r="Z106" s="481"/>
      <c r="AA106" s="481"/>
      <c r="AB106" s="481"/>
    </row>
    <row r="107">
      <c r="A107" s="481"/>
      <c r="B107" s="481"/>
      <c r="C107" s="481"/>
      <c r="D107" s="483"/>
      <c r="E107" s="481"/>
      <c r="F107" s="483"/>
      <c r="G107" s="481"/>
      <c r="H107" s="481"/>
      <c r="I107" s="481"/>
      <c r="J107" s="481"/>
      <c r="K107" s="481"/>
      <c r="L107" s="481"/>
      <c r="M107" s="481"/>
      <c r="N107" s="481"/>
      <c r="O107" s="481"/>
      <c r="P107" s="481"/>
      <c r="Q107" s="481"/>
      <c r="R107" s="481"/>
      <c r="S107" s="481"/>
      <c r="T107" s="481"/>
      <c r="U107" s="481"/>
      <c r="V107" s="481"/>
      <c r="W107" s="481"/>
      <c r="X107" s="481"/>
      <c r="Y107" s="481"/>
      <c r="Z107" s="481"/>
      <c r="AA107" s="481"/>
      <c r="AB107" s="481"/>
    </row>
    <row r="108">
      <c r="A108" s="481"/>
      <c r="B108" s="481"/>
      <c r="C108" s="481"/>
      <c r="D108" s="483"/>
      <c r="E108" s="481"/>
      <c r="F108" s="483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  <c r="Z108" s="481"/>
      <c r="AA108" s="481"/>
      <c r="AB108" s="481"/>
    </row>
    <row r="109">
      <c r="A109" s="481"/>
      <c r="B109" s="481"/>
      <c r="C109" s="481"/>
      <c r="D109" s="483"/>
      <c r="E109" s="481"/>
      <c r="F109" s="483"/>
      <c r="G109" s="481"/>
      <c r="H109" s="481"/>
      <c r="I109" s="481"/>
      <c r="J109" s="481"/>
      <c r="K109" s="481"/>
      <c r="L109" s="481"/>
      <c r="M109" s="481"/>
      <c r="N109" s="481"/>
      <c r="O109" s="481"/>
      <c r="P109" s="481"/>
      <c r="Q109" s="481"/>
      <c r="R109" s="481"/>
      <c r="S109" s="481"/>
      <c r="T109" s="481"/>
      <c r="U109" s="481"/>
      <c r="V109" s="481"/>
      <c r="W109" s="481"/>
      <c r="X109" s="481"/>
      <c r="Y109" s="481"/>
      <c r="Z109" s="481"/>
      <c r="AA109" s="481"/>
      <c r="AB109" s="481"/>
    </row>
    <row r="110">
      <c r="A110" s="481"/>
      <c r="B110" s="481"/>
      <c r="C110" s="481"/>
      <c r="D110" s="483"/>
      <c r="E110" s="481"/>
      <c r="F110" s="483"/>
      <c r="G110" s="481"/>
      <c r="H110" s="481"/>
      <c r="I110" s="481"/>
      <c r="J110" s="481"/>
      <c r="K110" s="481"/>
      <c r="L110" s="481"/>
      <c r="M110" s="481"/>
      <c r="N110" s="481"/>
      <c r="O110" s="481"/>
      <c r="P110" s="481"/>
      <c r="Q110" s="481"/>
      <c r="R110" s="481"/>
      <c r="S110" s="481"/>
      <c r="T110" s="481"/>
      <c r="U110" s="481"/>
      <c r="V110" s="481"/>
      <c r="W110" s="481"/>
      <c r="X110" s="481"/>
      <c r="Y110" s="481"/>
      <c r="Z110" s="481"/>
      <c r="AA110" s="481"/>
      <c r="AB110" s="481"/>
    </row>
    <row r="111">
      <c r="A111" s="481"/>
      <c r="B111" s="481"/>
      <c r="C111" s="481"/>
      <c r="D111" s="483"/>
      <c r="E111" s="481"/>
      <c r="F111" s="483"/>
      <c r="G111" s="481"/>
      <c r="H111" s="481"/>
      <c r="I111" s="481"/>
      <c r="J111" s="481"/>
      <c r="K111" s="481"/>
      <c r="L111" s="481"/>
      <c r="M111" s="481"/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  <c r="Z111" s="481"/>
      <c r="AA111" s="481"/>
      <c r="AB111" s="481"/>
    </row>
    <row r="112">
      <c r="A112" s="481"/>
      <c r="B112" s="481"/>
      <c r="C112" s="481"/>
      <c r="D112" s="483"/>
      <c r="E112" s="481"/>
      <c r="F112" s="483"/>
      <c r="G112" s="481"/>
      <c r="H112" s="481"/>
      <c r="I112" s="481"/>
      <c r="J112" s="481"/>
      <c r="K112" s="481"/>
      <c r="L112" s="481"/>
      <c r="M112" s="481"/>
      <c r="N112" s="481"/>
      <c r="O112" s="481"/>
      <c r="P112" s="481"/>
      <c r="Q112" s="481"/>
      <c r="R112" s="481"/>
      <c r="S112" s="481"/>
      <c r="T112" s="481"/>
      <c r="U112" s="481"/>
      <c r="V112" s="481"/>
      <c r="W112" s="481"/>
      <c r="X112" s="481"/>
      <c r="Y112" s="481"/>
      <c r="Z112" s="481"/>
      <c r="AA112" s="481"/>
      <c r="AB112" s="481"/>
    </row>
    <row r="113">
      <c r="A113" s="481"/>
      <c r="B113" s="481"/>
      <c r="C113" s="481"/>
      <c r="D113" s="483"/>
      <c r="E113" s="481"/>
      <c r="F113" s="483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  <c r="Z113" s="481"/>
      <c r="AA113" s="481"/>
      <c r="AB113" s="481"/>
    </row>
    <row r="114">
      <c r="A114" s="481"/>
      <c r="B114" s="481"/>
      <c r="C114" s="481"/>
      <c r="D114" s="483"/>
      <c r="E114" s="481"/>
      <c r="F114" s="483"/>
      <c r="G114" s="481"/>
      <c r="H114" s="481"/>
      <c r="I114" s="481"/>
      <c r="J114" s="481"/>
      <c r="K114" s="481"/>
      <c r="L114" s="481"/>
      <c r="M114" s="481"/>
      <c r="N114" s="481"/>
      <c r="O114" s="481"/>
      <c r="P114" s="481"/>
      <c r="Q114" s="481"/>
      <c r="R114" s="481"/>
      <c r="S114" s="481"/>
      <c r="T114" s="481"/>
      <c r="U114" s="481"/>
      <c r="V114" s="481"/>
      <c r="W114" s="481"/>
      <c r="X114" s="481"/>
      <c r="Y114" s="481"/>
      <c r="Z114" s="481"/>
      <c r="AA114" s="481"/>
      <c r="AB114" s="481"/>
    </row>
    <row r="115">
      <c r="A115" s="481"/>
      <c r="B115" s="481"/>
      <c r="C115" s="481"/>
      <c r="D115" s="483"/>
      <c r="E115" s="481"/>
      <c r="F115" s="483"/>
      <c r="G115" s="481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481"/>
    </row>
    <row r="116">
      <c r="A116" s="481"/>
      <c r="B116" s="481"/>
      <c r="C116" s="481"/>
      <c r="D116" s="483"/>
      <c r="E116" s="481"/>
      <c r="F116" s="483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481"/>
      <c r="S116" s="481"/>
      <c r="T116" s="481"/>
      <c r="U116" s="481"/>
      <c r="V116" s="481"/>
      <c r="W116" s="481"/>
      <c r="X116" s="481"/>
      <c r="Y116" s="481"/>
      <c r="Z116" s="481"/>
      <c r="AA116" s="481"/>
      <c r="AB116" s="481"/>
    </row>
    <row r="117">
      <c r="A117" s="481"/>
      <c r="B117" s="481"/>
      <c r="C117" s="481"/>
      <c r="D117" s="483"/>
      <c r="E117" s="481"/>
      <c r="F117" s="483"/>
      <c r="G117" s="481"/>
      <c r="H117" s="481"/>
      <c r="I117" s="481"/>
      <c r="J117" s="481"/>
      <c r="K117" s="481"/>
      <c r="L117" s="481"/>
      <c r="M117" s="481"/>
      <c r="N117" s="481"/>
      <c r="O117" s="481"/>
      <c r="P117" s="481"/>
      <c r="Q117" s="481"/>
      <c r="R117" s="481"/>
      <c r="S117" s="481"/>
      <c r="T117" s="481"/>
      <c r="U117" s="481"/>
      <c r="V117" s="481"/>
      <c r="W117" s="481"/>
      <c r="X117" s="481"/>
      <c r="Y117" s="481"/>
      <c r="Z117" s="481"/>
      <c r="AA117" s="481"/>
      <c r="AB117" s="481"/>
    </row>
    <row r="118">
      <c r="A118" s="481"/>
      <c r="B118" s="481"/>
      <c r="C118" s="481"/>
      <c r="D118" s="483"/>
      <c r="E118" s="481"/>
      <c r="F118" s="483"/>
      <c r="G118" s="481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1"/>
      <c r="AA118" s="481"/>
      <c r="AB118" s="481"/>
    </row>
    <row r="119">
      <c r="A119" s="481"/>
      <c r="B119" s="481"/>
      <c r="C119" s="481"/>
      <c r="D119" s="483"/>
      <c r="E119" s="481"/>
      <c r="F119" s="483"/>
      <c r="G119" s="481"/>
      <c r="H119" s="481"/>
      <c r="I119" s="481"/>
      <c r="J119" s="481"/>
      <c r="K119" s="481"/>
      <c r="L119" s="481"/>
      <c r="M119" s="481"/>
      <c r="N119" s="481"/>
      <c r="O119" s="481"/>
      <c r="P119" s="481"/>
      <c r="Q119" s="481"/>
      <c r="R119" s="481"/>
      <c r="S119" s="481"/>
      <c r="T119" s="481"/>
      <c r="U119" s="481"/>
      <c r="V119" s="481"/>
      <c r="W119" s="481"/>
      <c r="X119" s="481"/>
      <c r="Y119" s="481"/>
      <c r="Z119" s="481"/>
      <c r="AA119" s="481"/>
      <c r="AB119" s="481"/>
    </row>
    <row r="120">
      <c r="A120" s="481"/>
      <c r="B120" s="481"/>
      <c r="C120" s="481"/>
      <c r="D120" s="483"/>
      <c r="E120" s="481"/>
      <c r="F120" s="483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</row>
    <row r="121">
      <c r="A121" s="481"/>
      <c r="B121" s="481"/>
      <c r="C121" s="481"/>
      <c r="D121" s="483"/>
      <c r="E121" s="481"/>
      <c r="F121" s="483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  <c r="Z121" s="481"/>
      <c r="AA121" s="481"/>
      <c r="AB121" s="481"/>
    </row>
    <row r="122">
      <c r="A122" s="481"/>
      <c r="B122" s="481"/>
      <c r="C122" s="481"/>
      <c r="D122" s="483"/>
      <c r="E122" s="481"/>
      <c r="F122" s="483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</row>
    <row r="123">
      <c r="A123" s="481"/>
      <c r="B123" s="481"/>
      <c r="C123" s="481"/>
      <c r="D123" s="483"/>
      <c r="E123" s="481"/>
      <c r="F123" s="483"/>
      <c r="G123" s="481"/>
      <c r="H123" s="481"/>
      <c r="I123" s="481"/>
      <c r="J123" s="481"/>
      <c r="K123" s="481"/>
      <c r="L123" s="481"/>
      <c r="M123" s="481"/>
      <c r="N123" s="481"/>
      <c r="O123" s="481"/>
      <c r="P123" s="481"/>
      <c r="Q123" s="481"/>
      <c r="R123" s="481"/>
      <c r="S123" s="481"/>
      <c r="T123" s="481"/>
      <c r="U123" s="481"/>
      <c r="V123" s="481"/>
      <c r="W123" s="481"/>
      <c r="X123" s="481"/>
      <c r="Y123" s="481"/>
      <c r="Z123" s="481"/>
      <c r="AA123" s="481"/>
      <c r="AB123" s="481"/>
    </row>
    <row r="124">
      <c r="A124" s="481"/>
      <c r="B124" s="481"/>
      <c r="C124" s="481"/>
      <c r="D124" s="483"/>
      <c r="E124" s="481"/>
      <c r="F124" s="483"/>
      <c r="G124" s="481"/>
      <c r="H124" s="481"/>
      <c r="I124" s="481"/>
      <c r="J124" s="481"/>
      <c r="K124" s="481"/>
      <c r="L124" s="481"/>
      <c r="M124" s="481"/>
      <c r="N124" s="481"/>
      <c r="O124" s="481"/>
      <c r="P124" s="481"/>
      <c r="Q124" s="481"/>
      <c r="R124" s="481"/>
      <c r="S124" s="481"/>
      <c r="T124" s="481"/>
      <c r="U124" s="481"/>
      <c r="V124" s="481"/>
      <c r="W124" s="481"/>
      <c r="X124" s="481"/>
      <c r="Y124" s="481"/>
      <c r="Z124" s="481"/>
      <c r="AA124" s="481"/>
      <c r="AB124" s="481"/>
    </row>
    <row r="125">
      <c r="A125" s="481"/>
      <c r="B125" s="481"/>
      <c r="C125" s="481"/>
      <c r="D125" s="483"/>
      <c r="E125" s="481"/>
      <c r="F125" s="483"/>
      <c r="G125" s="481"/>
      <c r="H125" s="481"/>
      <c r="I125" s="481"/>
      <c r="J125" s="481"/>
      <c r="K125" s="481"/>
      <c r="L125" s="481"/>
      <c r="M125" s="481"/>
      <c r="N125" s="481"/>
      <c r="O125" s="481"/>
      <c r="P125" s="481"/>
      <c r="Q125" s="481"/>
      <c r="R125" s="481"/>
      <c r="S125" s="481"/>
      <c r="T125" s="481"/>
      <c r="U125" s="481"/>
      <c r="V125" s="481"/>
      <c r="W125" s="481"/>
      <c r="X125" s="481"/>
      <c r="Y125" s="481"/>
      <c r="Z125" s="481"/>
      <c r="AA125" s="481"/>
      <c r="AB125" s="481"/>
    </row>
    <row r="126">
      <c r="A126" s="481"/>
      <c r="B126" s="481"/>
      <c r="C126" s="481"/>
      <c r="D126" s="483"/>
      <c r="E126" s="481"/>
      <c r="F126" s="483"/>
      <c r="G126" s="481"/>
      <c r="H126" s="481"/>
      <c r="I126" s="481"/>
      <c r="J126" s="481"/>
      <c r="K126" s="481"/>
      <c r="L126" s="481"/>
      <c r="M126" s="481"/>
      <c r="N126" s="481"/>
      <c r="O126" s="481"/>
      <c r="P126" s="481"/>
      <c r="Q126" s="481"/>
      <c r="R126" s="481"/>
      <c r="S126" s="481"/>
      <c r="T126" s="481"/>
      <c r="U126" s="481"/>
      <c r="V126" s="481"/>
      <c r="W126" s="481"/>
      <c r="X126" s="481"/>
      <c r="Y126" s="481"/>
      <c r="Z126" s="481"/>
      <c r="AA126" s="481"/>
      <c r="AB126" s="481"/>
    </row>
    <row r="127">
      <c r="A127" s="481"/>
      <c r="B127" s="481"/>
      <c r="C127" s="481"/>
      <c r="D127" s="483"/>
      <c r="E127" s="481"/>
      <c r="F127" s="483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  <c r="Z127" s="481"/>
      <c r="AA127" s="481"/>
      <c r="AB127" s="481"/>
    </row>
    <row r="128">
      <c r="A128" s="481"/>
      <c r="B128" s="481"/>
      <c r="C128" s="481"/>
      <c r="D128" s="483"/>
      <c r="E128" s="481"/>
      <c r="F128" s="483"/>
      <c r="G128" s="481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481"/>
    </row>
    <row r="129">
      <c r="A129" s="481"/>
      <c r="B129" s="481"/>
      <c r="C129" s="481"/>
      <c r="D129" s="483"/>
      <c r="E129" s="481"/>
      <c r="F129" s="483"/>
      <c r="G129" s="481"/>
      <c r="H129" s="481"/>
      <c r="I129" s="481"/>
      <c r="J129" s="481"/>
      <c r="K129" s="481"/>
      <c r="L129" s="481"/>
      <c r="M129" s="481"/>
      <c r="N129" s="481"/>
      <c r="O129" s="481"/>
      <c r="P129" s="481"/>
      <c r="Q129" s="481"/>
      <c r="R129" s="481"/>
      <c r="S129" s="481"/>
      <c r="T129" s="481"/>
      <c r="U129" s="481"/>
      <c r="V129" s="481"/>
      <c r="W129" s="481"/>
      <c r="X129" s="481"/>
      <c r="Y129" s="481"/>
      <c r="Z129" s="481"/>
      <c r="AA129" s="481"/>
      <c r="AB129" s="481"/>
    </row>
    <row r="130">
      <c r="A130" s="481"/>
      <c r="B130" s="481"/>
      <c r="C130" s="481"/>
      <c r="D130" s="483"/>
      <c r="E130" s="481"/>
      <c r="F130" s="483"/>
      <c r="G130" s="481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1"/>
      <c r="AA130" s="481"/>
      <c r="AB130" s="481"/>
    </row>
    <row r="131">
      <c r="A131" s="481"/>
      <c r="B131" s="481"/>
      <c r="C131" s="481"/>
      <c r="D131" s="483"/>
      <c r="E131" s="481"/>
      <c r="F131" s="483"/>
      <c r="G131" s="481"/>
      <c r="H131" s="481"/>
      <c r="I131" s="481"/>
      <c r="J131" s="481"/>
      <c r="K131" s="481"/>
      <c r="L131" s="481"/>
      <c r="M131" s="481"/>
      <c r="N131" s="481"/>
      <c r="O131" s="481"/>
      <c r="P131" s="481"/>
      <c r="Q131" s="481"/>
      <c r="R131" s="481"/>
      <c r="S131" s="481"/>
      <c r="T131" s="481"/>
      <c r="U131" s="481"/>
      <c r="V131" s="481"/>
      <c r="W131" s="481"/>
      <c r="X131" s="481"/>
      <c r="Y131" s="481"/>
      <c r="Z131" s="481"/>
      <c r="AA131" s="481"/>
      <c r="AB131" s="481"/>
    </row>
    <row r="132">
      <c r="A132" s="481"/>
      <c r="B132" s="481"/>
      <c r="C132" s="481"/>
      <c r="D132" s="483"/>
      <c r="E132" s="481"/>
      <c r="F132" s="483"/>
      <c r="G132" s="481"/>
      <c r="H132" s="481"/>
      <c r="I132" s="481"/>
      <c r="J132" s="481"/>
      <c r="K132" s="481"/>
      <c r="L132" s="481"/>
      <c r="M132" s="481"/>
      <c r="N132" s="481"/>
      <c r="O132" s="481"/>
      <c r="P132" s="481"/>
      <c r="Q132" s="481"/>
      <c r="R132" s="481"/>
      <c r="S132" s="481"/>
      <c r="T132" s="481"/>
      <c r="U132" s="481"/>
      <c r="V132" s="481"/>
      <c r="W132" s="481"/>
      <c r="X132" s="481"/>
      <c r="Y132" s="481"/>
      <c r="Z132" s="481"/>
      <c r="AA132" s="481"/>
      <c r="AB132" s="481"/>
    </row>
    <row r="133">
      <c r="A133" s="481"/>
      <c r="B133" s="481"/>
      <c r="C133" s="481"/>
      <c r="D133" s="483"/>
      <c r="E133" s="481"/>
      <c r="F133" s="483"/>
      <c r="G133" s="481"/>
      <c r="H133" s="481"/>
      <c r="I133" s="481"/>
      <c r="J133" s="481"/>
      <c r="K133" s="481"/>
      <c r="L133" s="481"/>
      <c r="M133" s="481"/>
      <c r="N133" s="481"/>
      <c r="O133" s="481"/>
      <c r="P133" s="481"/>
      <c r="Q133" s="481"/>
      <c r="R133" s="481"/>
      <c r="S133" s="481"/>
      <c r="T133" s="481"/>
      <c r="U133" s="481"/>
      <c r="V133" s="481"/>
      <c r="W133" s="481"/>
      <c r="X133" s="481"/>
      <c r="Y133" s="481"/>
      <c r="Z133" s="481"/>
      <c r="AA133" s="481"/>
      <c r="AB133" s="481"/>
    </row>
    <row r="134">
      <c r="A134" s="481"/>
      <c r="B134" s="481"/>
      <c r="C134" s="481"/>
      <c r="D134" s="483"/>
      <c r="E134" s="481"/>
      <c r="F134" s="483"/>
      <c r="G134" s="481"/>
      <c r="H134" s="481"/>
      <c r="I134" s="481"/>
      <c r="J134" s="481"/>
      <c r="K134" s="481"/>
      <c r="L134" s="481"/>
      <c r="M134" s="481"/>
      <c r="N134" s="481"/>
      <c r="O134" s="481"/>
      <c r="P134" s="481"/>
      <c r="Q134" s="481"/>
      <c r="R134" s="481"/>
      <c r="S134" s="481"/>
      <c r="T134" s="481"/>
      <c r="U134" s="481"/>
      <c r="V134" s="481"/>
      <c r="W134" s="481"/>
      <c r="X134" s="481"/>
      <c r="Y134" s="481"/>
      <c r="Z134" s="481"/>
      <c r="AA134" s="481"/>
      <c r="AB134" s="481"/>
    </row>
    <row r="135">
      <c r="A135" s="481"/>
      <c r="B135" s="481"/>
      <c r="C135" s="481"/>
      <c r="D135" s="483"/>
      <c r="E135" s="481"/>
      <c r="F135" s="483"/>
      <c r="G135" s="481"/>
      <c r="H135" s="481"/>
      <c r="I135" s="481"/>
      <c r="J135" s="481"/>
      <c r="K135" s="481"/>
      <c r="L135" s="481"/>
      <c r="M135" s="481"/>
      <c r="N135" s="481"/>
      <c r="O135" s="481"/>
      <c r="P135" s="481"/>
      <c r="Q135" s="481"/>
      <c r="R135" s="481"/>
      <c r="S135" s="481"/>
      <c r="T135" s="481"/>
      <c r="U135" s="481"/>
      <c r="V135" s="481"/>
      <c r="W135" s="481"/>
      <c r="X135" s="481"/>
      <c r="Y135" s="481"/>
      <c r="Z135" s="481"/>
      <c r="AA135" s="481"/>
      <c r="AB135" s="481"/>
    </row>
    <row r="136">
      <c r="A136" s="481"/>
      <c r="B136" s="481"/>
      <c r="C136" s="481"/>
      <c r="D136" s="483"/>
      <c r="E136" s="481"/>
      <c r="F136" s="483"/>
      <c r="G136" s="481"/>
      <c r="H136" s="481"/>
      <c r="I136" s="481"/>
      <c r="J136" s="481"/>
      <c r="K136" s="481"/>
      <c r="L136" s="481"/>
      <c r="M136" s="481"/>
      <c r="N136" s="481"/>
      <c r="O136" s="481"/>
      <c r="P136" s="481"/>
      <c r="Q136" s="481"/>
      <c r="R136" s="481"/>
      <c r="S136" s="481"/>
      <c r="T136" s="481"/>
      <c r="U136" s="481"/>
      <c r="V136" s="481"/>
      <c r="W136" s="481"/>
      <c r="X136" s="481"/>
      <c r="Y136" s="481"/>
      <c r="Z136" s="481"/>
      <c r="AA136" s="481"/>
      <c r="AB136" s="481"/>
    </row>
    <row r="137">
      <c r="A137" s="481"/>
      <c r="B137" s="481"/>
      <c r="C137" s="481"/>
      <c r="D137" s="483"/>
      <c r="E137" s="481"/>
      <c r="F137" s="483"/>
      <c r="G137" s="481"/>
      <c r="H137" s="481"/>
      <c r="I137" s="481"/>
      <c r="J137" s="481"/>
      <c r="K137" s="481"/>
      <c r="L137" s="481"/>
      <c r="M137" s="481"/>
      <c r="N137" s="481"/>
      <c r="O137" s="481"/>
      <c r="P137" s="481"/>
      <c r="Q137" s="481"/>
      <c r="R137" s="481"/>
      <c r="S137" s="481"/>
      <c r="T137" s="481"/>
      <c r="U137" s="481"/>
      <c r="V137" s="481"/>
      <c r="W137" s="481"/>
      <c r="X137" s="481"/>
      <c r="Y137" s="481"/>
      <c r="Z137" s="481"/>
      <c r="AA137" s="481"/>
      <c r="AB137" s="481"/>
    </row>
    <row r="138">
      <c r="A138" s="481"/>
      <c r="B138" s="481"/>
      <c r="C138" s="481"/>
      <c r="D138" s="483"/>
      <c r="E138" s="481"/>
      <c r="F138" s="483"/>
      <c r="G138" s="481"/>
      <c r="H138" s="481"/>
      <c r="I138" s="481"/>
      <c r="J138" s="481"/>
      <c r="K138" s="481"/>
      <c r="L138" s="481"/>
      <c r="M138" s="481"/>
      <c r="N138" s="481"/>
      <c r="O138" s="481"/>
      <c r="P138" s="481"/>
      <c r="Q138" s="481"/>
      <c r="R138" s="481"/>
      <c r="S138" s="481"/>
      <c r="T138" s="481"/>
      <c r="U138" s="481"/>
      <c r="V138" s="481"/>
      <c r="W138" s="481"/>
      <c r="X138" s="481"/>
      <c r="Y138" s="481"/>
      <c r="Z138" s="481"/>
      <c r="AA138" s="481"/>
      <c r="AB138" s="481"/>
    </row>
    <row r="139">
      <c r="A139" s="481"/>
      <c r="B139" s="481"/>
      <c r="C139" s="481"/>
      <c r="D139" s="483"/>
      <c r="E139" s="481"/>
      <c r="F139" s="483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1"/>
      <c r="U139" s="481"/>
      <c r="V139" s="481"/>
      <c r="W139" s="481"/>
      <c r="X139" s="481"/>
      <c r="Y139" s="481"/>
      <c r="Z139" s="481"/>
      <c r="AA139" s="481"/>
      <c r="AB139" s="481"/>
    </row>
    <row r="140">
      <c r="A140" s="481"/>
      <c r="B140" s="481"/>
      <c r="C140" s="481"/>
      <c r="D140" s="483"/>
      <c r="E140" s="481"/>
      <c r="F140" s="483"/>
      <c r="G140" s="481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  <c r="Z140" s="481"/>
      <c r="AA140" s="481"/>
      <c r="AB140" s="481"/>
    </row>
    <row r="141">
      <c r="A141" s="481"/>
      <c r="B141" s="481"/>
      <c r="C141" s="481"/>
      <c r="D141" s="483"/>
      <c r="E141" s="481"/>
      <c r="F141" s="483"/>
      <c r="G141" s="481"/>
      <c r="H141" s="481"/>
      <c r="I141" s="481"/>
      <c r="J141" s="481"/>
      <c r="K141" s="481"/>
      <c r="L141" s="481"/>
      <c r="M141" s="481"/>
      <c r="N141" s="481"/>
      <c r="O141" s="481"/>
      <c r="P141" s="481"/>
      <c r="Q141" s="481"/>
      <c r="R141" s="481"/>
      <c r="S141" s="481"/>
      <c r="T141" s="481"/>
      <c r="U141" s="481"/>
      <c r="V141" s="481"/>
      <c r="W141" s="481"/>
      <c r="X141" s="481"/>
      <c r="Y141" s="481"/>
      <c r="Z141" s="481"/>
      <c r="AA141" s="481"/>
      <c r="AB141" s="481"/>
    </row>
    <row r="142">
      <c r="A142" s="481"/>
      <c r="B142" s="481"/>
      <c r="C142" s="481"/>
      <c r="D142" s="483"/>
      <c r="E142" s="481"/>
      <c r="F142" s="483"/>
      <c r="G142" s="481"/>
      <c r="H142" s="481"/>
      <c r="I142" s="481"/>
      <c r="J142" s="481"/>
      <c r="K142" s="481"/>
      <c r="L142" s="481"/>
      <c r="M142" s="481"/>
      <c r="N142" s="481"/>
      <c r="O142" s="481"/>
      <c r="P142" s="481"/>
      <c r="Q142" s="481"/>
      <c r="R142" s="481"/>
      <c r="S142" s="481"/>
      <c r="T142" s="481"/>
      <c r="U142" s="481"/>
      <c r="V142" s="481"/>
      <c r="W142" s="481"/>
      <c r="X142" s="481"/>
      <c r="Y142" s="481"/>
      <c r="Z142" s="481"/>
      <c r="AA142" s="481"/>
      <c r="AB142" s="481"/>
    </row>
    <row r="143">
      <c r="A143" s="481"/>
      <c r="B143" s="481"/>
      <c r="C143" s="481"/>
      <c r="D143" s="483"/>
      <c r="E143" s="481"/>
      <c r="F143" s="483"/>
      <c r="G143" s="481"/>
      <c r="H143" s="481"/>
      <c r="I143" s="481"/>
      <c r="J143" s="481"/>
      <c r="K143" s="481"/>
      <c r="L143" s="481"/>
      <c r="M143" s="481"/>
      <c r="N143" s="481"/>
      <c r="O143" s="481"/>
      <c r="P143" s="481"/>
      <c r="Q143" s="481"/>
      <c r="R143" s="481"/>
      <c r="S143" s="481"/>
      <c r="T143" s="481"/>
      <c r="U143" s="481"/>
      <c r="V143" s="481"/>
      <c r="W143" s="481"/>
      <c r="X143" s="481"/>
      <c r="Y143" s="481"/>
      <c r="Z143" s="481"/>
      <c r="AA143" s="481"/>
      <c r="AB143" s="481"/>
    </row>
    <row r="144">
      <c r="A144" s="481"/>
      <c r="B144" s="481"/>
      <c r="C144" s="481"/>
      <c r="D144" s="483"/>
      <c r="E144" s="481"/>
      <c r="F144" s="483"/>
      <c r="G144" s="481"/>
      <c r="H144" s="481"/>
      <c r="I144" s="481"/>
      <c r="J144" s="481"/>
      <c r="K144" s="481"/>
      <c r="L144" s="481"/>
      <c r="M144" s="481"/>
      <c r="N144" s="481"/>
      <c r="O144" s="481"/>
      <c r="P144" s="481"/>
      <c r="Q144" s="481"/>
      <c r="R144" s="481"/>
      <c r="S144" s="481"/>
      <c r="T144" s="481"/>
      <c r="U144" s="481"/>
      <c r="V144" s="481"/>
      <c r="W144" s="481"/>
      <c r="X144" s="481"/>
      <c r="Y144" s="481"/>
      <c r="Z144" s="481"/>
      <c r="AA144" s="481"/>
      <c r="AB144" s="481"/>
    </row>
    <row r="145">
      <c r="A145" s="481"/>
      <c r="B145" s="481"/>
      <c r="C145" s="481"/>
      <c r="D145" s="483"/>
      <c r="E145" s="481"/>
      <c r="F145" s="483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1"/>
      <c r="V145" s="481"/>
      <c r="W145" s="481"/>
      <c r="X145" s="481"/>
      <c r="Y145" s="481"/>
      <c r="Z145" s="481"/>
      <c r="AA145" s="481"/>
      <c r="AB145" s="481"/>
    </row>
    <row r="146">
      <c r="A146" s="481"/>
      <c r="B146" s="481"/>
      <c r="C146" s="481"/>
      <c r="D146" s="483"/>
      <c r="E146" s="481"/>
      <c r="F146" s="483"/>
      <c r="G146" s="481"/>
      <c r="H146" s="481"/>
      <c r="I146" s="481"/>
      <c r="J146" s="481"/>
      <c r="K146" s="481"/>
      <c r="L146" s="481"/>
      <c r="M146" s="481"/>
      <c r="N146" s="481"/>
      <c r="O146" s="481"/>
      <c r="P146" s="481"/>
      <c r="Q146" s="481"/>
      <c r="R146" s="481"/>
      <c r="S146" s="481"/>
      <c r="T146" s="481"/>
      <c r="U146" s="481"/>
      <c r="V146" s="481"/>
      <c r="W146" s="481"/>
      <c r="X146" s="481"/>
      <c r="Y146" s="481"/>
      <c r="Z146" s="481"/>
      <c r="AA146" s="481"/>
      <c r="AB146" s="481"/>
    </row>
    <row r="147">
      <c r="A147" s="481"/>
      <c r="B147" s="481"/>
      <c r="C147" s="481"/>
      <c r="D147" s="483"/>
      <c r="E147" s="481"/>
      <c r="F147" s="483"/>
      <c r="G147" s="481"/>
      <c r="H147" s="481"/>
      <c r="I147" s="481"/>
      <c r="J147" s="481"/>
      <c r="K147" s="481"/>
      <c r="L147" s="481"/>
      <c r="M147" s="481"/>
      <c r="N147" s="481"/>
      <c r="O147" s="481"/>
      <c r="P147" s="481"/>
      <c r="Q147" s="481"/>
      <c r="R147" s="481"/>
      <c r="S147" s="481"/>
      <c r="T147" s="481"/>
      <c r="U147" s="481"/>
      <c r="V147" s="481"/>
      <c r="W147" s="481"/>
      <c r="X147" s="481"/>
      <c r="Y147" s="481"/>
      <c r="Z147" s="481"/>
      <c r="AA147" s="481"/>
      <c r="AB147" s="481"/>
    </row>
    <row r="148">
      <c r="A148" s="481"/>
      <c r="B148" s="481"/>
      <c r="C148" s="481"/>
      <c r="D148" s="483"/>
      <c r="E148" s="481"/>
      <c r="F148" s="483"/>
      <c r="G148" s="481"/>
      <c r="H148" s="481"/>
      <c r="I148" s="481"/>
      <c r="J148" s="481"/>
      <c r="K148" s="481"/>
      <c r="L148" s="481"/>
      <c r="M148" s="481"/>
      <c r="N148" s="481"/>
      <c r="O148" s="481"/>
      <c r="P148" s="481"/>
      <c r="Q148" s="481"/>
      <c r="R148" s="481"/>
      <c r="S148" s="481"/>
      <c r="T148" s="481"/>
      <c r="U148" s="481"/>
      <c r="V148" s="481"/>
      <c r="W148" s="481"/>
      <c r="X148" s="481"/>
      <c r="Y148" s="481"/>
      <c r="Z148" s="481"/>
      <c r="AA148" s="481"/>
      <c r="AB148" s="481"/>
    </row>
    <row r="149">
      <c r="A149" s="481"/>
      <c r="B149" s="481"/>
      <c r="C149" s="481"/>
      <c r="D149" s="483"/>
      <c r="E149" s="481"/>
      <c r="F149" s="483"/>
      <c r="G149" s="481"/>
      <c r="H149" s="481"/>
      <c r="I149" s="481"/>
      <c r="J149" s="481"/>
      <c r="K149" s="481"/>
      <c r="L149" s="481"/>
      <c r="M149" s="481"/>
      <c r="N149" s="481"/>
      <c r="O149" s="481"/>
      <c r="P149" s="481"/>
      <c r="Q149" s="481"/>
      <c r="R149" s="481"/>
      <c r="S149" s="481"/>
      <c r="T149" s="481"/>
      <c r="U149" s="481"/>
      <c r="V149" s="481"/>
      <c r="W149" s="481"/>
      <c r="X149" s="481"/>
      <c r="Y149" s="481"/>
      <c r="Z149" s="481"/>
      <c r="AA149" s="481"/>
      <c r="AB149" s="481"/>
    </row>
    <row r="150">
      <c r="A150" s="481"/>
      <c r="B150" s="481"/>
      <c r="C150" s="481"/>
      <c r="D150" s="483"/>
      <c r="E150" s="481"/>
      <c r="F150" s="483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1"/>
      <c r="V150" s="481"/>
      <c r="W150" s="481"/>
      <c r="X150" s="481"/>
      <c r="Y150" s="481"/>
      <c r="Z150" s="481"/>
      <c r="AA150" s="481"/>
      <c r="AB150" s="481"/>
    </row>
    <row r="151">
      <c r="A151" s="481"/>
      <c r="B151" s="481"/>
      <c r="C151" s="481"/>
      <c r="D151" s="483"/>
      <c r="E151" s="481"/>
      <c r="F151" s="483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</row>
    <row r="152">
      <c r="A152" s="481"/>
      <c r="B152" s="481"/>
      <c r="C152" s="481"/>
      <c r="D152" s="483"/>
      <c r="E152" s="481"/>
      <c r="F152" s="483"/>
      <c r="G152" s="481"/>
      <c r="H152" s="481"/>
      <c r="I152" s="481"/>
      <c r="J152" s="481"/>
      <c r="K152" s="481"/>
      <c r="L152" s="481"/>
      <c r="M152" s="481"/>
      <c r="N152" s="481"/>
      <c r="O152" s="481"/>
      <c r="P152" s="481"/>
      <c r="Q152" s="481"/>
      <c r="R152" s="481"/>
      <c r="S152" s="481"/>
      <c r="T152" s="481"/>
      <c r="U152" s="481"/>
      <c r="V152" s="481"/>
      <c r="W152" s="481"/>
      <c r="X152" s="481"/>
      <c r="Y152" s="481"/>
      <c r="Z152" s="481"/>
      <c r="AA152" s="481"/>
      <c r="AB152" s="481"/>
    </row>
    <row r="153">
      <c r="A153" s="481"/>
      <c r="B153" s="481"/>
      <c r="C153" s="481"/>
      <c r="D153" s="483"/>
      <c r="E153" s="481"/>
      <c r="F153" s="483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</row>
    <row r="154">
      <c r="A154" s="481"/>
      <c r="B154" s="481"/>
      <c r="C154" s="481"/>
      <c r="D154" s="483"/>
      <c r="E154" s="481"/>
      <c r="F154" s="483"/>
      <c r="G154" s="481"/>
      <c r="H154" s="481"/>
      <c r="I154" s="481"/>
      <c r="J154" s="481"/>
      <c r="K154" s="481"/>
      <c r="L154" s="481"/>
      <c r="M154" s="481"/>
      <c r="N154" s="481"/>
      <c r="O154" s="481"/>
      <c r="P154" s="481"/>
      <c r="Q154" s="481"/>
      <c r="R154" s="481"/>
      <c r="S154" s="481"/>
      <c r="T154" s="481"/>
      <c r="U154" s="481"/>
      <c r="V154" s="481"/>
      <c r="W154" s="481"/>
      <c r="X154" s="481"/>
      <c r="Y154" s="481"/>
      <c r="Z154" s="481"/>
      <c r="AA154" s="481"/>
      <c r="AB154" s="481"/>
    </row>
    <row r="155">
      <c r="A155" s="481"/>
      <c r="B155" s="481"/>
      <c r="C155" s="481"/>
      <c r="D155" s="483"/>
      <c r="E155" s="481"/>
      <c r="F155" s="483"/>
      <c r="G155" s="481"/>
      <c r="H155" s="481"/>
      <c r="I155" s="481"/>
      <c r="J155" s="481"/>
      <c r="K155" s="481"/>
      <c r="L155" s="481"/>
      <c r="M155" s="481"/>
      <c r="N155" s="481"/>
      <c r="O155" s="481"/>
      <c r="P155" s="481"/>
      <c r="Q155" s="481"/>
      <c r="R155" s="481"/>
      <c r="S155" s="481"/>
      <c r="T155" s="481"/>
      <c r="U155" s="481"/>
      <c r="V155" s="481"/>
      <c r="W155" s="481"/>
      <c r="X155" s="481"/>
      <c r="Y155" s="481"/>
      <c r="Z155" s="481"/>
      <c r="AA155" s="481"/>
      <c r="AB155" s="481"/>
    </row>
    <row r="156">
      <c r="A156" s="481"/>
      <c r="B156" s="481"/>
      <c r="C156" s="481"/>
      <c r="D156" s="483"/>
      <c r="E156" s="481"/>
      <c r="F156" s="483"/>
      <c r="G156" s="481"/>
      <c r="H156" s="481"/>
      <c r="I156" s="481"/>
      <c r="J156" s="481"/>
      <c r="K156" s="481"/>
      <c r="L156" s="481"/>
      <c r="M156" s="481"/>
      <c r="N156" s="481"/>
      <c r="O156" s="481"/>
      <c r="P156" s="481"/>
      <c r="Q156" s="481"/>
      <c r="R156" s="481"/>
      <c r="S156" s="481"/>
      <c r="T156" s="481"/>
      <c r="U156" s="481"/>
      <c r="V156" s="481"/>
      <c r="W156" s="481"/>
      <c r="X156" s="481"/>
      <c r="Y156" s="481"/>
      <c r="Z156" s="481"/>
      <c r="AA156" s="481"/>
      <c r="AB156" s="481"/>
    </row>
    <row r="157">
      <c r="A157" s="481"/>
      <c r="B157" s="481"/>
      <c r="C157" s="481"/>
      <c r="D157" s="483"/>
      <c r="E157" s="481"/>
      <c r="F157" s="483"/>
      <c r="G157" s="481"/>
      <c r="H157" s="481"/>
      <c r="I157" s="481"/>
      <c r="J157" s="481"/>
      <c r="K157" s="481"/>
      <c r="L157" s="481"/>
      <c r="M157" s="481"/>
      <c r="N157" s="481"/>
      <c r="O157" s="481"/>
      <c r="P157" s="481"/>
      <c r="Q157" s="481"/>
      <c r="R157" s="481"/>
      <c r="S157" s="481"/>
      <c r="T157" s="481"/>
      <c r="U157" s="481"/>
      <c r="V157" s="481"/>
      <c r="W157" s="481"/>
      <c r="X157" s="481"/>
      <c r="Y157" s="481"/>
      <c r="Z157" s="481"/>
      <c r="AA157" s="481"/>
      <c r="AB157" s="481"/>
    </row>
    <row r="158">
      <c r="A158" s="481"/>
      <c r="B158" s="481"/>
      <c r="C158" s="481"/>
      <c r="D158" s="483"/>
      <c r="E158" s="481"/>
      <c r="F158" s="483"/>
      <c r="G158" s="481"/>
      <c r="H158" s="481"/>
      <c r="I158" s="481"/>
      <c r="J158" s="481"/>
      <c r="K158" s="481"/>
      <c r="L158" s="481"/>
      <c r="M158" s="481"/>
      <c r="N158" s="481"/>
      <c r="O158" s="481"/>
      <c r="P158" s="481"/>
      <c r="Q158" s="481"/>
      <c r="R158" s="481"/>
      <c r="S158" s="481"/>
      <c r="T158" s="481"/>
      <c r="U158" s="481"/>
      <c r="V158" s="481"/>
      <c r="W158" s="481"/>
      <c r="X158" s="481"/>
      <c r="Y158" s="481"/>
      <c r="Z158" s="481"/>
      <c r="AA158" s="481"/>
      <c r="AB158" s="481"/>
    </row>
    <row r="159">
      <c r="A159" s="481"/>
      <c r="B159" s="481"/>
      <c r="C159" s="481"/>
      <c r="D159" s="483"/>
      <c r="E159" s="481"/>
      <c r="F159" s="483"/>
      <c r="G159" s="481"/>
      <c r="H159" s="481"/>
      <c r="I159" s="481"/>
      <c r="J159" s="481"/>
      <c r="K159" s="481"/>
      <c r="L159" s="481"/>
      <c r="M159" s="481"/>
      <c r="N159" s="481"/>
      <c r="O159" s="481"/>
      <c r="P159" s="481"/>
      <c r="Q159" s="481"/>
      <c r="R159" s="481"/>
      <c r="S159" s="481"/>
      <c r="T159" s="481"/>
      <c r="U159" s="481"/>
      <c r="V159" s="481"/>
      <c r="W159" s="481"/>
      <c r="X159" s="481"/>
      <c r="Y159" s="481"/>
      <c r="Z159" s="481"/>
      <c r="AA159" s="481"/>
      <c r="AB159" s="481"/>
    </row>
    <row r="160">
      <c r="A160" s="481"/>
      <c r="B160" s="481"/>
      <c r="C160" s="481"/>
      <c r="D160" s="483"/>
      <c r="E160" s="481"/>
      <c r="F160" s="483"/>
      <c r="G160" s="481"/>
      <c r="H160" s="481"/>
      <c r="I160" s="481"/>
      <c r="J160" s="481"/>
      <c r="K160" s="481"/>
      <c r="L160" s="481"/>
      <c r="M160" s="481"/>
      <c r="N160" s="481"/>
      <c r="O160" s="481"/>
      <c r="P160" s="481"/>
      <c r="Q160" s="481"/>
      <c r="R160" s="481"/>
      <c r="S160" s="481"/>
      <c r="T160" s="481"/>
      <c r="U160" s="481"/>
      <c r="V160" s="481"/>
      <c r="W160" s="481"/>
      <c r="X160" s="481"/>
      <c r="Y160" s="481"/>
      <c r="Z160" s="481"/>
      <c r="AA160" s="481"/>
      <c r="AB160" s="481"/>
    </row>
    <row r="161">
      <c r="A161" s="481"/>
      <c r="B161" s="481"/>
      <c r="C161" s="481"/>
      <c r="D161" s="483"/>
      <c r="E161" s="481"/>
      <c r="F161" s="483"/>
      <c r="G161" s="481"/>
      <c r="H161" s="481"/>
      <c r="I161" s="481"/>
      <c r="J161" s="481"/>
      <c r="K161" s="481"/>
      <c r="L161" s="481"/>
      <c r="M161" s="481"/>
      <c r="N161" s="481"/>
      <c r="O161" s="481"/>
      <c r="P161" s="481"/>
      <c r="Q161" s="481"/>
      <c r="R161" s="481"/>
      <c r="S161" s="481"/>
      <c r="T161" s="481"/>
      <c r="U161" s="481"/>
      <c r="V161" s="481"/>
      <c r="W161" s="481"/>
      <c r="X161" s="481"/>
      <c r="Y161" s="481"/>
      <c r="Z161" s="481"/>
      <c r="AA161" s="481"/>
      <c r="AB161" s="481"/>
    </row>
    <row r="162">
      <c r="A162" s="481"/>
      <c r="B162" s="481"/>
      <c r="C162" s="481"/>
      <c r="D162" s="483"/>
      <c r="E162" s="481"/>
      <c r="F162" s="483"/>
      <c r="G162" s="481"/>
      <c r="H162" s="481"/>
      <c r="I162" s="481"/>
      <c r="J162" s="481"/>
      <c r="K162" s="481"/>
      <c r="L162" s="481"/>
      <c r="M162" s="481"/>
      <c r="N162" s="481"/>
      <c r="O162" s="481"/>
      <c r="P162" s="481"/>
      <c r="Q162" s="481"/>
      <c r="R162" s="481"/>
      <c r="S162" s="481"/>
      <c r="T162" s="481"/>
      <c r="U162" s="481"/>
      <c r="V162" s="481"/>
      <c r="W162" s="481"/>
      <c r="X162" s="481"/>
      <c r="Y162" s="481"/>
      <c r="Z162" s="481"/>
      <c r="AA162" s="481"/>
      <c r="AB162" s="481"/>
    </row>
    <row r="163">
      <c r="A163" s="481"/>
      <c r="B163" s="481"/>
      <c r="C163" s="481"/>
      <c r="D163" s="483"/>
      <c r="E163" s="481"/>
      <c r="F163" s="483"/>
      <c r="G163" s="481"/>
      <c r="H163" s="481"/>
      <c r="I163" s="481"/>
      <c r="J163" s="481"/>
      <c r="K163" s="481"/>
      <c r="L163" s="481"/>
      <c r="M163" s="481"/>
      <c r="N163" s="481"/>
      <c r="O163" s="481"/>
      <c r="P163" s="481"/>
      <c r="Q163" s="481"/>
      <c r="R163" s="481"/>
      <c r="S163" s="481"/>
      <c r="T163" s="481"/>
      <c r="U163" s="481"/>
      <c r="V163" s="481"/>
      <c r="W163" s="481"/>
      <c r="X163" s="481"/>
      <c r="Y163" s="481"/>
      <c r="Z163" s="481"/>
      <c r="AA163" s="481"/>
      <c r="AB163" s="481"/>
    </row>
    <row r="164">
      <c r="A164" s="481"/>
      <c r="B164" s="481"/>
      <c r="C164" s="481"/>
      <c r="D164" s="483"/>
      <c r="E164" s="481"/>
      <c r="F164" s="483"/>
      <c r="G164" s="481"/>
      <c r="H164" s="481"/>
      <c r="I164" s="481"/>
      <c r="J164" s="481"/>
      <c r="K164" s="481"/>
      <c r="L164" s="481"/>
      <c r="M164" s="481"/>
      <c r="N164" s="481"/>
      <c r="O164" s="481"/>
      <c r="P164" s="481"/>
      <c r="Q164" s="481"/>
      <c r="R164" s="481"/>
      <c r="S164" s="481"/>
      <c r="T164" s="481"/>
      <c r="U164" s="481"/>
      <c r="V164" s="481"/>
      <c r="W164" s="481"/>
      <c r="X164" s="481"/>
      <c r="Y164" s="481"/>
      <c r="Z164" s="481"/>
      <c r="AA164" s="481"/>
      <c r="AB164" s="481"/>
    </row>
    <row r="165">
      <c r="A165" s="481"/>
      <c r="B165" s="481"/>
      <c r="C165" s="481"/>
      <c r="D165" s="483"/>
      <c r="E165" s="481"/>
      <c r="F165" s="483"/>
      <c r="G165" s="481"/>
      <c r="H165" s="481"/>
      <c r="I165" s="481"/>
      <c r="J165" s="481"/>
      <c r="K165" s="481"/>
      <c r="L165" s="481"/>
      <c r="M165" s="481"/>
      <c r="N165" s="481"/>
      <c r="O165" s="481"/>
      <c r="P165" s="481"/>
      <c r="Q165" s="481"/>
      <c r="R165" s="481"/>
      <c r="S165" s="481"/>
      <c r="T165" s="481"/>
      <c r="U165" s="481"/>
      <c r="V165" s="481"/>
      <c r="W165" s="481"/>
      <c r="X165" s="481"/>
      <c r="Y165" s="481"/>
      <c r="Z165" s="481"/>
      <c r="AA165" s="481"/>
      <c r="AB165" s="481"/>
    </row>
    <row r="166">
      <c r="A166" s="481"/>
      <c r="B166" s="481"/>
      <c r="C166" s="481"/>
      <c r="D166" s="483"/>
      <c r="E166" s="481"/>
      <c r="F166" s="483"/>
      <c r="G166" s="481"/>
      <c r="H166" s="481"/>
      <c r="I166" s="481"/>
      <c r="J166" s="481"/>
      <c r="K166" s="481"/>
      <c r="L166" s="481"/>
      <c r="M166" s="481"/>
      <c r="N166" s="481"/>
      <c r="O166" s="481"/>
      <c r="P166" s="481"/>
      <c r="Q166" s="481"/>
      <c r="R166" s="481"/>
      <c r="S166" s="481"/>
      <c r="T166" s="481"/>
      <c r="U166" s="481"/>
      <c r="V166" s="481"/>
      <c r="W166" s="481"/>
      <c r="X166" s="481"/>
      <c r="Y166" s="481"/>
      <c r="Z166" s="481"/>
      <c r="AA166" s="481"/>
      <c r="AB166" s="481"/>
    </row>
    <row r="167">
      <c r="A167" s="481"/>
      <c r="B167" s="481"/>
      <c r="C167" s="481"/>
      <c r="D167" s="483"/>
      <c r="E167" s="481"/>
      <c r="F167" s="483"/>
      <c r="G167" s="481"/>
      <c r="H167" s="481"/>
      <c r="I167" s="481"/>
      <c r="J167" s="481"/>
      <c r="K167" s="481"/>
      <c r="L167" s="481"/>
      <c r="M167" s="481"/>
      <c r="N167" s="481"/>
      <c r="O167" s="481"/>
      <c r="P167" s="481"/>
      <c r="Q167" s="481"/>
      <c r="R167" s="481"/>
      <c r="S167" s="481"/>
      <c r="T167" s="481"/>
      <c r="U167" s="481"/>
      <c r="V167" s="481"/>
      <c r="W167" s="481"/>
      <c r="X167" s="481"/>
      <c r="Y167" s="481"/>
      <c r="Z167" s="481"/>
      <c r="AA167" s="481"/>
      <c r="AB167" s="481"/>
    </row>
    <row r="168">
      <c r="A168" s="481"/>
      <c r="B168" s="481"/>
      <c r="C168" s="481"/>
      <c r="D168" s="483"/>
      <c r="E168" s="481"/>
      <c r="F168" s="483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1"/>
      <c r="V168" s="481"/>
      <c r="W168" s="481"/>
      <c r="X168" s="481"/>
      <c r="Y168" s="481"/>
      <c r="Z168" s="481"/>
      <c r="AA168" s="481"/>
      <c r="AB168" s="481"/>
    </row>
    <row r="169">
      <c r="A169" s="481"/>
      <c r="B169" s="481"/>
      <c r="C169" s="481"/>
      <c r="D169" s="483"/>
      <c r="E169" s="481"/>
      <c r="F169" s="483"/>
      <c r="G169" s="481"/>
      <c r="H169" s="481"/>
      <c r="I169" s="481"/>
      <c r="J169" s="481"/>
      <c r="K169" s="481"/>
      <c r="L169" s="481"/>
      <c r="M169" s="481"/>
      <c r="N169" s="481"/>
      <c r="O169" s="481"/>
      <c r="P169" s="481"/>
      <c r="Q169" s="481"/>
      <c r="R169" s="481"/>
      <c r="S169" s="481"/>
      <c r="T169" s="481"/>
      <c r="U169" s="481"/>
      <c r="V169" s="481"/>
      <c r="W169" s="481"/>
      <c r="X169" s="481"/>
      <c r="Y169" s="481"/>
      <c r="Z169" s="481"/>
      <c r="AA169" s="481"/>
      <c r="AB169" s="481"/>
    </row>
    <row r="170">
      <c r="A170" s="481"/>
      <c r="B170" s="481"/>
      <c r="C170" s="481"/>
      <c r="D170" s="483"/>
      <c r="E170" s="481"/>
      <c r="F170" s="483"/>
      <c r="G170" s="481"/>
      <c r="H170" s="481"/>
      <c r="I170" s="481"/>
      <c r="J170" s="481"/>
      <c r="K170" s="481"/>
      <c r="L170" s="481"/>
      <c r="M170" s="481"/>
      <c r="N170" s="481"/>
      <c r="O170" s="481"/>
      <c r="P170" s="481"/>
      <c r="Q170" s="481"/>
      <c r="R170" s="481"/>
      <c r="S170" s="481"/>
      <c r="T170" s="481"/>
      <c r="U170" s="481"/>
      <c r="V170" s="481"/>
      <c r="W170" s="481"/>
      <c r="X170" s="481"/>
      <c r="Y170" s="481"/>
      <c r="Z170" s="481"/>
      <c r="AA170" s="481"/>
      <c r="AB170" s="481"/>
    </row>
    <row r="171">
      <c r="A171" s="481"/>
      <c r="B171" s="481"/>
      <c r="C171" s="481"/>
      <c r="D171" s="483"/>
      <c r="E171" s="481"/>
      <c r="F171" s="483"/>
      <c r="G171" s="481"/>
      <c r="H171" s="481"/>
      <c r="I171" s="481"/>
      <c r="J171" s="481"/>
      <c r="K171" s="481"/>
      <c r="L171" s="481"/>
      <c r="M171" s="481"/>
      <c r="N171" s="481"/>
      <c r="O171" s="481"/>
      <c r="P171" s="481"/>
      <c r="Q171" s="481"/>
      <c r="R171" s="481"/>
      <c r="S171" s="481"/>
      <c r="T171" s="481"/>
      <c r="U171" s="481"/>
      <c r="V171" s="481"/>
      <c r="W171" s="481"/>
      <c r="X171" s="481"/>
      <c r="Y171" s="481"/>
      <c r="Z171" s="481"/>
      <c r="AA171" s="481"/>
      <c r="AB171" s="481"/>
    </row>
    <row r="172">
      <c r="A172" s="481"/>
      <c r="B172" s="481"/>
      <c r="C172" s="481"/>
      <c r="D172" s="483"/>
      <c r="E172" s="481"/>
      <c r="F172" s="483"/>
      <c r="G172" s="481"/>
      <c r="H172" s="481"/>
      <c r="I172" s="481"/>
      <c r="J172" s="481"/>
      <c r="K172" s="481"/>
      <c r="L172" s="481"/>
      <c r="M172" s="481"/>
      <c r="N172" s="481"/>
      <c r="O172" s="481"/>
      <c r="P172" s="481"/>
      <c r="Q172" s="481"/>
      <c r="R172" s="481"/>
      <c r="S172" s="481"/>
      <c r="T172" s="481"/>
      <c r="U172" s="481"/>
      <c r="V172" s="481"/>
      <c r="W172" s="481"/>
      <c r="X172" s="481"/>
      <c r="Y172" s="481"/>
      <c r="Z172" s="481"/>
      <c r="AA172" s="481"/>
      <c r="AB172" s="481"/>
    </row>
    <row r="173">
      <c r="A173" s="481"/>
      <c r="B173" s="481"/>
      <c r="C173" s="481"/>
      <c r="D173" s="483"/>
      <c r="E173" s="481"/>
      <c r="F173" s="483"/>
      <c r="G173" s="481"/>
      <c r="H173" s="481"/>
      <c r="I173" s="481"/>
      <c r="J173" s="481"/>
      <c r="K173" s="481"/>
      <c r="L173" s="481"/>
      <c r="M173" s="481"/>
      <c r="N173" s="481"/>
      <c r="O173" s="481"/>
      <c r="P173" s="481"/>
      <c r="Q173" s="481"/>
      <c r="R173" s="481"/>
      <c r="S173" s="481"/>
      <c r="T173" s="481"/>
      <c r="U173" s="481"/>
      <c r="V173" s="481"/>
      <c r="W173" s="481"/>
      <c r="X173" s="481"/>
      <c r="Y173" s="481"/>
      <c r="Z173" s="481"/>
      <c r="AA173" s="481"/>
      <c r="AB173" s="481"/>
    </row>
    <row r="174">
      <c r="A174" s="481"/>
      <c r="B174" s="481"/>
      <c r="C174" s="481"/>
      <c r="D174" s="483"/>
      <c r="E174" s="481"/>
      <c r="F174" s="483"/>
      <c r="G174" s="481"/>
      <c r="H174" s="481"/>
      <c r="I174" s="481"/>
      <c r="J174" s="481"/>
      <c r="K174" s="481"/>
      <c r="L174" s="481"/>
      <c r="M174" s="481"/>
      <c r="N174" s="481"/>
      <c r="O174" s="481"/>
      <c r="P174" s="481"/>
      <c r="Q174" s="481"/>
      <c r="R174" s="481"/>
      <c r="S174" s="481"/>
      <c r="T174" s="481"/>
      <c r="U174" s="481"/>
      <c r="V174" s="481"/>
      <c r="W174" s="481"/>
      <c r="X174" s="481"/>
      <c r="Y174" s="481"/>
      <c r="Z174" s="481"/>
      <c r="AA174" s="481"/>
      <c r="AB174" s="481"/>
    </row>
    <row r="175">
      <c r="A175" s="481"/>
      <c r="B175" s="481"/>
      <c r="C175" s="481"/>
      <c r="D175" s="483"/>
      <c r="E175" s="481"/>
      <c r="F175" s="483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1"/>
      <c r="V175" s="481"/>
      <c r="W175" s="481"/>
      <c r="X175" s="481"/>
      <c r="Y175" s="481"/>
      <c r="Z175" s="481"/>
      <c r="AA175" s="481"/>
      <c r="AB175" s="481"/>
    </row>
    <row r="176">
      <c r="A176" s="481"/>
      <c r="B176" s="481"/>
      <c r="C176" s="481"/>
      <c r="D176" s="483"/>
      <c r="E176" s="481"/>
      <c r="F176" s="483"/>
      <c r="G176" s="481"/>
      <c r="H176" s="481"/>
      <c r="I176" s="481"/>
      <c r="J176" s="481"/>
      <c r="K176" s="481"/>
      <c r="L176" s="481"/>
      <c r="M176" s="481"/>
      <c r="N176" s="481"/>
      <c r="O176" s="481"/>
      <c r="P176" s="481"/>
      <c r="Q176" s="481"/>
      <c r="R176" s="481"/>
      <c r="S176" s="481"/>
      <c r="T176" s="481"/>
      <c r="U176" s="481"/>
      <c r="V176" s="481"/>
      <c r="W176" s="481"/>
      <c r="X176" s="481"/>
      <c r="Y176" s="481"/>
      <c r="Z176" s="481"/>
      <c r="AA176" s="481"/>
      <c r="AB176" s="481"/>
    </row>
    <row r="177">
      <c r="A177" s="481"/>
      <c r="B177" s="481"/>
      <c r="C177" s="481"/>
      <c r="D177" s="483"/>
      <c r="E177" s="481"/>
      <c r="F177" s="483"/>
      <c r="G177" s="481"/>
      <c r="H177" s="481"/>
      <c r="I177" s="481"/>
      <c r="J177" s="481"/>
      <c r="K177" s="481"/>
      <c r="L177" s="481"/>
      <c r="M177" s="481"/>
      <c r="N177" s="481"/>
      <c r="O177" s="481"/>
      <c r="P177" s="481"/>
      <c r="Q177" s="481"/>
      <c r="R177" s="481"/>
      <c r="S177" s="481"/>
      <c r="T177" s="481"/>
      <c r="U177" s="481"/>
      <c r="V177" s="481"/>
      <c r="W177" s="481"/>
      <c r="X177" s="481"/>
      <c r="Y177" s="481"/>
      <c r="Z177" s="481"/>
      <c r="AA177" s="481"/>
      <c r="AB177" s="481"/>
    </row>
    <row r="178">
      <c r="A178" s="481"/>
      <c r="B178" s="481"/>
      <c r="C178" s="481"/>
      <c r="D178" s="483"/>
      <c r="E178" s="481"/>
      <c r="F178" s="483"/>
      <c r="G178" s="481"/>
      <c r="H178" s="481"/>
      <c r="I178" s="481"/>
      <c r="J178" s="481"/>
      <c r="K178" s="481"/>
      <c r="L178" s="481"/>
      <c r="M178" s="481"/>
      <c r="N178" s="481"/>
      <c r="O178" s="481"/>
      <c r="P178" s="481"/>
      <c r="Q178" s="481"/>
      <c r="R178" s="481"/>
      <c r="S178" s="481"/>
      <c r="T178" s="481"/>
      <c r="U178" s="481"/>
      <c r="V178" s="481"/>
      <c r="W178" s="481"/>
      <c r="X178" s="481"/>
      <c r="Y178" s="481"/>
      <c r="Z178" s="481"/>
      <c r="AA178" s="481"/>
      <c r="AB178" s="481"/>
    </row>
    <row r="179">
      <c r="A179" s="481"/>
      <c r="B179" s="481"/>
      <c r="C179" s="481"/>
      <c r="D179" s="483"/>
      <c r="E179" s="481"/>
      <c r="F179" s="483"/>
      <c r="G179" s="481"/>
      <c r="H179" s="481"/>
      <c r="I179" s="481"/>
      <c r="J179" s="481"/>
      <c r="K179" s="481"/>
      <c r="L179" s="481"/>
      <c r="M179" s="481"/>
      <c r="N179" s="481"/>
      <c r="O179" s="481"/>
      <c r="P179" s="481"/>
      <c r="Q179" s="481"/>
      <c r="R179" s="481"/>
      <c r="S179" s="481"/>
      <c r="T179" s="481"/>
      <c r="U179" s="481"/>
      <c r="V179" s="481"/>
      <c r="W179" s="481"/>
      <c r="X179" s="481"/>
      <c r="Y179" s="481"/>
      <c r="Z179" s="481"/>
      <c r="AA179" s="481"/>
      <c r="AB179" s="481"/>
    </row>
    <row r="180">
      <c r="A180" s="481"/>
      <c r="B180" s="481"/>
      <c r="C180" s="481"/>
      <c r="D180" s="483"/>
      <c r="E180" s="481"/>
      <c r="F180" s="483"/>
      <c r="G180" s="481"/>
      <c r="H180" s="481"/>
      <c r="I180" s="481"/>
      <c r="J180" s="481"/>
      <c r="K180" s="481"/>
      <c r="L180" s="481"/>
      <c r="M180" s="481"/>
      <c r="N180" s="481"/>
      <c r="O180" s="481"/>
      <c r="P180" s="481"/>
      <c r="Q180" s="481"/>
      <c r="R180" s="481"/>
      <c r="S180" s="481"/>
      <c r="T180" s="481"/>
      <c r="U180" s="481"/>
      <c r="V180" s="481"/>
      <c r="W180" s="481"/>
      <c r="X180" s="481"/>
      <c r="Y180" s="481"/>
      <c r="Z180" s="481"/>
      <c r="AA180" s="481"/>
      <c r="AB180" s="481"/>
    </row>
    <row r="181">
      <c r="A181" s="481"/>
      <c r="B181" s="481"/>
      <c r="C181" s="481"/>
      <c r="D181" s="483"/>
      <c r="E181" s="481"/>
      <c r="F181" s="483"/>
      <c r="G181" s="481"/>
      <c r="H181" s="481"/>
      <c r="I181" s="481"/>
      <c r="J181" s="481"/>
      <c r="K181" s="481"/>
      <c r="L181" s="481"/>
      <c r="M181" s="481"/>
      <c r="N181" s="481"/>
      <c r="O181" s="481"/>
      <c r="P181" s="481"/>
      <c r="Q181" s="481"/>
      <c r="R181" s="481"/>
      <c r="S181" s="481"/>
      <c r="T181" s="481"/>
      <c r="U181" s="481"/>
      <c r="V181" s="481"/>
      <c r="W181" s="481"/>
      <c r="X181" s="481"/>
      <c r="Y181" s="481"/>
      <c r="Z181" s="481"/>
      <c r="AA181" s="481"/>
      <c r="AB181" s="481"/>
    </row>
    <row r="182">
      <c r="A182" s="481"/>
      <c r="B182" s="481"/>
      <c r="C182" s="481"/>
      <c r="D182" s="483"/>
      <c r="E182" s="481"/>
      <c r="F182" s="483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1"/>
      <c r="V182" s="481"/>
      <c r="W182" s="481"/>
      <c r="X182" s="481"/>
      <c r="Y182" s="481"/>
      <c r="Z182" s="481"/>
      <c r="AA182" s="481"/>
      <c r="AB182" s="481"/>
    </row>
    <row r="183">
      <c r="A183" s="481"/>
      <c r="B183" s="481"/>
      <c r="C183" s="481"/>
      <c r="D183" s="483"/>
      <c r="E183" s="481"/>
      <c r="F183" s="483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1"/>
      <c r="V183" s="481"/>
      <c r="W183" s="481"/>
      <c r="X183" s="481"/>
      <c r="Y183" s="481"/>
      <c r="Z183" s="481"/>
      <c r="AA183" s="481"/>
      <c r="AB183" s="481"/>
    </row>
    <row r="184">
      <c r="A184" s="481"/>
      <c r="B184" s="481"/>
      <c r="C184" s="481"/>
      <c r="D184" s="483"/>
      <c r="E184" s="481"/>
      <c r="F184" s="483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</row>
    <row r="185">
      <c r="A185" s="481"/>
      <c r="B185" s="481"/>
      <c r="C185" s="481"/>
      <c r="D185" s="483"/>
      <c r="E185" s="481"/>
      <c r="F185" s="483"/>
      <c r="G185" s="481"/>
      <c r="H185" s="481"/>
      <c r="I185" s="481"/>
      <c r="J185" s="481"/>
      <c r="K185" s="481"/>
      <c r="L185" s="481"/>
      <c r="M185" s="481"/>
      <c r="N185" s="481"/>
      <c r="O185" s="481"/>
      <c r="P185" s="481"/>
      <c r="Q185" s="481"/>
      <c r="R185" s="481"/>
      <c r="S185" s="481"/>
      <c r="T185" s="481"/>
      <c r="U185" s="481"/>
      <c r="V185" s="481"/>
      <c r="W185" s="481"/>
      <c r="X185" s="481"/>
      <c r="Y185" s="481"/>
      <c r="Z185" s="481"/>
      <c r="AA185" s="481"/>
      <c r="AB185" s="481"/>
    </row>
    <row r="186">
      <c r="A186" s="481"/>
      <c r="B186" s="481"/>
      <c r="C186" s="481"/>
      <c r="D186" s="483"/>
      <c r="E186" s="481"/>
      <c r="F186" s="483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</row>
    <row r="187">
      <c r="A187" s="481"/>
      <c r="B187" s="481"/>
      <c r="C187" s="481"/>
      <c r="D187" s="483"/>
      <c r="E187" s="481"/>
      <c r="F187" s="483"/>
      <c r="G187" s="481"/>
      <c r="H187" s="481"/>
      <c r="I187" s="481"/>
      <c r="J187" s="481"/>
      <c r="K187" s="481"/>
      <c r="L187" s="481"/>
      <c r="M187" s="481"/>
      <c r="N187" s="481"/>
      <c r="O187" s="481"/>
      <c r="P187" s="481"/>
      <c r="Q187" s="481"/>
      <c r="R187" s="481"/>
      <c r="S187" s="481"/>
      <c r="T187" s="481"/>
      <c r="U187" s="481"/>
      <c r="V187" s="481"/>
      <c r="W187" s="481"/>
      <c r="X187" s="481"/>
      <c r="Y187" s="481"/>
      <c r="Z187" s="481"/>
      <c r="AA187" s="481"/>
      <c r="AB187" s="481"/>
    </row>
    <row r="188">
      <c r="A188" s="481"/>
      <c r="B188" s="481"/>
      <c r="C188" s="481"/>
      <c r="D188" s="483"/>
      <c r="E188" s="481"/>
      <c r="F188" s="483"/>
      <c r="G188" s="481"/>
      <c r="H188" s="481"/>
      <c r="I188" s="481"/>
      <c r="J188" s="481"/>
      <c r="K188" s="481"/>
      <c r="L188" s="481"/>
      <c r="M188" s="481"/>
      <c r="N188" s="481"/>
      <c r="O188" s="481"/>
      <c r="P188" s="481"/>
      <c r="Q188" s="481"/>
      <c r="R188" s="481"/>
      <c r="S188" s="481"/>
      <c r="T188" s="481"/>
      <c r="U188" s="481"/>
      <c r="V188" s="481"/>
      <c r="W188" s="481"/>
      <c r="X188" s="481"/>
      <c r="Y188" s="481"/>
      <c r="Z188" s="481"/>
      <c r="AA188" s="481"/>
      <c r="AB188" s="481"/>
    </row>
    <row r="189">
      <c r="A189" s="481"/>
      <c r="B189" s="481"/>
      <c r="C189" s="481"/>
      <c r="D189" s="483"/>
      <c r="E189" s="481"/>
      <c r="F189" s="483"/>
      <c r="G189" s="481"/>
      <c r="H189" s="481"/>
      <c r="I189" s="481"/>
      <c r="J189" s="481"/>
      <c r="K189" s="481"/>
      <c r="L189" s="481"/>
      <c r="M189" s="481"/>
      <c r="N189" s="481"/>
      <c r="O189" s="481"/>
      <c r="P189" s="481"/>
      <c r="Q189" s="481"/>
      <c r="R189" s="481"/>
      <c r="S189" s="481"/>
      <c r="T189" s="481"/>
      <c r="U189" s="481"/>
      <c r="V189" s="481"/>
      <c r="W189" s="481"/>
      <c r="X189" s="481"/>
      <c r="Y189" s="481"/>
      <c r="Z189" s="481"/>
      <c r="AA189" s="481"/>
      <c r="AB189" s="481"/>
    </row>
    <row r="190">
      <c r="A190" s="481"/>
      <c r="B190" s="481"/>
      <c r="C190" s="481"/>
      <c r="D190" s="483"/>
      <c r="E190" s="481"/>
      <c r="F190" s="483"/>
      <c r="G190" s="481"/>
      <c r="H190" s="481"/>
      <c r="I190" s="481"/>
      <c r="J190" s="481"/>
      <c r="K190" s="481"/>
      <c r="L190" s="481"/>
      <c r="M190" s="481"/>
      <c r="N190" s="481"/>
      <c r="O190" s="481"/>
      <c r="P190" s="481"/>
      <c r="Q190" s="481"/>
      <c r="R190" s="481"/>
      <c r="S190" s="481"/>
      <c r="T190" s="481"/>
      <c r="U190" s="481"/>
      <c r="V190" s="481"/>
      <c r="W190" s="481"/>
      <c r="X190" s="481"/>
      <c r="Y190" s="481"/>
      <c r="Z190" s="481"/>
      <c r="AA190" s="481"/>
      <c r="AB190" s="481"/>
    </row>
    <row r="191">
      <c r="A191" s="481"/>
      <c r="B191" s="481"/>
      <c r="C191" s="481"/>
      <c r="D191" s="483"/>
      <c r="E191" s="481"/>
      <c r="F191" s="483"/>
      <c r="G191" s="481"/>
      <c r="H191" s="481"/>
      <c r="I191" s="481"/>
      <c r="J191" s="481"/>
      <c r="K191" s="481"/>
      <c r="L191" s="481"/>
      <c r="M191" s="481"/>
      <c r="N191" s="481"/>
      <c r="O191" s="481"/>
      <c r="P191" s="481"/>
      <c r="Q191" s="481"/>
      <c r="R191" s="481"/>
      <c r="S191" s="481"/>
      <c r="T191" s="481"/>
      <c r="U191" s="481"/>
      <c r="V191" s="481"/>
      <c r="W191" s="481"/>
      <c r="X191" s="481"/>
      <c r="Y191" s="481"/>
      <c r="Z191" s="481"/>
      <c r="AA191" s="481"/>
      <c r="AB191" s="481"/>
    </row>
    <row r="192">
      <c r="A192" s="481"/>
      <c r="B192" s="481"/>
      <c r="C192" s="481"/>
      <c r="D192" s="483"/>
      <c r="E192" s="481"/>
      <c r="F192" s="483"/>
      <c r="G192" s="481"/>
      <c r="H192" s="481"/>
      <c r="I192" s="481"/>
      <c r="J192" s="481"/>
      <c r="K192" s="481"/>
      <c r="L192" s="481"/>
      <c r="M192" s="481"/>
      <c r="N192" s="481"/>
      <c r="O192" s="481"/>
      <c r="P192" s="481"/>
      <c r="Q192" s="481"/>
      <c r="R192" s="481"/>
      <c r="S192" s="481"/>
      <c r="T192" s="481"/>
      <c r="U192" s="481"/>
      <c r="V192" s="481"/>
      <c r="W192" s="481"/>
      <c r="X192" s="481"/>
      <c r="Y192" s="481"/>
      <c r="Z192" s="481"/>
      <c r="AA192" s="481"/>
      <c r="AB192" s="481"/>
    </row>
    <row r="193">
      <c r="A193" s="481"/>
      <c r="B193" s="481"/>
      <c r="C193" s="481"/>
      <c r="D193" s="483"/>
      <c r="E193" s="481"/>
      <c r="F193" s="483"/>
      <c r="G193" s="481"/>
      <c r="H193" s="481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S193" s="481"/>
      <c r="T193" s="481"/>
      <c r="U193" s="481"/>
      <c r="V193" s="481"/>
      <c r="W193" s="481"/>
      <c r="X193" s="481"/>
      <c r="Y193" s="481"/>
      <c r="Z193" s="481"/>
      <c r="AA193" s="481"/>
      <c r="AB193" s="481"/>
    </row>
    <row r="194">
      <c r="A194" s="481"/>
      <c r="B194" s="481"/>
      <c r="C194" s="481"/>
      <c r="D194" s="483"/>
      <c r="E194" s="481"/>
      <c r="F194" s="483"/>
      <c r="G194" s="481"/>
      <c r="H194" s="481"/>
      <c r="I194" s="481"/>
      <c r="J194" s="481"/>
      <c r="K194" s="481"/>
      <c r="L194" s="481"/>
      <c r="M194" s="481"/>
      <c r="N194" s="481"/>
      <c r="O194" s="481"/>
      <c r="P194" s="481"/>
      <c r="Q194" s="481"/>
      <c r="R194" s="481"/>
      <c r="S194" s="481"/>
      <c r="T194" s="481"/>
      <c r="U194" s="481"/>
      <c r="V194" s="481"/>
      <c r="W194" s="481"/>
      <c r="X194" s="481"/>
      <c r="Y194" s="481"/>
      <c r="Z194" s="481"/>
      <c r="AA194" s="481"/>
      <c r="AB194" s="481"/>
    </row>
    <row r="195">
      <c r="A195" s="481"/>
      <c r="B195" s="481"/>
      <c r="C195" s="481"/>
      <c r="D195" s="483"/>
      <c r="E195" s="481"/>
      <c r="F195" s="483"/>
      <c r="G195" s="481"/>
      <c r="H195" s="481"/>
      <c r="I195" s="481"/>
      <c r="J195" s="481"/>
      <c r="K195" s="481"/>
      <c r="L195" s="481"/>
      <c r="M195" s="481"/>
      <c r="N195" s="481"/>
      <c r="O195" s="481"/>
      <c r="P195" s="481"/>
      <c r="Q195" s="481"/>
      <c r="R195" s="481"/>
      <c r="S195" s="481"/>
      <c r="T195" s="481"/>
      <c r="U195" s="481"/>
      <c r="V195" s="481"/>
      <c r="W195" s="481"/>
      <c r="X195" s="481"/>
      <c r="Y195" s="481"/>
      <c r="Z195" s="481"/>
      <c r="AA195" s="481"/>
      <c r="AB195" s="481"/>
    </row>
    <row r="196">
      <c r="A196" s="481"/>
      <c r="B196" s="481"/>
      <c r="C196" s="481"/>
      <c r="D196" s="483"/>
      <c r="E196" s="481"/>
      <c r="F196" s="483"/>
      <c r="G196" s="481"/>
      <c r="H196" s="481"/>
      <c r="I196" s="481"/>
      <c r="J196" s="481"/>
      <c r="K196" s="481"/>
      <c r="L196" s="481"/>
      <c r="M196" s="481"/>
      <c r="N196" s="481"/>
      <c r="O196" s="481"/>
      <c r="P196" s="481"/>
      <c r="Q196" s="481"/>
      <c r="R196" s="481"/>
      <c r="S196" s="481"/>
      <c r="T196" s="481"/>
      <c r="U196" s="481"/>
      <c r="V196" s="481"/>
      <c r="W196" s="481"/>
      <c r="X196" s="481"/>
      <c r="Y196" s="481"/>
      <c r="Z196" s="481"/>
      <c r="AA196" s="481"/>
      <c r="AB196" s="481"/>
    </row>
    <row r="197">
      <c r="A197" s="481"/>
      <c r="B197" s="481"/>
      <c r="C197" s="481"/>
      <c r="D197" s="483"/>
      <c r="E197" s="481"/>
      <c r="F197" s="483"/>
      <c r="G197" s="481"/>
      <c r="H197" s="481"/>
      <c r="I197" s="481"/>
      <c r="J197" s="481"/>
      <c r="K197" s="481"/>
      <c r="L197" s="481"/>
      <c r="M197" s="481"/>
      <c r="N197" s="481"/>
      <c r="O197" s="481"/>
      <c r="P197" s="481"/>
      <c r="Q197" s="481"/>
      <c r="R197" s="481"/>
      <c r="S197" s="481"/>
      <c r="T197" s="481"/>
      <c r="U197" s="481"/>
      <c r="V197" s="481"/>
      <c r="W197" s="481"/>
      <c r="X197" s="481"/>
      <c r="Y197" s="481"/>
      <c r="Z197" s="481"/>
      <c r="AA197" s="481"/>
      <c r="AB197" s="481"/>
    </row>
    <row r="198">
      <c r="A198" s="481"/>
      <c r="B198" s="481"/>
      <c r="C198" s="481"/>
      <c r="D198" s="483"/>
      <c r="E198" s="481"/>
      <c r="F198" s="483"/>
      <c r="G198" s="481"/>
      <c r="H198" s="481"/>
      <c r="I198" s="481"/>
      <c r="J198" s="481"/>
      <c r="K198" s="481"/>
      <c r="L198" s="481"/>
      <c r="M198" s="481"/>
      <c r="N198" s="481"/>
      <c r="O198" s="481"/>
      <c r="P198" s="481"/>
      <c r="Q198" s="481"/>
      <c r="R198" s="481"/>
      <c r="S198" s="481"/>
      <c r="T198" s="481"/>
      <c r="U198" s="481"/>
      <c r="V198" s="481"/>
      <c r="W198" s="481"/>
      <c r="X198" s="481"/>
      <c r="Y198" s="481"/>
      <c r="Z198" s="481"/>
      <c r="AA198" s="481"/>
      <c r="AB198" s="481"/>
    </row>
    <row r="199">
      <c r="A199" s="481"/>
      <c r="B199" s="481"/>
      <c r="C199" s="481"/>
      <c r="D199" s="483"/>
      <c r="E199" s="481"/>
      <c r="F199" s="483"/>
      <c r="G199" s="481"/>
      <c r="H199" s="481"/>
      <c r="I199" s="481"/>
      <c r="J199" s="481"/>
      <c r="K199" s="481"/>
      <c r="L199" s="481"/>
      <c r="M199" s="481"/>
      <c r="N199" s="481"/>
      <c r="O199" s="481"/>
      <c r="P199" s="481"/>
      <c r="Q199" s="481"/>
      <c r="R199" s="481"/>
      <c r="S199" s="481"/>
      <c r="T199" s="481"/>
      <c r="U199" s="481"/>
      <c r="V199" s="481"/>
      <c r="W199" s="481"/>
      <c r="X199" s="481"/>
      <c r="Y199" s="481"/>
      <c r="Z199" s="481"/>
      <c r="AA199" s="481"/>
      <c r="AB199" s="481"/>
    </row>
    <row r="200">
      <c r="A200" s="481"/>
      <c r="B200" s="481"/>
      <c r="C200" s="481"/>
      <c r="D200" s="483"/>
      <c r="E200" s="481"/>
      <c r="F200" s="483"/>
      <c r="G200" s="481"/>
      <c r="H200" s="481"/>
      <c r="I200" s="481"/>
      <c r="J200" s="481"/>
      <c r="K200" s="481"/>
      <c r="L200" s="481"/>
      <c r="M200" s="481"/>
      <c r="N200" s="481"/>
      <c r="O200" s="481"/>
      <c r="P200" s="481"/>
      <c r="Q200" s="481"/>
      <c r="R200" s="481"/>
      <c r="S200" s="481"/>
      <c r="T200" s="481"/>
      <c r="U200" s="481"/>
      <c r="V200" s="481"/>
      <c r="W200" s="481"/>
      <c r="X200" s="481"/>
      <c r="Y200" s="481"/>
      <c r="Z200" s="481"/>
      <c r="AA200" s="481"/>
      <c r="AB200" s="481"/>
    </row>
    <row r="201">
      <c r="A201" s="481"/>
      <c r="B201" s="481"/>
      <c r="C201" s="481"/>
      <c r="D201" s="483"/>
      <c r="E201" s="481"/>
      <c r="F201" s="483"/>
      <c r="G201" s="481"/>
      <c r="H201" s="481"/>
      <c r="I201" s="481"/>
      <c r="J201" s="481"/>
      <c r="K201" s="481"/>
      <c r="L201" s="481"/>
      <c r="M201" s="481"/>
      <c r="N201" s="481"/>
      <c r="O201" s="481"/>
      <c r="P201" s="481"/>
      <c r="Q201" s="481"/>
      <c r="R201" s="481"/>
      <c r="S201" s="481"/>
      <c r="T201" s="481"/>
      <c r="U201" s="481"/>
      <c r="V201" s="481"/>
      <c r="W201" s="481"/>
      <c r="X201" s="481"/>
      <c r="Y201" s="481"/>
      <c r="Z201" s="481"/>
      <c r="AA201" s="481"/>
      <c r="AB201" s="481"/>
    </row>
    <row r="202">
      <c r="A202" s="481"/>
      <c r="B202" s="481"/>
      <c r="C202" s="481"/>
      <c r="D202" s="483"/>
      <c r="E202" s="481"/>
      <c r="F202" s="483"/>
      <c r="G202" s="481"/>
      <c r="H202" s="481"/>
      <c r="I202" s="481"/>
      <c r="J202" s="481"/>
      <c r="K202" s="481"/>
      <c r="L202" s="481"/>
      <c r="M202" s="481"/>
      <c r="N202" s="481"/>
      <c r="O202" s="481"/>
      <c r="P202" s="481"/>
      <c r="Q202" s="481"/>
      <c r="R202" s="481"/>
      <c r="S202" s="481"/>
      <c r="T202" s="481"/>
      <c r="U202" s="481"/>
      <c r="V202" s="481"/>
      <c r="W202" s="481"/>
      <c r="X202" s="481"/>
      <c r="Y202" s="481"/>
      <c r="Z202" s="481"/>
      <c r="AA202" s="481"/>
      <c r="AB202" s="481"/>
    </row>
    <row r="203">
      <c r="A203" s="481"/>
      <c r="B203" s="481"/>
      <c r="C203" s="481"/>
      <c r="D203" s="483"/>
      <c r="E203" s="481"/>
      <c r="F203" s="483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  <c r="Z203" s="481"/>
      <c r="AA203" s="481"/>
      <c r="AB203" s="481"/>
    </row>
    <row r="204">
      <c r="A204" s="481"/>
      <c r="B204" s="481"/>
      <c r="C204" s="481"/>
      <c r="D204" s="483"/>
      <c r="E204" s="481"/>
      <c r="F204" s="483"/>
      <c r="G204" s="481"/>
      <c r="H204" s="481"/>
      <c r="I204" s="481"/>
      <c r="J204" s="481"/>
      <c r="K204" s="481"/>
      <c r="L204" s="481"/>
      <c r="M204" s="481"/>
      <c r="N204" s="481"/>
      <c r="O204" s="481"/>
      <c r="P204" s="481"/>
      <c r="Q204" s="481"/>
      <c r="R204" s="481"/>
      <c r="S204" s="481"/>
      <c r="T204" s="481"/>
      <c r="U204" s="481"/>
      <c r="V204" s="481"/>
      <c r="W204" s="481"/>
      <c r="X204" s="481"/>
      <c r="Y204" s="481"/>
      <c r="Z204" s="481"/>
      <c r="AA204" s="481"/>
      <c r="AB204" s="481"/>
    </row>
    <row r="205">
      <c r="A205" s="481"/>
      <c r="B205" s="481"/>
      <c r="C205" s="481"/>
      <c r="D205" s="483"/>
      <c r="E205" s="481"/>
      <c r="F205" s="483"/>
      <c r="G205" s="481"/>
      <c r="H205" s="481"/>
      <c r="I205" s="481"/>
      <c r="J205" s="481"/>
      <c r="K205" s="481"/>
      <c r="L205" s="481"/>
      <c r="M205" s="481"/>
      <c r="N205" s="481"/>
      <c r="O205" s="481"/>
      <c r="P205" s="481"/>
      <c r="Q205" s="481"/>
      <c r="R205" s="481"/>
      <c r="S205" s="481"/>
      <c r="T205" s="481"/>
      <c r="U205" s="481"/>
      <c r="V205" s="481"/>
      <c r="W205" s="481"/>
      <c r="X205" s="481"/>
      <c r="Y205" s="481"/>
      <c r="Z205" s="481"/>
      <c r="AA205" s="481"/>
      <c r="AB205" s="481"/>
    </row>
    <row r="206">
      <c r="A206" s="481"/>
      <c r="B206" s="481"/>
      <c r="C206" s="481"/>
      <c r="D206" s="483"/>
      <c r="E206" s="481"/>
      <c r="F206" s="483"/>
      <c r="G206" s="481"/>
      <c r="H206" s="481"/>
      <c r="I206" s="481"/>
      <c r="J206" s="481"/>
      <c r="K206" s="481"/>
      <c r="L206" s="481"/>
      <c r="M206" s="481"/>
      <c r="N206" s="481"/>
      <c r="O206" s="481"/>
      <c r="P206" s="481"/>
      <c r="Q206" s="481"/>
      <c r="R206" s="481"/>
      <c r="S206" s="481"/>
      <c r="T206" s="481"/>
      <c r="U206" s="481"/>
      <c r="V206" s="481"/>
      <c r="W206" s="481"/>
      <c r="X206" s="481"/>
      <c r="Y206" s="481"/>
      <c r="Z206" s="481"/>
      <c r="AA206" s="481"/>
      <c r="AB206" s="481"/>
    </row>
    <row r="207">
      <c r="A207" s="481"/>
      <c r="B207" s="481"/>
      <c r="C207" s="481"/>
      <c r="D207" s="483"/>
      <c r="E207" s="481"/>
      <c r="F207" s="483"/>
      <c r="G207" s="481"/>
      <c r="H207" s="481"/>
      <c r="I207" s="481"/>
      <c r="J207" s="481"/>
      <c r="K207" s="481"/>
      <c r="L207" s="481"/>
      <c r="M207" s="481"/>
      <c r="N207" s="481"/>
      <c r="O207" s="481"/>
      <c r="P207" s="481"/>
      <c r="Q207" s="481"/>
      <c r="R207" s="481"/>
      <c r="S207" s="481"/>
      <c r="T207" s="481"/>
      <c r="U207" s="481"/>
      <c r="V207" s="481"/>
      <c r="W207" s="481"/>
      <c r="X207" s="481"/>
      <c r="Y207" s="481"/>
      <c r="Z207" s="481"/>
      <c r="AA207" s="481"/>
      <c r="AB207" s="481"/>
    </row>
    <row r="208">
      <c r="A208" s="481"/>
      <c r="B208" s="481"/>
      <c r="C208" s="481"/>
      <c r="D208" s="483"/>
      <c r="E208" s="481"/>
      <c r="F208" s="483"/>
      <c r="G208" s="481"/>
      <c r="H208" s="481"/>
      <c r="I208" s="481"/>
      <c r="J208" s="481"/>
      <c r="K208" s="481"/>
      <c r="L208" s="481"/>
      <c r="M208" s="481"/>
      <c r="N208" s="481"/>
      <c r="O208" s="481"/>
      <c r="P208" s="481"/>
      <c r="Q208" s="481"/>
      <c r="R208" s="481"/>
      <c r="S208" s="481"/>
      <c r="T208" s="481"/>
      <c r="U208" s="481"/>
      <c r="V208" s="481"/>
      <c r="W208" s="481"/>
      <c r="X208" s="481"/>
      <c r="Y208" s="481"/>
      <c r="Z208" s="481"/>
      <c r="AA208" s="481"/>
      <c r="AB208" s="481"/>
    </row>
    <row r="209">
      <c r="A209" s="481"/>
      <c r="B209" s="481"/>
      <c r="C209" s="481"/>
      <c r="D209" s="483"/>
      <c r="E209" s="481"/>
      <c r="F209" s="483"/>
      <c r="G209" s="481"/>
      <c r="H209" s="481"/>
      <c r="I209" s="481"/>
      <c r="J209" s="481"/>
      <c r="K209" s="481"/>
      <c r="L209" s="481"/>
      <c r="M209" s="481"/>
      <c r="N209" s="481"/>
      <c r="O209" s="481"/>
      <c r="P209" s="481"/>
      <c r="Q209" s="481"/>
      <c r="R209" s="481"/>
      <c r="S209" s="481"/>
      <c r="T209" s="481"/>
      <c r="U209" s="481"/>
      <c r="V209" s="481"/>
      <c r="W209" s="481"/>
      <c r="X209" s="481"/>
      <c r="Y209" s="481"/>
      <c r="Z209" s="481"/>
      <c r="AA209" s="481"/>
      <c r="AB209" s="481"/>
    </row>
    <row r="210">
      <c r="A210" s="481"/>
      <c r="B210" s="481"/>
      <c r="C210" s="481"/>
      <c r="D210" s="483"/>
      <c r="E210" s="481"/>
      <c r="F210" s="483"/>
      <c r="G210" s="481"/>
      <c r="H210" s="481"/>
      <c r="I210" s="481"/>
      <c r="J210" s="481"/>
      <c r="K210" s="481"/>
      <c r="L210" s="481"/>
      <c r="M210" s="481"/>
      <c r="N210" s="481"/>
      <c r="O210" s="481"/>
      <c r="P210" s="481"/>
      <c r="Q210" s="481"/>
      <c r="R210" s="481"/>
      <c r="S210" s="481"/>
      <c r="T210" s="481"/>
      <c r="U210" s="481"/>
      <c r="V210" s="481"/>
      <c r="W210" s="481"/>
      <c r="X210" s="481"/>
      <c r="Y210" s="481"/>
      <c r="Z210" s="481"/>
      <c r="AA210" s="481"/>
      <c r="AB210" s="481"/>
    </row>
    <row r="211">
      <c r="A211" s="481"/>
      <c r="B211" s="481"/>
      <c r="C211" s="481"/>
      <c r="D211" s="483"/>
      <c r="E211" s="481"/>
      <c r="F211" s="483"/>
      <c r="G211" s="481"/>
      <c r="H211" s="481"/>
      <c r="I211" s="481"/>
      <c r="J211" s="481"/>
      <c r="K211" s="481"/>
      <c r="L211" s="481"/>
      <c r="M211" s="481"/>
      <c r="N211" s="481"/>
      <c r="O211" s="481"/>
      <c r="P211" s="481"/>
      <c r="Q211" s="481"/>
      <c r="R211" s="481"/>
      <c r="S211" s="481"/>
      <c r="T211" s="481"/>
      <c r="U211" s="481"/>
      <c r="V211" s="481"/>
      <c r="W211" s="481"/>
      <c r="X211" s="481"/>
      <c r="Y211" s="481"/>
      <c r="Z211" s="481"/>
      <c r="AA211" s="481"/>
      <c r="AB211" s="481"/>
    </row>
    <row r="212">
      <c r="A212" s="481"/>
      <c r="B212" s="481"/>
      <c r="C212" s="481"/>
      <c r="D212" s="483"/>
      <c r="E212" s="481"/>
      <c r="F212" s="483"/>
      <c r="G212" s="481"/>
      <c r="H212" s="481"/>
      <c r="I212" s="481"/>
      <c r="J212" s="481"/>
      <c r="K212" s="481"/>
      <c r="L212" s="481"/>
      <c r="M212" s="481"/>
      <c r="N212" s="481"/>
      <c r="O212" s="481"/>
      <c r="P212" s="481"/>
      <c r="Q212" s="481"/>
      <c r="R212" s="481"/>
      <c r="S212" s="481"/>
      <c r="T212" s="481"/>
      <c r="U212" s="481"/>
      <c r="V212" s="481"/>
      <c r="W212" s="481"/>
      <c r="X212" s="481"/>
      <c r="Y212" s="481"/>
      <c r="Z212" s="481"/>
      <c r="AA212" s="481"/>
      <c r="AB212" s="481"/>
    </row>
    <row r="213">
      <c r="A213" s="481"/>
      <c r="B213" s="481"/>
      <c r="C213" s="481"/>
      <c r="D213" s="483"/>
      <c r="E213" s="481"/>
      <c r="F213" s="483"/>
      <c r="G213" s="481"/>
      <c r="H213" s="481"/>
      <c r="I213" s="481"/>
      <c r="J213" s="481"/>
      <c r="K213" s="481"/>
      <c r="L213" s="481"/>
      <c r="M213" s="481"/>
      <c r="N213" s="481"/>
      <c r="O213" s="481"/>
      <c r="P213" s="481"/>
      <c r="Q213" s="481"/>
      <c r="R213" s="481"/>
      <c r="S213" s="481"/>
      <c r="T213" s="481"/>
      <c r="U213" s="481"/>
      <c r="V213" s="481"/>
      <c r="W213" s="481"/>
      <c r="X213" s="481"/>
      <c r="Y213" s="481"/>
      <c r="Z213" s="481"/>
      <c r="AA213" s="481"/>
      <c r="AB213" s="481"/>
    </row>
    <row r="214">
      <c r="A214" s="481"/>
      <c r="B214" s="481"/>
      <c r="C214" s="481"/>
      <c r="D214" s="483"/>
      <c r="E214" s="481"/>
      <c r="F214" s="483"/>
      <c r="G214" s="481"/>
      <c r="H214" s="481"/>
      <c r="I214" s="481"/>
      <c r="J214" s="481"/>
      <c r="K214" s="481"/>
      <c r="L214" s="481"/>
      <c r="M214" s="481"/>
      <c r="N214" s="481"/>
      <c r="O214" s="481"/>
      <c r="P214" s="481"/>
      <c r="Q214" s="481"/>
      <c r="R214" s="481"/>
      <c r="S214" s="481"/>
      <c r="T214" s="481"/>
      <c r="U214" s="481"/>
      <c r="V214" s="481"/>
      <c r="W214" s="481"/>
      <c r="X214" s="481"/>
      <c r="Y214" s="481"/>
      <c r="Z214" s="481"/>
      <c r="AA214" s="481"/>
      <c r="AB214" s="481"/>
    </row>
    <row r="215">
      <c r="A215" s="481"/>
      <c r="B215" s="481"/>
      <c r="C215" s="481"/>
      <c r="D215" s="483"/>
      <c r="E215" s="481"/>
      <c r="F215" s="483"/>
      <c r="G215" s="481"/>
      <c r="H215" s="481"/>
      <c r="I215" s="481"/>
      <c r="J215" s="481"/>
      <c r="K215" s="481"/>
      <c r="L215" s="481"/>
      <c r="M215" s="481"/>
      <c r="N215" s="481"/>
      <c r="O215" s="481"/>
      <c r="P215" s="481"/>
      <c r="Q215" s="481"/>
      <c r="R215" s="481"/>
      <c r="S215" s="481"/>
      <c r="T215" s="481"/>
      <c r="U215" s="481"/>
      <c r="V215" s="481"/>
      <c r="W215" s="481"/>
      <c r="X215" s="481"/>
      <c r="Y215" s="481"/>
      <c r="Z215" s="481"/>
      <c r="AA215" s="481"/>
      <c r="AB215" s="481"/>
    </row>
    <row r="216">
      <c r="A216" s="481"/>
      <c r="B216" s="481"/>
      <c r="C216" s="481"/>
      <c r="D216" s="483"/>
      <c r="E216" s="481"/>
      <c r="F216" s="483"/>
      <c r="G216" s="481"/>
      <c r="H216" s="481"/>
      <c r="I216" s="481"/>
      <c r="J216" s="481"/>
      <c r="K216" s="481"/>
      <c r="L216" s="481"/>
      <c r="M216" s="481"/>
      <c r="N216" s="481"/>
      <c r="O216" s="481"/>
      <c r="P216" s="481"/>
      <c r="Q216" s="481"/>
      <c r="R216" s="481"/>
      <c r="S216" s="481"/>
      <c r="T216" s="481"/>
      <c r="U216" s="481"/>
      <c r="V216" s="481"/>
      <c r="W216" s="481"/>
      <c r="X216" s="481"/>
      <c r="Y216" s="481"/>
      <c r="Z216" s="481"/>
      <c r="AA216" s="481"/>
      <c r="AB216" s="481"/>
    </row>
    <row r="217">
      <c r="A217" s="481"/>
      <c r="B217" s="481"/>
      <c r="C217" s="481"/>
      <c r="D217" s="483"/>
      <c r="E217" s="481"/>
      <c r="F217" s="483"/>
      <c r="G217" s="481"/>
      <c r="H217" s="481"/>
      <c r="I217" s="481"/>
      <c r="J217" s="481"/>
      <c r="K217" s="481"/>
      <c r="L217" s="481"/>
      <c r="M217" s="481"/>
      <c r="N217" s="481"/>
      <c r="O217" s="481"/>
      <c r="P217" s="481"/>
      <c r="Q217" s="481"/>
      <c r="R217" s="481"/>
      <c r="S217" s="481"/>
      <c r="T217" s="481"/>
      <c r="U217" s="481"/>
      <c r="V217" s="481"/>
      <c r="W217" s="481"/>
      <c r="X217" s="481"/>
      <c r="Y217" s="481"/>
      <c r="Z217" s="481"/>
      <c r="AA217" s="481"/>
      <c r="AB217" s="481"/>
    </row>
    <row r="218">
      <c r="A218" s="481"/>
      <c r="B218" s="481"/>
      <c r="C218" s="481"/>
      <c r="D218" s="483"/>
      <c r="E218" s="481"/>
      <c r="F218" s="483"/>
      <c r="G218" s="481"/>
      <c r="H218" s="481"/>
      <c r="I218" s="481"/>
      <c r="J218" s="481"/>
      <c r="K218" s="481"/>
      <c r="L218" s="481"/>
      <c r="M218" s="481"/>
      <c r="N218" s="481"/>
      <c r="O218" s="481"/>
      <c r="P218" s="481"/>
      <c r="Q218" s="481"/>
      <c r="R218" s="481"/>
      <c r="S218" s="481"/>
      <c r="T218" s="481"/>
      <c r="U218" s="481"/>
      <c r="V218" s="481"/>
      <c r="W218" s="481"/>
      <c r="X218" s="481"/>
      <c r="Y218" s="481"/>
      <c r="Z218" s="481"/>
      <c r="AA218" s="481"/>
      <c r="AB218" s="481"/>
    </row>
    <row r="219">
      <c r="A219" s="481"/>
      <c r="B219" s="481"/>
      <c r="C219" s="481"/>
      <c r="D219" s="483"/>
      <c r="E219" s="481"/>
      <c r="F219" s="483"/>
      <c r="G219" s="481"/>
      <c r="H219" s="481"/>
      <c r="I219" s="481"/>
      <c r="J219" s="481"/>
      <c r="K219" s="481"/>
      <c r="L219" s="481"/>
      <c r="M219" s="481"/>
      <c r="N219" s="481"/>
      <c r="O219" s="481"/>
      <c r="P219" s="481"/>
      <c r="Q219" s="481"/>
      <c r="R219" s="481"/>
      <c r="S219" s="481"/>
      <c r="T219" s="481"/>
      <c r="U219" s="481"/>
      <c r="V219" s="481"/>
      <c r="W219" s="481"/>
      <c r="X219" s="481"/>
      <c r="Y219" s="481"/>
      <c r="Z219" s="481"/>
      <c r="AA219" s="481"/>
      <c r="AB219" s="481"/>
    </row>
    <row r="220">
      <c r="A220" s="481"/>
      <c r="B220" s="481"/>
      <c r="C220" s="481"/>
      <c r="D220" s="483"/>
      <c r="E220" s="481"/>
      <c r="F220" s="483"/>
      <c r="G220" s="481"/>
      <c r="H220" s="481"/>
      <c r="I220" s="481"/>
      <c r="J220" s="481"/>
      <c r="K220" s="481"/>
      <c r="L220" s="481"/>
      <c r="M220" s="481"/>
      <c r="N220" s="481"/>
      <c r="O220" s="481"/>
      <c r="P220" s="481"/>
      <c r="Q220" s="481"/>
      <c r="R220" s="481"/>
      <c r="S220" s="481"/>
      <c r="T220" s="481"/>
      <c r="U220" s="481"/>
      <c r="V220" s="481"/>
      <c r="W220" s="481"/>
      <c r="X220" s="481"/>
      <c r="Y220" s="481"/>
      <c r="Z220" s="481"/>
      <c r="AA220" s="481"/>
      <c r="AB220" s="481"/>
    </row>
    <row r="221">
      <c r="A221" s="481"/>
      <c r="B221" s="481"/>
      <c r="C221" s="481"/>
      <c r="D221" s="483"/>
      <c r="E221" s="481"/>
      <c r="F221" s="483"/>
      <c r="G221" s="481"/>
      <c r="H221" s="481"/>
      <c r="I221" s="481"/>
      <c r="J221" s="481"/>
      <c r="K221" s="481"/>
      <c r="L221" s="481"/>
      <c r="M221" s="481"/>
      <c r="N221" s="481"/>
      <c r="O221" s="481"/>
      <c r="P221" s="481"/>
      <c r="Q221" s="481"/>
      <c r="R221" s="481"/>
      <c r="S221" s="481"/>
      <c r="T221" s="481"/>
      <c r="U221" s="481"/>
      <c r="V221" s="481"/>
      <c r="W221" s="481"/>
      <c r="X221" s="481"/>
      <c r="Y221" s="481"/>
      <c r="Z221" s="481"/>
      <c r="AA221" s="481"/>
      <c r="AB221" s="481"/>
    </row>
    <row r="222">
      <c r="A222" s="481"/>
      <c r="B222" s="481"/>
      <c r="C222" s="481"/>
      <c r="D222" s="483"/>
      <c r="E222" s="481"/>
      <c r="F222" s="483"/>
      <c r="G222" s="481"/>
      <c r="H222" s="481"/>
      <c r="I222" s="481"/>
      <c r="J222" s="481"/>
      <c r="K222" s="481"/>
      <c r="L222" s="481"/>
      <c r="M222" s="481"/>
      <c r="N222" s="481"/>
      <c r="O222" s="481"/>
      <c r="P222" s="481"/>
      <c r="Q222" s="481"/>
      <c r="R222" s="481"/>
      <c r="S222" s="481"/>
      <c r="T222" s="481"/>
      <c r="U222" s="481"/>
      <c r="V222" s="481"/>
      <c r="W222" s="481"/>
      <c r="X222" s="481"/>
      <c r="Y222" s="481"/>
      <c r="Z222" s="481"/>
      <c r="AA222" s="481"/>
      <c r="AB222" s="481"/>
    </row>
    <row r="223">
      <c r="A223" s="481"/>
      <c r="B223" s="481"/>
      <c r="C223" s="481"/>
      <c r="D223" s="483"/>
      <c r="E223" s="481"/>
      <c r="F223" s="483"/>
      <c r="G223" s="481"/>
      <c r="H223" s="481"/>
      <c r="I223" s="481"/>
      <c r="J223" s="481"/>
      <c r="K223" s="481"/>
      <c r="L223" s="481"/>
      <c r="M223" s="481"/>
      <c r="N223" s="481"/>
      <c r="O223" s="481"/>
      <c r="P223" s="481"/>
      <c r="Q223" s="481"/>
      <c r="R223" s="481"/>
      <c r="S223" s="481"/>
      <c r="T223" s="481"/>
      <c r="U223" s="481"/>
      <c r="V223" s="481"/>
      <c r="W223" s="481"/>
      <c r="X223" s="481"/>
      <c r="Y223" s="481"/>
      <c r="Z223" s="481"/>
      <c r="AA223" s="481"/>
      <c r="AB223" s="481"/>
    </row>
    <row r="224">
      <c r="A224" s="481"/>
      <c r="B224" s="481"/>
      <c r="C224" s="481"/>
      <c r="D224" s="483"/>
      <c r="E224" s="481"/>
      <c r="F224" s="483"/>
      <c r="G224" s="481"/>
      <c r="H224" s="481"/>
      <c r="I224" s="481"/>
      <c r="J224" s="481"/>
      <c r="K224" s="481"/>
      <c r="L224" s="481"/>
      <c r="M224" s="481"/>
      <c r="N224" s="481"/>
      <c r="O224" s="481"/>
      <c r="P224" s="481"/>
      <c r="Q224" s="481"/>
      <c r="R224" s="481"/>
      <c r="S224" s="481"/>
      <c r="T224" s="481"/>
      <c r="U224" s="481"/>
      <c r="V224" s="481"/>
      <c r="W224" s="481"/>
      <c r="X224" s="481"/>
      <c r="Y224" s="481"/>
      <c r="Z224" s="481"/>
      <c r="AA224" s="481"/>
      <c r="AB224" s="481"/>
    </row>
    <row r="225">
      <c r="A225" s="481"/>
      <c r="B225" s="481"/>
      <c r="C225" s="481"/>
      <c r="D225" s="483"/>
      <c r="E225" s="481"/>
      <c r="F225" s="483"/>
      <c r="G225" s="481"/>
      <c r="H225" s="481"/>
      <c r="I225" s="481"/>
      <c r="J225" s="481"/>
      <c r="K225" s="481"/>
      <c r="L225" s="481"/>
      <c r="M225" s="481"/>
      <c r="N225" s="481"/>
      <c r="O225" s="481"/>
      <c r="P225" s="481"/>
      <c r="Q225" s="481"/>
      <c r="R225" s="481"/>
      <c r="S225" s="481"/>
      <c r="T225" s="481"/>
      <c r="U225" s="481"/>
      <c r="V225" s="481"/>
      <c r="W225" s="481"/>
      <c r="X225" s="481"/>
      <c r="Y225" s="481"/>
      <c r="Z225" s="481"/>
      <c r="AA225" s="481"/>
      <c r="AB225" s="481"/>
    </row>
    <row r="226">
      <c r="A226" s="481"/>
      <c r="B226" s="481"/>
      <c r="C226" s="481"/>
      <c r="D226" s="483"/>
      <c r="E226" s="481"/>
      <c r="F226" s="483"/>
      <c r="G226" s="481"/>
      <c r="H226" s="481"/>
      <c r="I226" s="481"/>
      <c r="J226" s="481"/>
      <c r="K226" s="481"/>
      <c r="L226" s="481"/>
      <c r="M226" s="481"/>
      <c r="N226" s="481"/>
      <c r="O226" s="481"/>
      <c r="P226" s="481"/>
      <c r="Q226" s="481"/>
      <c r="R226" s="481"/>
      <c r="S226" s="481"/>
      <c r="T226" s="481"/>
      <c r="U226" s="481"/>
      <c r="V226" s="481"/>
      <c r="W226" s="481"/>
      <c r="X226" s="481"/>
      <c r="Y226" s="481"/>
      <c r="Z226" s="481"/>
      <c r="AA226" s="481"/>
      <c r="AB226" s="481"/>
    </row>
    <row r="227">
      <c r="A227" s="481"/>
      <c r="B227" s="481"/>
      <c r="C227" s="481"/>
      <c r="D227" s="483"/>
      <c r="E227" s="481"/>
      <c r="F227" s="483"/>
      <c r="G227" s="481"/>
      <c r="H227" s="481"/>
      <c r="I227" s="481"/>
      <c r="J227" s="481"/>
      <c r="K227" s="481"/>
      <c r="L227" s="481"/>
      <c r="M227" s="481"/>
      <c r="N227" s="481"/>
      <c r="O227" s="481"/>
      <c r="P227" s="481"/>
      <c r="Q227" s="481"/>
      <c r="R227" s="481"/>
      <c r="S227" s="481"/>
      <c r="T227" s="481"/>
      <c r="U227" s="481"/>
      <c r="V227" s="481"/>
      <c r="W227" s="481"/>
      <c r="X227" s="481"/>
      <c r="Y227" s="481"/>
      <c r="Z227" s="481"/>
      <c r="AA227" s="481"/>
      <c r="AB227" s="481"/>
    </row>
    <row r="228">
      <c r="A228" s="481"/>
      <c r="B228" s="481"/>
      <c r="C228" s="481"/>
      <c r="D228" s="483"/>
      <c r="E228" s="481"/>
      <c r="F228" s="483"/>
      <c r="G228" s="481"/>
      <c r="H228" s="481"/>
      <c r="I228" s="481"/>
      <c r="J228" s="481"/>
      <c r="K228" s="481"/>
      <c r="L228" s="481"/>
      <c r="M228" s="481"/>
      <c r="N228" s="481"/>
      <c r="O228" s="481"/>
      <c r="P228" s="481"/>
      <c r="Q228" s="481"/>
      <c r="R228" s="481"/>
      <c r="S228" s="481"/>
      <c r="T228" s="481"/>
      <c r="U228" s="481"/>
      <c r="V228" s="481"/>
      <c r="W228" s="481"/>
      <c r="X228" s="481"/>
      <c r="Y228" s="481"/>
      <c r="Z228" s="481"/>
      <c r="AA228" s="481"/>
      <c r="AB228" s="481"/>
    </row>
    <row r="229">
      <c r="A229" s="481"/>
      <c r="B229" s="481"/>
      <c r="C229" s="481"/>
      <c r="D229" s="483"/>
      <c r="E229" s="481"/>
      <c r="F229" s="483"/>
      <c r="G229" s="481"/>
      <c r="H229" s="481"/>
      <c r="I229" s="481"/>
      <c r="J229" s="481"/>
      <c r="K229" s="481"/>
      <c r="L229" s="481"/>
      <c r="M229" s="481"/>
      <c r="N229" s="481"/>
      <c r="O229" s="481"/>
      <c r="P229" s="481"/>
      <c r="Q229" s="481"/>
      <c r="R229" s="481"/>
      <c r="S229" s="481"/>
      <c r="T229" s="481"/>
      <c r="U229" s="481"/>
      <c r="V229" s="481"/>
      <c r="W229" s="481"/>
      <c r="X229" s="481"/>
      <c r="Y229" s="481"/>
      <c r="Z229" s="481"/>
      <c r="AA229" s="481"/>
      <c r="AB229" s="481"/>
    </row>
    <row r="230">
      <c r="A230" s="481"/>
      <c r="B230" s="481"/>
      <c r="C230" s="481"/>
      <c r="D230" s="483"/>
      <c r="E230" s="481"/>
      <c r="F230" s="483"/>
      <c r="G230" s="481"/>
      <c r="H230" s="481"/>
      <c r="I230" s="481"/>
      <c r="J230" s="481"/>
      <c r="K230" s="481"/>
      <c r="L230" s="481"/>
      <c r="M230" s="481"/>
      <c r="N230" s="481"/>
      <c r="O230" s="481"/>
      <c r="P230" s="481"/>
      <c r="Q230" s="481"/>
      <c r="R230" s="481"/>
      <c r="S230" s="481"/>
      <c r="T230" s="481"/>
      <c r="U230" s="481"/>
      <c r="V230" s="481"/>
      <c r="W230" s="481"/>
      <c r="X230" s="481"/>
      <c r="Y230" s="481"/>
      <c r="Z230" s="481"/>
      <c r="AA230" s="481"/>
      <c r="AB230" s="481"/>
    </row>
    <row r="231">
      <c r="A231" s="481"/>
      <c r="B231" s="481"/>
      <c r="C231" s="481"/>
      <c r="D231" s="483"/>
      <c r="E231" s="481"/>
      <c r="F231" s="483"/>
      <c r="G231" s="481"/>
      <c r="H231" s="481"/>
      <c r="I231" s="481"/>
      <c r="J231" s="481"/>
      <c r="K231" s="481"/>
      <c r="L231" s="481"/>
      <c r="M231" s="481"/>
      <c r="N231" s="481"/>
      <c r="O231" s="481"/>
      <c r="P231" s="481"/>
      <c r="Q231" s="481"/>
      <c r="R231" s="481"/>
      <c r="S231" s="481"/>
      <c r="T231" s="481"/>
      <c r="U231" s="481"/>
      <c r="V231" s="481"/>
      <c r="W231" s="481"/>
      <c r="X231" s="481"/>
      <c r="Y231" s="481"/>
      <c r="Z231" s="481"/>
      <c r="AA231" s="481"/>
      <c r="AB231" s="481"/>
    </row>
    <row r="232">
      <c r="A232" s="481"/>
      <c r="B232" s="481"/>
      <c r="C232" s="481"/>
      <c r="D232" s="483"/>
      <c r="E232" s="481"/>
      <c r="F232" s="483"/>
      <c r="G232" s="481"/>
      <c r="H232" s="481"/>
      <c r="I232" s="481"/>
      <c r="J232" s="481"/>
      <c r="K232" s="481"/>
      <c r="L232" s="481"/>
      <c r="M232" s="481"/>
      <c r="N232" s="481"/>
      <c r="O232" s="481"/>
      <c r="P232" s="481"/>
      <c r="Q232" s="481"/>
      <c r="R232" s="481"/>
      <c r="S232" s="481"/>
      <c r="T232" s="481"/>
      <c r="U232" s="481"/>
      <c r="V232" s="481"/>
      <c r="W232" s="481"/>
      <c r="X232" s="481"/>
      <c r="Y232" s="481"/>
      <c r="Z232" s="481"/>
      <c r="AA232" s="481"/>
      <c r="AB232" s="481"/>
    </row>
    <row r="233">
      <c r="A233" s="481"/>
      <c r="B233" s="481"/>
      <c r="C233" s="481"/>
      <c r="D233" s="483"/>
      <c r="E233" s="481"/>
      <c r="F233" s="483"/>
      <c r="G233" s="481"/>
      <c r="H233" s="481"/>
      <c r="I233" s="481"/>
      <c r="J233" s="481"/>
      <c r="K233" s="481"/>
      <c r="L233" s="481"/>
      <c r="M233" s="481"/>
      <c r="N233" s="481"/>
      <c r="O233" s="481"/>
      <c r="P233" s="481"/>
      <c r="Q233" s="481"/>
      <c r="R233" s="481"/>
      <c r="S233" s="481"/>
      <c r="T233" s="481"/>
      <c r="U233" s="481"/>
      <c r="V233" s="481"/>
      <c r="W233" s="481"/>
      <c r="X233" s="481"/>
      <c r="Y233" s="481"/>
      <c r="Z233" s="481"/>
      <c r="AA233" s="481"/>
      <c r="AB233" s="481"/>
    </row>
    <row r="234">
      <c r="A234" s="481"/>
      <c r="B234" s="481"/>
      <c r="C234" s="481"/>
      <c r="D234" s="483"/>
      <c r="E234" s="481"/>
      <c r="F234" s="483"/>
      <c r="G234" s="481"/>
      <c r="H234" s="481"/>
      <c r="I234" s="481"/>
      <c r="J234" s="481"/>
      <c r="K234" s="481"/>
      <c r="L234" s="481"/>
      <c r="M234" s="481"/>
      <c r="N234" s="481"/>
      <c r="O234" s="481"/>
      <c r="P234" s="481"/>
      <c r="Q234" s="481"/>
      <c r="R234" s="481"/>
      <c r="S234" s="481"/>
      <c r="T234" s="481"/>
      <c r="U234" s="481"/>
      <c r="V234" s="481"/>
      <c r="W234" s="481"/>
      <c r="X234" s="481"/>
      <c r="Y234" s="481"/>
      <c r="Z234" s="481"/>
      <c r="AA234" s="481"/>
      <c r="AB234" s="481"/>
    </row>
    <row r="235">
      <c r="A235" s="481"/>
      <c r="B235" s="481"/>
      <c r="C235" s="481"/>
      <c r="D235" s="483"/>
      <c r="E235" s="481"/>
      <c r="F235" s="483"/>
      <c r="G235" s="481"/>
      <c r="H235" s="481"/>
      <c r="I235" s="481"/>
      <c r="J235" s="481"/>
      <c r="K235" s="481"/>
      <c r="L235" s="481"/>
      <c r="M235" s="481"/>
      <c r="N235" s="481"/>
      <c r="O235" s="481"/>
      <c r="P235" s="481"/>
      <c r="Q235" s="481"/>
      <c r="R235" s="481"/>
      <c r="S235" s="481"/>
      <c r="T235" s="481"/>
      <c r="U235" s="481"/>
      <c r="V235" s="481"/>
      <c r="W235" s="481"/>
      <c r="X235" s="481"/>
      <c r="Y235" s="481"/>
      <c r="Z235" s="481"/>
      <c r="AA235" s="481"/>
      <c r="AB235" s="481"/>
    </row>
    <row r="236">
      <c r="A236" s="481"/>
      <c r="B236" s="481"/>
      <c r="C236" s="481"/>
      <c r="D236" s="483"/>
      <c r="E236" s="481"/>
      <c r="F236" s="483"/>
      <c r="G236" s="481"/>
      <c r="H236" s="481"/>
      <c r="I236" s="481"/>
      <c r="J236" s="481"/>
      <c r="K236" s="481"/>
      <c r="L236" s="481"/>
      <c r="M236" s="481"/>
      <c r="N236" s="481"/>
      <c r="O236" s="481"/>
      <c r="P236" s="481"/>
      <c r="Q236" s="481"/>
      <c r="R236" s="481"/>
      <c r="S236" s="481"/>
      <c r="T236" s="481"/>
      <c r="U236" s="481"/>
      <c r="V236" s="481"/>
      <c r="W236" s="481"/>
      <c r="X236" s="481"/>
      <c r="Y236" s="481"/>
      <c r="Z236" s="481"/>
      <c r="AA236" s="481"/>
      <c r="AB236" s="481"/>
    </row>
    <row r="237">
      <c r="A237" s="481"/>
      <c r="B237" s="481"/>
      <c r="C237" s="481"/>
      <c r="D237" s="483"/>
      <c r="E237" s="481"/>
      <c r="F237" s="483"/>
      <c r="G237" s="481"/>
      <c r="H237" s="481"/>
      <c r="I237" s="481"/>
      <c r="J237" s="481"/>
      <c r="K237" s="481"/>
      <c r="L237" s="481"/>
      <c r="M237" s="481"/>
      <c r="N237" s="481"/>
      <c r="O237" s="481"/>
      <c r="P237" s="481"/>
      <c r="Q237" s="481"/>
      <c r="R237" s="481"/>
      <c r="S237" s="481"/>
      <c r="T237" s="481"/>
      <c r="U237" s="481"/>
      <c r="V237" s="481"/>
      <c r="W237" s="481"/>
      <c r="X237" s="481"/>
      <c r="Y237" s="481"/>
      <c r="Z237" s="481"/>
      <c r="AA237" s="481"/>
      <c r="AB237" s="481"/>
    </row>
    <row r="238">
      <c r="A238" s="481"/>
      <c r="B238" s="481"/>
      <c r="C238" s="481"/>
      <c r="D238" s="483"/>
      <c r="E238" s="481"/>
      <c r="F238" s="483"/>
      <c r="G238" s="481"/>
      <c r="H238" s="481"/>
      <c r="I238" s="481"/>
      <c r="J238" s="481"/>
      <c r="K238" s="481"/>
      <c r="L238" s="481"/>
      <c r="M238" s="481"/>
      <c r="N238" s="481"/>
      <c r="O238" s="481"/>
      <c r="P238" s="481"/>
      <c r="Q238" s="481"/>
      <c r="R238" s="481"/>
      <c r="S238" s="481"/>
      <c r="T238" s="481"/>
      <c r="U238" s="481"/>
      <c r="V238" s="481"/>
      <c r="W238" s="481"/>
      <c r="X238" s="481"/>
      <c r="Y238" s="481"/>
      <c r="Z238" s="481"/>
      <c r="AA238" s="481"/>
      <c r="AB238" s="481"/>
    </row>
    <row r="239">
      <c r="A239" s="481"/>
      <c r="B239" s="481"/>
      <c r="C239" s="481"/>
      <c r="D239" s="483"/>
      <c r="E239" s="481"/>
      <c r="F239" s="483"/>
      <c r="G239" s="481"/>
      <c r="H239" s="481"/>
      <c r="I239" s="481"/>
      <c r="J239" s="481"/>
      <c r="K239" s="481"/>
      <c r="L239" s="481"/>
      <c r="M239" s="481"/>
      <c r="N239" s="481"/>
      <c r="O239" s="481"/>
      <c r="P239" s="481"/>
      <c r="Q239" s="481"/>
      <c r="R239" s="481"/>
      <c r="S239" s="481"/>
      <c r="T239" s="481"/>
      <c r="U239" s="481"/>
      <c r="V239" s="481"/>
      <c r="W239" s="481"/>
      <c r="X239" s="481"/>
      <c r="Y239" s="481"/>
      <c r="Z239" s="481"/>
      <c r="AA239" s="481"/>
      <c r="AB239" s="481"/>
    </row>
    <row r="240">
      <c r="A240" s="481"/>
      <c r="B240" s="481"/>
      <c r="C240" s="481"/>
      <c r="D240" s="483"/>
      <c r="E240" s="481"/>
      <c r="F240" s="483"/>
      <c r="G240" s="481"/>
      <c r="H240" s="481"/>
      <c r="I240" s="481"/>
      <c r="J240" s="481"/>
      <c r="K240" s="481"/>
      <c r="L240" s="481"/>
      <c r="M240" s="481"/>
      <c r="N240" s="481"/>
      <c r="O240" s="481"/>
      <c r="P240" s="481"/>
      <c r="Q240" s="481"/>
      <c r="R240" s="481"/>
      <c r="S240" s="481"/>
      <c r="T240" s="481"/>
      <c r="U240" s="481"/>
      <c r="V240" s="481"/>
      <c r="W240" s="481"/>
      <c r="X240" s="481"/>
      <c r="Y240" s="481"/>
      <c r="Z240" s="481"/>
      <c r="AA240" s="481"/>
      <c r="AB240" s="481"/>
    </row>
    <row r="241">
      <c r="A241" s="481"/>
      <c r="B241" s="481"/>
      <c r="C241" s="481"/>
      <c r="D241" s="483"/>
      <c r="E241" s="481"/>
      <c r="F241" s="483"/>
      <c r="G241" s="481"/>
      <c r="H241" s="481"/>
      <c r="I241" s="481"/>
      <c r="J241" s="481"/>
      <c r="K241" s="481"/>
      <c r="L241" s="481"/>
      <c r="M241" s="481"/>
      <c r="N241" s="481"/>
      <c r="O241" s="481"/>
      <c r="P241" s="481"/>
      <c r="Q241" s="481"/>
      <c r="R241" s="481"/>
      <c r="S241" s="481"/>
      <c r="T241" s="481"/>
      <c r="U241" s="481"/>
      <c r="V241" s="481"/>
      <c r="W241" s="481"/>
      <c r="X241" s="481"/>
      <c r="Y241" s="481"/>
      <c r="Z241" s="481"/>
      <c r="AA241" s="481"/>
      <c r="AB241" s="481"/>
    </row>
    <row r="242">
      <c r="A242" s="481"/>
      <c r="B242" s="481"/>
      <c r="C242" s="481"/>
      <c r="D242" s="483"/>
      <c r="E242" s="481"/>
      <c r="F242" s="483"/>
      <c r="G242" s="481"/>
      <c r="H242" s="481"/>
      <c r="I242" s="481"/>
      <c r="J242" s="481"/>
      <c r="K242" s="481"/>
      <c r="L242" s="481"/>
      <c r="M242" s="481"/>
      <c r="N242" s="481"/>
      <c r="O242" s="481"/>
      <c r="P242" s="481"/>
      <c r="Q242" s="481"/>
      <c r="R242" s="481"/>
      <c r="S242" s="481"/>
      <c r="T242" s="481"/>
      <c r="U242" s="481"/>
      <c r="V242" s="481"/>
      <c r="W242" s="481"/>
      <c r="X242" s="481"/>
      <c r="Y242" s="481"/>
      <c r="Z242" s="481"/>
      <c r="AA242" s="481"/>
      <c r="AB242" s="481"/>
    </row>
    <row r="243">
      <c r="A243" s="481"/>
      <c r="B243" s="481"/>
      <c r="C243" s="481"/>
      <c r="D243" s="483"/>
      <c r="E243" s="481"/>
      <c r="F243" s="483"/>
      <c r="G243" s="481"/>
      <c r="H243" s="481"/>
      <c r="I243" s="481"/>
      <c r="J243" s="481"/>
      <c r="K243" s="481"/>
      <c r="L243" s="481"/>
      <c r="M243" s="481"/>
      <c r="N243" s="481"/>
      <c r="O243" s="481"/>
      <c r="P243" s="481"/>
      <c r="Q243" s="481"/>
      <c r="R243" s="481"/>
      <c r="S243" s="481"/>
      <c r="T243" s="481"/>
      <c r="U243" s="481"/>
      <c r="V243" s="481"/>
      <c r="W243" s="481"/>
      <c r="X243" s="481"/>
      <c r="Y243" s="481"/>
      <c r="Z243" s="481"/>
      <c r="AA243" s="481"/>
      <c r="AB243" s="481"/>
    </row>
    <row r="244">
      <c r="A244" s="481"/>
      <c r="B244" s="481"/>
      <c r="C244" s="481"/>
      <c r="D244" s="483"/>
      <c r="E244" s="481"/>
      <c r="F244" s="483"/>
      <c r="G244" s="481"/>
      <c r="H244" s="481"/>
      <c r="I244" s="481"/>
      <c r="J244" s="481"/>
      <c r="K244" s="481"/>
      <c r="L244" s="481"/>
      <c r="M244" s="481"/>
      <c r="N244" s="481"/>
      <c r="O244" s="481"/>
      <c r="P244" s="481"/>
      <c r="Q244" s="481"/>
      <c r="R244" s="481"/>
      <c r="S244" s="481"/>
      <c r="T244" s="481"/>
      <c r="U244" s="481"/>
      <c r="V244" s="481"/>
      <c r="W244" s="481"/>
      <c r="X244" s="481"/>
      <c r="Y244" s="481"/>
      <c r="Z244" s="481"/>
      <c r="AA244" s="481"/>
      <c r="AB244" s="481"/>
    </row>
    <row r="245">
      <c r="A245" s="481"/>
      <c r="B245" s="481"/>
      <c r="C245" s="481"/>
      <c r="D245" s="483"/>
      <c r="E245" s="481"/>
      <c r="F245" s="483"/>
      <c r="G245" s="481"/>
      <c r="H245" s="481"/>
      <c r="I245" s="481"/>
      <c r="J245" s="481"/>
      <c r="K245" s="481"/>
      <c r="L245" s="481"/>
      <c r="M245" s="481"/>
      <c r="N245" s="481"/>
      <c r="O245" s="481"/>
      <c r="P245" s="481"/>
      <c r="Q245" s="481"/>
      <c r="R245" s="481"/>
      <c r="S245" s="481"/>
      <c r="T245" s="481"/>
      <c r="U245" s="481"/>
      <c r="V245" s="481"/>
      <c r="W245" s="481"/>
      <c r="X245" s="481"/>
      <c r="Y245" s="481"/>
      <c r="Z245" s="481"/>
      <c r="AA245" s="481"/>
      <c r="AB245" s="481"/>
    </row>
    <row r="246">
      <c r="A246" s="481"/>
      <c r="B246" s="481"/>
      <c r="C246" s="481"/>
      <c r="D246" s="483"/>
      <c r="E246" s="481"/>
      <c r="F246" s="483"/>
      <c r="G246" s="481"/>
      <c r="H246" s="481"/>
      <c r="I246" s="481"/>
      <c r="J246" s="481"/>
      <c r="K246" s="481"/>
      <c r="L246" s="481"/>
      <c r="M246" s="481"/>
      <c r="N246" s="481"/>
      <c r="O246" s="481"/>
      <c r="P246" s="481"/>
      <c r="Q246" s="481"/>
      <c r="R246" s="481"/>
      <c r="S246" s="481"/>
      <c r="T246" s="481"/>
      <c r="U246" s="481"/>
      <c r="V246" s="481"/>
      <c r="W246" s="481"/>
      <c r="X246" s="481"/>
      <c r="Y246" s="481"/>
      <c r="Z246" s="481"/>
      <c r="AA246" s="481"/>
      <c r="AB246" s="481"/>
    </row>
    <row r="247">
      <c r="A247" s="481"/>
      <c r="B247" s="481"/>
      <c r="C247" s="481"/>
      <c r="D247" s="483"/>
      <c r="E247" s="481"/>
      <c r="F247" s="483"/>
      <c r="G247" s="481"/>
      <c r="H247" s="481"/>
      <c r="I247" s="481"/>
      <c r="J247" s="481"/>
      <c r="K247" s="481"/>
      <c r="L247" s="481"/>
      <c r="M247" s="481"/>
      <c r="N247" s="481"/>
      <c r="O247" s="481"/>
      <c r="P247" s="481"/>
      <c r="Q247" s="481"/>
      <c r="R247" s="481"/>
      <c r="S247" s="481"/>
      <c r="T247" s="481"/>
      <c r="U247" s="481"/>
      <c r="V247" s="481"/>
      <c r="W247" s="481"/>
      <c r="X247" s="481"/>
      <c r="Y247" s="481"/>
      <c r="Z247" s="481"/>
      <c r="AA247" s="481"/>
      <c r="AB247" s="481"/>
    </row>
    <row r="248">
      <c r="A248" s="481"/>
      <c r="B248" s="481"/>
      <c r="C248" s="481"/>
      <c r="D248" s="483"/>
      <c r="E248" s="481"/>
      <c r="F248" s="483"/>
      <c r="G248" s="481"/>
      <c r="H248" s="481"/>
      <c r="I248" s="481"/>
      <c r="J248" s="481"/>
      <c r="K248" s="481"/>
      <c r="L248" s="481"/>
      <c r="M248" s="481"/>
      <c r="N248" s="481"/>
      <c r="O248" s="481"/>
      <c r="P248" s="481"/>
      <c r="Q248" s="481"/>
      <c r="R248" s="481"/>
      <c r="S248" s="481"/>
      <c r="T248" s="481"/>
      <c r="U248" s="481"/>
      <c r="V248" s="481"/>
      <c r="W248" s="481"/>
      <c r="X248" s="481"/>
      <c r="Y248" s="481"/>
      <c r="Z248" s="481"/>
      <c r="AA248" s="481"/>
      <c r="AB248" s="481"/>
    </row>
    <row r="249">
      <c r="A249" s="481"/>
      <c r="B249" s="481"/>
      <c r="C249" s="481"/>
      <c r="D249" s="483"/>
      <c r="E249" s="481"/>
      <c r="F249" s="483"/>
      <c r="G249" s="481"/>
      <c r="H249" s="481"/>
      <c r="I249" s="481"/>
      <c r="J249" s="481"/>
      <c r="K249" s="481"/>
      <c r="L249" s="481"/>
      <c r="M249" s="481"/>
      <c r="N249" s="481"/>
      <c r="O249" s="481"/>
      <c r="P249" s="481"/>
      <c r="Q249" s="481"/>
      <c r="R249" s="481"/>
      <c r="S249" s="481"/>
      <c r="T249" s="481"/>
      <c r="U249" s="481"/>
      <c r="V249" s="481"/>
      <c r="W249" s="481"/>
      <c r="X249" s="481"/>
      <c r="Y249" s="481"/>
      <c r="Z249" s="481"/>
      <c r="AA249" s="481"/>
      <c r="AB249" s="481"/>
    </row>
    <row r="250">
      <c r="A250" s="481"/>
      <c r="B250" s="481"/>
      <c r="C250" s="481"/>
      <c r="D250" s="483"/>
      <c r="E250" s="481"/>
      <c r="F250" s="483"/>
      <c r="G250" s="481"/>
      <c r="H250" s="481"/>
      <c r="I250" s="481"/>
      <c r="J250" s="481"/>
      <c r="K250" s="481"/>
      <c r="L250" s="481"/>
      <c r="M250" s="481"/>
      <c r="N250" s="481"/>
      <c r="O250" s="481"/>
      <c r="P250" s="481"/>
      <c r="Q250" s="481"/>
      <c r="R250" s="481"/>
      <c r="S250" s="481"/>
      <c r="T250" s="481"/>
      <c r="U250" s="481"/>
      <c r="V250" s="481"/>
      <c r="W250" s="481"/>
      <c r="X250" s="481"/>
      <c r="Y250" s="481"/>
      <c r="Z250" s="481"/>
      <c r="AA250" s="481"/>
      <c r="AB250" s="481"/>
    </row>
    <row r="251">
      <c r="A251" s="481"/>
      <c r="B251" s="481"/>
      <c r="C251" s="481"/>
      <c r="D251" s="483"/>
      <c r="E251" s="481"/>
      <c r="F251" s="483"/>
      <c r="G251" s="481"/>
      <c r="H251" s="481"/>
      <c r="I251" s="481"/>
      <c r="J251" s="481"/>
      <c r="K251" s="481"/>
      <c r="L251" s="481"/>
      <c r="M251" s="481"/>
      <c r="N251" s="481"/>
      <c r="O251" s="481"/>
      <c r="P251" s="481"/>
      <c r="Q251" s="481"/>
      <c r="R251" s="481"/>
      <c r="S251" s="481"/>
      <c r="T251" s="481"/>
      <c r="U251" s="481"/>
      <c r="V251" s="481"/>
      <c r="W251" s="481"/>
      <c r="X251" s="481"/>
      <c r="Y251" s="481"/>
      <c r="Z251" s="481"/>
      <c r="AA251" s="481"/>
      <c r="AB251" s="481"/>
    </row>
    <row r="252">
      <c r="A252" s="481"/>
      <c r="B252" s="481"/>
      <c r="C252" s="481"/>
      <c r="D252" s="483"/>
      <c r="E252" s="481"/>
      <c r="F252" s="483"/>
      <c r="G252" s="481"/>
      <c r="H252" s="481"/>
      <c r="I252" s="481"/>
      <c r="J252" s="481"/>
      <c r="K252" s="481"/>
      <c r="L252" s="481"/>
      <c r="M252" s="481"/>
      <c r="N252" s="481"/>
      <c r="O252" s="481"/>
      <c r="P252" s="481"/>
      <c r="Q252" s="481"/>
      <c r="R252" s="481"/>
      <c r="S252" s="481"/>
      <c r="T252" s="481"/>
      <c r="U252" s="481"/>
      <c r="V252" s="481"/>
      <c r="W252" s="481"/>
      <c r="X252" s="481"/>
      <c r="Y252" s="481"/>
      <c r="Z252" s="481"/>
      <c r="AA252" s="481"/>
      <c r="AB252" s="481"/>
    </row>
    <row r="253">
      <c r="A253" s="481"/>
      <c r="B253" s="481"/>
      <c r="C253" s="481"/>
      <c r="D253" s="483"/>
      <c r="E253" s="481"/>
      <c r="F253" s="483"/>
      <c r="G253" s="481"/>
      <c r="H253" s="481"/>
      <c r="I253" s="481"/>
      <c r="J253" s="481"/>
      <c r="K253" s="481"/>
      <c r="L253" s="481"/>
      <c r="M253" s="481"/>
      <c r="N253" s="481"/>
      <c r="O253" s="481"/>
      <c r="P253" s="481"/>
      <c r="Q253" s="481"/>
      <c r="R253" s="481"/>
      <c r="S253" s="481"/>
      <c r="T253" s="481"/>
      <c r="U253" s="481"/>
      <c r="V253" s="481"/>
      <c r="W253" s="481"/>
      <c r="X253" s="481"/>
      <c r="Y253" s="481"/>
      <c r="Z253" s="481"/>
      <c r="AA253" s="481"/>
      <c r="AB253" s="481"/>
    </row>
    <row r="254">
      <c r="A254" s="481"/>
      <c r="B254" s="481"/>
      <c r="C254" s="481"/>
      <c r="D254" s="483"/>
      <c r="E254" s="481"/>
      <c r="F254" s="483"/>
      <c r="G254" s="481"/>
      <c r="H254" s="481"/>
      <c r="I254" s="481"/>
      <c r="J254" s="481"/>
      <c r="K254" s="481"/>
      <c r="L254" s="481"/>
      <c r="M254" s="481"/>
      <c r="N254" s="481"/>
      <c r="O254" s="481"/>
      <c r="P254" s="481"/>
      <c r="Q254" s="481"/>
      <c r="R254" s="481"/>
      <c r="S254" s="481"/>
      <c r="T254" s="481"/>
      <c r="U254" s="481"/>
      <c r="V254" s="481"/>
      <c r="W254" s="481"/>
      <c r="X254" s="481"/>
      <c r="Y254" s="481"/>
      <c r="Z254" s="481"/>
      <c r="AA254" s="481"/>
      <c r="AB254" s="481"/>
    </row>
    <row r="255">
      <c r="A255" s="481"/>
      <c r="B255" s="481"/>
      <c r="C255" s="481"/>
      <c r="D255" s="483"/>
      <c r="E255" s="481"/>
      <c r="F255" s="483"/>
      <c r="G255" s="481"/>
      <c r="H255" s="481"/>
      <c r="I255" s="481"/>
      <c r="J255" s="481"/>
      <c r="K255" s="481"/>
      <c r="L255" s="481"/>
      <c r="M255" s="481"/>
      <c r="N255" s="481"/>
      <c r="O255" s="481"/>
      <c r="P255" s="481"/>
      <c r="Q255" s="481"/>
      <c r="R255" s="481"/>
      <c r="S255" s="481"/>
      <c r="T255" s="481"/>
      <c r="U255" s="481"/>
      <c r="V255" s="481"/>
      <c r="W255" s="481"/>
      <c r="X255" s="481"/>
      <c r="Y255" s="481"/>
      <c r="Z255" s="481"/>
      <c r="AA255" s="481"/>
      <c r="AB255" s="481"/>
    </row>
    <row r="256">
      <c r="A256" s="481"/>
      <c r="B256" s="481"/>
      <c r="C256" s="481"/>
      <c r="D256" s="483"/>
      <c r="E256" s="481"/>
      <c r="F256" s="483"/>
      <c r="G256" s="481"/>
      <c r="H256" s="481"/>
      <c r="I256" s="481"/>
      <c r="J256" s="481"/>
      <c r="K256" s="481"/>
      <c r="L256" s="481"/>
      <c r="M256" s="481"/>
      <c r="N256" s="481"/>
      <c r="O256" s="481"/>
      <c r="P256" s="481"/>
      <c r="Q256" s="481"/>
      <c r="R256" s="481"/>
      <c r="S256" s="481"/>
      <c r="T256" s="481"/>
      <c r="U256" s="481"/>
      <c r="V256" s="481"/>
      <c r="W256" s="481"/>
      <c r="X256" s="481"/>
      <c r="Y256" s="481"/>
      <c r="Z256" s="481"/>
      <c r="AA256" s="481"/>
      <c r="AB256" s="481"/>
    </row>
    <row r="257">
      <c r="A257" s="481"/>
      <c r="B257" s="481"/>
      <c r="C257" s="481"/>
      <c r="D257" s="483"/>
      <c r="E257" s="481"/>
      <c r="F257" s="483"/>
      <c r="G257" s="481"/>
      <c r="H257" s="481"/>
      <c r="I257" s="481"/>
      <c r="J257" s="481"/>
      <c r="K257" s="481"/>
      <c r="L257" s="481"/>
      <c r="M257" s="481"/>
      <c r="N257" s="481"/>
      <c r="O257" s="481"/>
      <c r="P257" s="481"/>
      <c r="Q257" s="481"/>
      <c r="R257" s="481"/>
      <c r="S257" s="481"/>
      <c r="T257" s="481"/>
      <c r="U257" s="481"/>
      <c r="V257" s="481"/>
      <c r="W257" s="481"/>
      <c r="X257" s="481"/>
      <c r="Y257" s="481"/>
      <c r="Z257" s="481"/>
      <c r="AA257" s="481"/>
      <c r="AB257" s="481"/>
    </row>
    <row r="258">
      <c r="A258" s="481"/>
      <c r="B258" s="481"/>
      <c r="C258" s="481"/>
      <c r="D258" s="483"/>
      <c r="E258" s="481"/>
      <c r="F258" s="483"/>
      <c r="G258" s="481"/>
      <c r="H258" s="481"/>
      <c r="I258" s="481"/>
      <c r="J258" s="481"/>
      <c r="K258" s="481"/>
      <c r="L258" s="481"/>
      <c r="M258" s="481"/>
      <c r="N258" s="481"/>
      <c r="O258" s="481"/>
      <c r="P258" s="481"/>
      <c r="Q258" s="481"/>
      <c r="R258" s="481"/>
      <c r="S258" s="481"/>
      <c r="T258" s="481"/>
      <c r="U258" s="481"/>
      <c r="V258" s="481"/>
      <c r="W258" s="481"/>
      <c r="X258" s="481"/>
      <c r="Y258" s="481"/>
      <c r="Z258" s="481"/>
      <c r="AA258" s="481"/>
      <c r="AB258" s="481"/>
    </row>
    <row r="259">
      <c r="A259" s="481"/>
      <c r="B259" s="481"/>
      <c r="C259" s="481"/>
      <c r="D259" s="483"/>
      <c r="E259" s="481"/>
      <c r="F259" s="483"/>
      <c r="G259" s="481"/>
      <c r="H259" s="481"/>
      <c r="I259" s="481"/>
      <c r="J259" s="481"/>
      <c r="K259" s="481"/>
      <c r="L259" s="481"/>
      <c r="M259" s="481"/>
      <c r="N259" s="481"/>
      <c r="O259" s="481"/>
      <c r="P259" s="481"/>
      <c r="Q259" s="481"/>
      <c r="R259" s="481"/>
      <c r="S259" s="481"/>
      <c r="T259" s="481"/>
      <c r="U259" s="481"/>
      <c r="V259" s="481"/>
      <c r="W259" s="481"/>
      <c r="X259" s="481"/>
      <c r="Y259" s="481"/>
      <c r="Z259" s="481"/>
      <c r="AA259" s="481"/>
      <c r="AB259" s="481"/>
    </row>
    <row r="260">
      <c r="A260" s="481"/>
      <c r="B260" s="481"/>
      <c r="C260" s="481"/>
      <c r="D260" s="483"/>
      <c r="E260" s="481"/>
      <c r="F260" s="483"/>
      <c r="G260" s="481"/>
      <c r="H260" s="481"/>
      <c r="I260" s="481"/>
      <c r="J260" s="481"/>
      <c r="K260" s="481"/>
      <c r="L260" s="481"/>
      <c r="M260" s="481"/>
      <c r="N260" s="481"/>
      <c r="O260" s="481"/>
      <c r="P260" s="481"/>
      <c r="Q260" s="481"/>
      <c r="R260" s="481"/>
      <c r="S260" s="481"/>
      <c r="T260" s="481"/>
      <c r="U260" s="481"/>
      <c r="V260" s="481"/>
      <c r="W260" s="481"/>
      <c r="X260" s="481"/>
      <c r="Y260" s="481"/>
      <c r="Z260" s="481"/>
      <c r="AA260" s="481"/>
      <c r="AB260" s="481"/>
    </row>
    <row r="261">
      <c r="A261" s="481"/>
      <c r="B261" s="481"/>
      <c r="C261" s="481"/>
      <c r="D261" s="483"/>
      <c r="E261" s="481"/>
      <c r="F261" s="483"/>
      <c r="G261" s="481"/>
      <c r="H261" s="481"/>
      <c r="I261" s="481"/>
      <c r="J261" s="481"/>
      <c r="K261" s="481"/>
      <c r="L261" s="481"/>
      <c r="M261" s="481"/>
      <c r="N261" s="481"/>
      <c r="O261" s="481"/>
      <c r="P261" s="481"/>
      <c r="Q261" s="481"/>
      <c r="R261" s="481"/>
      <c r="S261" s="481"/>
      <c r="T261" s="481"/>
      <c r="U261" s="481"/>
      <c r="V261" s="481"/>
      <c r="W261" s="481"/>
      <c r="X261" s="481"/>
      <c r="Y261" s="481"/>
      <c r="Z261" s="481"/>
      <c r="AA261" s="481"/>
      <c r="AB261" s="481"/>
    </row>
    <row r="262">
      <c r="A262" s="481"/>
      <c r="B262" s="481"/>
      <c r="C262" s="481"/>
      <c r="D262" s="483"/>
      <c r="E262" s="481"/>
      <c r="F262" s="483"/>
      <c r="G262" s="481"/>
      <c r="H262" s="481"/>
      <c r="I262" s="481"/>
      <c r="J262" s="481"/>
      <c r="K262" s="481"/>
      <c r="L262" s="481"/>
      <c r="M262" s="481"/>
      <c r="N262" s="481"/>
      <c r="O262" s="481"/>
      <c r="P262" s="481"/>
      <c r="Q262" s="481"/>
      <c r="R262" s="481"/>
      <c r="S262" s="481"/>
      <c r="T262" s="481"/>
      <c r="U262" s="481"/>
      <c r="V262" s="481"/>
      <c r="W262" s="481"/>
      <c r="X262" s="481"/>
      <c r="Y262" s="481"/>
      <c r="Z262" s="481"/>
      <c r="AA262" s="481"/>
      <c r="AB262" s="481"/>
    </row>
    <row r="263">
      <c r="A263" s="481"/>
      <c r="B263" s="481"/>
      <c r="C263" s="481"/>
      <c r="D263" s="483"/>
      <c r="E263" s="481"/>
      <c r="F263" s="483"/>
      <c r="G263" s="481"/>
      <c r="H263" s="481"/>
      <c r="I263" s="481"/>
      <c r="J263" s="481"/>
      <c r="K263" s="481"/>
      <c r="L263" s="481"/>
      <c r="M263" s="481"/>
      <c r="N263" s="481"/>
      <c r="O263" s="481"/>
      <c r="P263" s="481"/>
      <c r="Q263" s="481"/>
      <c r="R263" s="481"/>
      <c r="S263" s="481"/>
      <c r="T263" s="481"/>
      <c r="U263" s="481"/>
      <c r="V263" s="481"/>
      <c r="W263" s="481"/>
      <c r="X263" s="481"/>
      <c r="Y263" s="481"/>
      <c r="Z263" s="481"/>
      <c r="AA263" s="481"/>
      <c r="AB263" s="481"/>
    </row>
    <row r="264">
      <c r="A264" s="481"/>
      <c r="B264" s="481"/>
      <c r="C264" s="481"/>
      <c r="D264" s="483"/>
      <c r="E264" s="481"/>
      <c r="F264" s="483"/>
      <c r="G264" s="481"/>
      <c r="H264" s="481"/>
      <c r="I264" s="481"/>
      <c r="J264" s="481"/>
      <c r="K264" s="481"/>
      <c r="L264" s="481"/>
      <c r="M264" s="481"/>
      <c r="N264" s="481"/>
      <c r="O264" s="481"/>
      <c r="P264" s="481"/>
      <c r="Q264" s="481"/>
      <c r="R264" s="481"/>
      <c r="S264" s="481"/>
      <c r="T264" s="481"/>
      <c r="U264" s="481"/>
      <c r="V264" s="481"/>
      <c r="W264" s="481"/>
      <c r="X264" s="481"/>
      <c r="Y264" s="481"/>
      <c r="Z264" s="481"/>
      <c r="AA264" s="481"/>
      <c r="AB264" s="481"/>
    </row>
    <row r="265">
      <c r="A265" s="481"/>
      <c r="B265" s="481"/>
      <c r="C265" s="481"/>
      <c r="D265" s="483"/>
      <c r="E265" s="481"/>
      <c r="F265" s="483"/>
      <c r="G265" s="481"/>
      <c r="H265" s="481"/>
      <c r="I265" s="481"/>
      <c r="J265" s="481"/>
      <c r="K265" s="481"/>
      <c r="L265" s="481"/>
      <c r="M265" s="481"/>
      <c r="N265" s="481"/>
      <c r="O265" s="481"/>
      <c r="P265" s="481"/>
      <c r="Q265" s="481"/>
      <c r="R265" s="481"/>
      <c r="S265" s="481"/>
      <c r="T265" s="481"/>
      <c r="U265" s="481"/>
      <c r="V265" s="481"/>
      <c r="W265" s="481"/>
      <c r="X265" s="481"/>
      <c r="Y265" s="481"/>
      <c r="Z265" s="481"/>
      <c r="AA265" s="481"/>
      <c r="AB265" s="481"/>
    </row>
    <row r="266">
      <c r="A266" s="481"/>
      <c r="B266" s="481"/>
      <c r="C266" s="481"/>
      <c r="D266" s="483"/>
      <c r="E266" s="481"/>
      <c r="F266" s="483"/>
      <c r="G266" s="481"/>
      <c r="H266" s="481"/>
      <c r="I266" s="481"/>
      <c r="J266" s="481"/>
      <c r="K266" s="481"/>
      <c r="L266" s="481"/>
      <c r="M266" s="481"/>
      <c r="N266" s="481"/>
      <c r="O266" s="481"/>
      <c r="P266" s="481"/>
      <c r="Q266" s="481"/>
      <c r="R266" s="481"/>
      <c r="S266" s="481"/>
      <c r="T266" s="481"/>
      <c r="U266" s="481"/>
      <c r="V266" s="481"/>
      <c r="W266" s="481"/>
      <c r="X266" s="481"/>
      <c r="Y266" s="481"/>
      <c r="Z266" s="481"/>
      <c r="AA266" s="481"/>
      <c r="AB266" s="481"/>
    </row>
    <row r="267">
      <c r="A267" s="481"/>
      <c r="B267" s="481"/>
      <c r="C267" s="481"/>
      <c r="D267" s="483"/>
      <c r="E267" s="481"/>
      <c r="F267" s="483"/>
      <c r="G267" s="481"/>
      <c r="H267" s="481"/>
      <c r="I267" s="481"/>
      <c r="J267" s="481"/>
      <c r="K267" s="481"/>
      <c r="L267" s="481"/>
      <c r="M267" s="481"/>
      <c r="N267" s="481"/>
      <c r="O267" s="481"/>
      <c r="P267" s="481"/>
      <c r="Q267" s="481"/>
      <c r="R267" s="481"/>
      <c r="S267" s="481"/>
      <c r="T267" s="481"/>
      <c r="U267" s="481"/>
      <c r="V267" s="481"/>
      <c r="W267" s="481"/>
      <c r="X267" s="481"/>
      <c r="Y267" s="481"/>
      <c r="Z267" s="481"/>
      <c r="AA267" s="481"/>
      <c r="AB267" s="481"/>
    </row>
    <row r="268">
      <c r="A268" s="481"/>
      <c r="B268" s="481"/>
      <c r="C268" s="481"/>
      <c r="D268" s="483"/>
      <c r="E268" s="481"/>
      <c r="F268" s="483"/>
      <c r="G268" s="481"/>
      <c r="H268" s="481"/>
      <c r="I268" s="481"/>
      <c r="J268" s="481"/>
      <c r="K268" s="481"/>
      <c r="L268" s="481"/>
      <c r="M268" s="481"/>
      <c r="N268" s="481"/>
      <c r="O268" s="481"/>
      <c r="P268" s="481"/>
      <c r="Q268" s="481"/>
      <c r="R268" s="481"/>
      <c r="S268" s="481"/>
      <c r="T268" s="481"/>
      <c r="U268" s="481"/>
      <c r="V268" s="481"/>
      <c r="W268" s="481"/>
      <c r="X268" s="481"/>
      <c r="Y268" s="481"/>
      <c r="Z268" s="481"/>
      <c r="AA268" s="481"/>
      <c r="AB268" s="481"/>
    </row>
    <row r="269">
      <c r="A269" s="481"/>
      <c r="B269" s="481"/>
      <c r="C269" s="481"/>
      <c r="D269" s="483"/>
      <c r="E269" s="481"/>
      <c r="F269" s="483"/>
      <c r="G269" s="481"/>
      <c r="H269" s="481"/>
      <c r="I269" s="481"/>
      <c r="J269" s="481"/>
      <c r="K269" s="481"/>
      <c r="L269" s="481"/>
      <c r="M269" s="481"/>
      <c r="N269" s="481"/>
      <c r="O269" s="481"/>
      <c r="P269" s="481"/>
      <c r="Q269" s="481"/>
      <c r="R269" s="481"/>
      <c r="S269" s="481"/>
      <c r="T269" s="481"/>
      <c r="U269" s="481"/>
      <c r="V269" s="481"/>
      <c r="W269" s="481"/>
      <c r="X269" s="481"/>
      <c r="Y269" s="481"/>
      <c r="Z269" s="481"/>
      <c r="AA269" s="481"/>
      <c r="AB269" s="481"/>
    </row>
    <row r="270">
      <c r="A270" s="481"/>
      <c r="B270" s="481"/>
      <c r="C270" s="481"/>
      <c r="D270" s="483"/>
      <c r="E270" s="481"/>
      <c r="F270" s="483"/>
      <c r="G270" s="481"/>
      <c r="H270" s="481"/>
      <c r="I270" s="481"/>
      <c r="J270" s="481"/>
      <c r="K270" s="481"/>
      <c r="L270" s="481"/>
      <c r="M270" s="481"/>
      <c r="N270" s="481"/>
      <c r="O270" s="481"/>
      <c r="P270" s="481"/>
      <c r="Q270" s="481"/>
      <c r="R270" s="481"/>
      <c r="S270" s="481"/>
      <c r="T270" s="481"/>
      <c r="U270" s="481"/>
      <c r="V270" s="481"/>
      <c r="W270" s="481"/>
      <c r="X270" s="481"/>
      <c r="Y270" s="481"/>
      <c r="Z270" s="481"/>
      <c r="AA270" s="481"/>
      <c r="AB270" s="481"/>
    </row>
    <row r="271">
      <c r="A271" s="481"/>
      <c r="B271" s="481"/>
      <c r="C271" s="481"/>
      <c r="D271" s="483"/>
      <c r="E271" s="481"/>
      <c r="F271" s="483"/>
      <c r="G271" s="481"/>
      <c r="H271" s="481"/>
      <c r="I271" s="481"/>
      <c r="J271" s="481"/>
      <c r="K271" s="481"/>
      <c r="L271" s="481"/>
      <c r="M271" s="481"/>
      <c r="N271" s="481"/>
      <c r="O271" s="481"/>
      <c r="P271" s="481"/>
      <c r="Q271" s="481"/>
      <c r="R271" s="481"/>
      <c r="S271" s="481"/>
      <c r="T271" s="481"/>
      <c r="U271" s="481"/>
      <c r="V271" s="481"/>
      <c r="W271" s="481"/>
      <c r="X271" s="481"/>
      <c r="Y271" s="481"/>
      <c r="Z271" s="481"/>
      <c r="AA271" s="481"/>
      <c r="AB271" s="481"/>
    </row>
    <row r="272">
      <c r="A272" s="481"/>
      <c r="B272" s="481"/>
      <c r="C272" s="481"/>
      <c r="D272" s="483"/>
      <c r="E272" s="481"/>
      <c r="F272" s="483"/>
      <c r="G272" s="481"/>
      <c r="H272" s="481"/>
      <c r="I272" s="481"/>
      <c r="J272" s="481"/>
      <c r="K272" s="481"/>
      <c r="L272" s="481"/>
      <c r="M272" s="481"/>
      <c r="N272" s="481"/>
      <c r="O272" s="481"/>
      <c r="P272" s="481"/>
      <c r="Q272" s="481"/>
      <c r="R272" s="481"/>
      <c r="S272" s="481"/>
      <c r="T272" s="481"/>
      <c r="U272" s="481"/>
      <c r="V272" s="481"/>
      <c r="W272" s="481"/>
      <c r="X272" s="481"/>
      <c r="Y272" s="481"/>
      <c r="Z272" s="481"/>
      <c r="AA272" s="481"/>
      <c r="AB272" s="481"/>
    </row>
    <row r="273">
      <c r="A273" s="481"/>
      <c r="B273" s="481"/>
      <c r="C273" s="481"/>
      <c r="D273" s="483"/>
      <c r="E273" s="481"/>
      <c r="F273" s="483"/>
      <c r="G273" s="481"/>
      <c r="H273" s="481"/>
      <c r="I273" s="481"/>
      <c r="J273" s="481"/>
      <c r="K273" s="481"/>
      <c r="L273" s="481"/>
      <c r="M273" s="481"/>
      <c r="N273" s="481"/>
      <c r="O273" s="481"/>
      <c r="P273" s="481"/>
      <c r="Q273" s="481"/>
      <c r="R273" s="481"/>
      <c r="S273" s="481"/>
      <c r="T273" s="481"/>
      <c r="U273" s="481"/>
      <c r="V273" s="481"/>
      <c r="W273" s="481"/>
      <c r="X273" s="481"/>
      <c r="Y273" s="481"/>
      <c r="Z273" s="481"/>
      <c r="AA273" s="481"/>
      <c r="AB273" s="481"/>
    </row>
    <row r="274">
      <c r="A274" s="481"/>
      <c r="B274" s="481"/>
      <c r="C274" s="481"/>
      <c r="D274" s="483"/>
      <c r="E274" s="481"/>
      <c r="F274" s="483"/>
      <c r="G274" s="481"/>
      <c r="H274" s="481"/>
      <c r="I274" s="481"/>
      <c r="J274" s="481"/>
      <c r="K274" s="481"/>
      <c r="L274" s="481"/>
      <c r="M274" s="481"/>
      <c r="N274" s="481"/>
      <c r="O274" s="481"/>
      <c r="P274" s="481"/>
      <c r="Q274" s="481"/>
      <c r="R274" s="481"/>
      <c r="S274" s="481"/>
      <c r="T274" s="481"/>
      <c r="U274" s="481"/>
      <c r="V274" s="481"/>
      <c r="W274" s="481"/>
      <c r="X274" s="481"/>
      <c r="Y274" s="481"/>
      <c r="Z274" s="481"/>
      <c r="AA274" s="481"/>
      <c r="AB274" s="481"/>
    </row>
    <row r="275">
      <c r="A275" s="481"/>
      <c r="B275" s="481"/>
      <c r="C275" s="481"/>
      <c r="D275" s="483"/>
      <c r="E275" s="481"/>
      <c r="F275" s="483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  <c r="S275" s="481"/>
      <c r="T275" s="481"/>
      <c r="U275" s="481"/>
      <c r="V275" s="481"/>
      <c r="W275" s="481"/>
      <c r="X275" s="481"/>
      <c r="Y275" s="481"/>
      <c r="Z275" s="481"/>
      <c r="AA275" s="481"/>
      <c r="AB275" s="481"/>
    </row>
    <row r="276">
      <c r="A276" s="481"/>
      <c r="B276" s="481"/>
      <c r="C276" s="481"/>
      <c r="D276" s="483"/>
      <c r="E276" s="481"/>
      <c r="F276" s="483"/>
      <c r="G276" s="481"/>
      <c r="H276" s="481"/>
      <c r="I276" s="481"/>
      <c r="J276" s="481"/>
      <c r="K276" s="481"/>
      <c r="L276" s="481"/>
      <c r="M276" s="481"/>
      <c r="N276" s="481"/>
      <c r="O276" s="481"/>
      <c r="P276" s="481"/>
      <c r="Q276" s="481"/>
      <c r="R276" s="481"/>
      <c r="S276" s="481"/>
      <c r="T276" s="481"/>
      <c r="U276" s="481"/>
      <c r="V276" s="481"/>
      <c r="W276" s="481"/>
      <c r="X276" s="481"/>
      <c r="Y276" s="481"/>
      <c r="Z276" s="481"/>
      <c r="AA276" s="481"/>
      <c r="AB276" s="481"/>
    </row>
    <row r="277">
      <c r="A277" s="481"/>
      <c r="B277" s="481"/>
      <c r="C277" s="481"/>
      <c r="D277" s="483"/>
      <c r="E277" s="481"/>
      <c r="F277" s="483"/>
      <c r="G277" s="481"/>
      <c r="H277" s="481"/>
      <c r="I277" s="481"/>
      <c r="J277" s="481"/>
      <c r="K277" s="481"/>
      <c r="L277" s="481"/>
      <c r="M277" s="481"/>
      <c r="N277" s="481"/>
      <c r="O277" s="481"/>
      <c r="P277" s="481"/>
      <c r="Q277" s="481"/>
      <c r="R277" s="481"/>
      <c r="S277" s="481"/>
      <c r="T277" s="481"/>
      <c r="U277" s="481"/>
      <c r="V277" s="481"/>
      <c r="W277" s="481"/>
      <c r="X277" s="481"/>
      <c r="Y277" s="481"/>
      <c r="Z277" s="481"/>
      <c r="AA277" s="481"/>
      <c r="AB277" s="481"/>
    </row>
    <row r="278">
      <c r="A278" s="481"/>
      <c r="B278" s="481"/>
      <c r="C278" s="481"/>
      <c r="D278" s="483"/>
      <c r="E278" s="481"/>
      <c r="F278" s="483"/>
      <c r="G278" s="481"/>
      <c r="H278" s="481"/>
      <c r="I278" s="481"/>
      <c r="J278" s="481"/>
      <c r="K278" s="481"/>
      <c r="L278" s="481"/>
      <c r="M278" s="481"/>
      <c r="N278" s="481"/>
      <c r="O278" s="481"/>
      <c r="P278" s="481"/>
      <c r="Q278" s="481"/>
      <c r="R278" s="481"/>
      <c r="S278" s="481"/>
      <c r="T278" s="481"/>
      <c r="U278" s="481"/>
      <c r="V278" s="481"/>
      <c r="W278" s="481"/>
      <c r="X278" s="481"/>
      <c r="Y278" s="481"/>
      <c r="Z278" s="481"/>
      <c r="AA278" s="481"/>
      <c r="AB278" s="481"/>
    </row>
    <row r="279">
      <c r="A279" s="481"/>
      <c r="B279" s="481"/>
      <c r="C279" s="481"/>
      <c r="D279" s="483"/>
      <c r="E279" s="481"/>
      <c r="F279" s="483"/>
      <c r="G279" s="481"/>
      <c r="H279" s="481"/>
      <c r="I279" s="481"/>
      <c r="J279" s="481"/>
      <c r="K279" s="481"/>
      <c r="L279" s="481"/>
      <c r="M279" s="481"/>
      <c r="N279" s="481"/>
      <c r="O279" s="481"/>
      <c r="P279" s="481"/>
      <c r="Q279" s="481"/>
      <c r="R279" s="481"/>
      <c r="S279" s="481"/>
      <c r="T279" s="481"/>
      <c r="U279" s="481"/>
      <c r="V279" s="481"/>
      <c r="W279" s="481"/>
      <c r="X279" s="481"/>
      <c r="Y279" s="481"/>
      <c r="Z279" s="481"/>
      <c r="AA279" s="481"/>
      <c r="AB279" s="481"/>
    </row>
    <row r="280">
      <c r="A280" s="481"/>
      <c r="B280" s="481"/>
      <c r="C280" s="481"/>
      <c r="D280" s="483"/>
      <c r="E280" s="481"/>
      <c r="F280" s="483"/>
      <c r="G280" s="481"/>
      <c r="H280" s="481"/>
      <c r="I280" s="481"/>
      <c r="J280" s="481"/>
      <c r="K280" s="481"/>
      <c r="L280" s="481"/>
      <c r="M280" s="481"/>
      <c r="N280" s="481"/>
      <c r="O280" s="481"/>
      <c r="P280" s="481"/>
      <c r="Q280" s="481"/>
      <c r="R280" s="481"/>
      <c r="S280" s="481"/>
      <c r="T280" s="481"/>
      <c r="U280" s="481"/>
      <c r="V280" s="481"/>
      <c r="W280" s="481"/>
      <c r="X280" s="481"/>
      <c r="Y280" s="481"/>
      <c r="Z280" s="481"/>
      <c r="AA280" s="481"/>
      <c r="AB280" s="481"/>
    </row>
    <row r="281">
      <c r="A281" s="481"/>
      <c r="B281" s="481"/>
      <c r="C281" s="481"/>
      <c r="D281" s="483"/>
      <c r="E281" s="481"/>
      <c r="F281" s="483"/>
      <c r="G281" s="481"/>
      <c r="H281" s="481"/>
      <c r="I281" s="481"/>
      <c r="J281" s="481"/>
      <c r="K281" s="481"/>
      <c r="L281" s="481"/>
      <c r="M281" s="481"/>
      <c r="N281" s="481"/>
      <c r="O281" s="481"/>
      <c r="P281" s="481"/>
      <c r="Q281" s="481"/>
      <c r="R281" s="481"/>
      <c r="S281" s="481"/>
      <c r="T281" s="481"/>
      <c r="U281" s="481"/>
      <c r="V281" s="481"/>
      <c r="W281" s="481"/>
      <c r="X281" s="481"/>
      <c r="Y281" s="481"/>
      <c r="Z281" s="481"/>
      <c r="AA281" s="481"/>
      <c r="AB281" s="481"/>
    </row>
    <row r="282">
      <c r="A282" s="481"/>
      <c r="B282" s="481"/>
      <c r="C282" s="481"/>
      <c r="D282" s="483"/>
      <c r="E282" s="481"/>
      <c r="F282" s="483"/>
      <c r="G282" s="481"/>
      <c r="H282" s="481"/>
      <c r="I282" s="481"/>
      <c r="J282" s="481"/>
      <c r="K282" s="481"/>
      <c r="L282" s="481"/>
      <c r="M282" s="481"/>
      <c r="N282" s="481"/>
      <c r="O282" s="481"/>
      <c r="P282" s="481"/>
      <c r="Q282" s="481"/>
      <c r="R282" s="481"/>
      <c r="S282" s="481"/>
      <c r="T282" s="481"/>
      <c r="U282" s="481"/>
      <c r="V282" s="481"/>
      <c r="W282" s="481"/>
      <c r="X282" s="481"/>
      <c r="Y282" s="481"/>
      <c r="Z282" s="481"/>
      <c r="AA282" s="481"/>
      <c r="AB282" s="481"/>
    </row>
    <row r="283">
      <c r="A283" s="481"/>
      <c r="B283" s="481"/>
      <c r="C283" s="481"/>
      <c r="D283" s="483"/>
      <c r="E283" s="481"/>
      <c r="F283" s="483"/>
      <c r="G283" s="481"/>
      <c r="H283" s="481"/>
      <c r="I283" s="481"/>
      <c r="J283" s="481"/>
      <c r="K283" s="481"/>
      <c r="L283" s="481"/>
      <c r="M283" s="481"/>
      <c r="N283" s="481"/>
      <c r="O283" s="481"/>
      <c r="P283" s="481"/>
      <c r="Q283" s="481"/>
      <c r="R283" s="481"/>
      <c r="S283" s="481"/>
      <c r="T283" s="481"/>
      <c r="U283" s="481"/>
      <c r="V283" s="481"/>
      <c r="W283" s="481"/>
      <c r="X283" s="481"/>
      <c r="Y283" s="481"/>
      <c r="Z283" s="481"/>
      <c r="AA283" s="481"/>
      <c r="AB283" s="481"/>
    </row>
    <row r="284">
      <c r="A284" s="481"/>
      <c r="B284" s="481"/>
      <c r="C284" s="481"/>
      <c r="D284" s="483"/>
      <c r="E284" s="481"/>
      <c r="F284" s="483"/>
      <c r="G284" s="481"/>
      <c r="H284" s="481"/>
      <c r="I284" s="481"/>
      <c r="J284" s="481"/>
      <c r="K284" s="481"/>
      <c r="L284" s="481"/>
      <c r="M284" s="481"/>
      <c r="N284" s="481"/>
      <c r="O284" s="481"/>
      <c r="P284" s="481"/>
      <c r="Q284" s="481"/>
      <c r="R284" s="481"/>
      <c r="S284" s="481"/>
      <c r="T284" s="481"/>
      <c r="U284" s="481"/>
      <c r="V284" s="481"/>
      <c r="W284" s="481"/>
      <c r="X284" s="481"/>
      <c r="Y284" s="481"/>
      <c r="Z284" s="481"/>
      <c r="AA284" s="481"/>
      <c r="AB284" s="481"/>
    </row>
    <row r="285">
      <c r="A285" s="481"/>
      <c r="B285" s="481"/>
      <c r="C285" s="481"/>
      <c r="D285" s="483"/>
      <c r="E285" s="481"/>
      <c r="F285" s="483"/>
      <c r="G285" s="481"/>
      <c r="H285" s="481"/>
      <c r="I285" s="481"/>
      <c r="J285" s="481"/>
      <c r="K285" s="481"/>
      <c r="L285" s="481"/>
      <c r="M285" s="481"/>
      <c r="N285" s="481"/>
      <c r="O285" s="481"/>
      <c r="P285" s="481"/>
      <c r="Q285" s="481"/>
      <c r="R285" s="481"/>
      <c r="S285" s="481"/>
      <c r="T285" s="481"/>
      <c r="U285" s="481"/>
      <c r="V285" s="481"/>
      <c r="W285" s="481"/>
      <c r="X285" s="481"/>
      <c r="Y285" s="481"/>
      <c r="Z285" s="481"/>
      <c r="AA285" s="481"/>
      <c r="AB285" s="481"/>
    </row>
    <row r="286">
      <c r="A286" s="481"/>
      <c r="B286" s="481"/>
      <c r="C286" s="481"/>
      <c r="D286" s="483"/>
      <c r="E286" s="481"/>
      <c r="F286" s="483"/>
      <c r="G286" s="481"/>
      <c r="H286" s="481"/>
      <c r="I286" s="481"/>
      <c r="J286" s="481"/>
      <c r="K286" s="481"/>
      <c r="L286" s="481"/>
      <c r="M286" s="481"/>
      <c r="N286" s="481"/>
      <c r="O286" s="481"/>
      <c r="P286" s="481"/>
      <c r="Q286" s="481"/>
      <c r="R286" s="481"/>
      <c r="S286" s="481"/>
      <c r="T286" s="481"/>
      <c r="U286" s="481"/>
      <c r="V286" s="481"/>
      <c r="W286" s="481"/>
      <c r="X286" s="481"/>
      <c r="Y286" s="481"/>
      <c r="Z286" s="481"/>
      <c r="AA286" s="481"/>
      <c r="AB286" s="481"/>
    </row>
    <row r="287">
      <c r="A287" s="481"/>
      <c r="B287" s="481"/>
      <c r="C287" s="481"/>
      <c r="D287" s="483"/>
      <c r="E287" s="481"/>
      <c r="F287" s="483"/>
      <c r="G287" s="481"/>
      <c r="H287" s="481"/>
      <c r="I287" s="481"/>
      <c r="J287" s="481"/>
      <c r="K287" s="481"/>
      <c r="L287" s="481"/>
      <c r="M287" s="481"/>
      <c r="N287" s="481"/>
      <c r="O287" s="481"/>
      <c r="P287" s="481"/>
      <c r="Q287" s="481"/>
      <c r="R287" s="481"/>
      <c r="S287" s="481"/>
      <c r="T287" s="481"/>
      <c r="U287" s="481"/>
      <c r="V287" s="481"/>
      <c r="W287" s="481"/>
      <c r="X287" s="481"/>
      <c r="Y287" s="481"/>
      <c r="Z287" s="481"/>
      <c r="AA287" s="481"/>
      <c r="AB287" s="481"/>
    </row>
    <row r="288">
      <c r="A288" s="481"/>
      <c r="B288" s="481"/>
      <c r="C288" s="481"/>
      <c r="D288" s="483"/>
      <c r="E288" s="481"/>
      <c r="F288" s="483"/>
      <c r="G288" s="481"/>
      <c r="H288" s="481"/>
      <c r="I288" s="481"/>
      <c r="J288" s="481"/>
      <c r="K288" s="481"/>
      <c r="L288" s="481"/>
      <c r="M288" s="481"/>
      <c r="N288" s="481"/>
      <c r="O288" s="481"/>
      <c r="P288" s="481"/>
      <c r="Q288" s="481"/>
      <c r="R288" s="481"/>
      <c r="S288" s="481"/>
      <c r="T288" s="481"/>
      <c r="U288" s="481"/>
      <c r="V288" s="481"/>
      <c r="W288" s="481"/>
      <c r="X288" s="481"/>
      <c r="Y288" s="481"/>
      <c r="Z288" s="481"/>
      <c r="AA288" s="481"/>
      <c r="AB288" s="481"/>
    </row>
    <row r="289">
      <c r="A289" s="481"/>
      <c r="B289" s="481"/>
      <c r="C289" s="481"/>
      <c r="D289" s="483"/>
      <c r="E289" s="481"/>
      <c r="F289" s="483"/>
      <c r="G289" s="481"/>
      <c r="H289" s="481"/>
      <c r="I289" s="481"/>
      <c r="J289" s="481"/>
      <c r="K289" s="481"/>
      <c r="L289" s="481"/>
      <c r="M289" s="481"/>
      <c r="N289" s="481"/>
      <c r="O289" s="481"/>
      <c r="P289" s="481"/>
      <c r="Q289" s="481"/>
      <c r="R289" s="481"/>
      <c r="S289" s="481"/>
      <c r="T289" s="481"/>
      <c r="U289" s="481"/>
      <c r="V289" s="481"/>
      <c r="W289" s="481"/>
      <c r="X289" s="481"/>
      <c r="Y289" s="481"/>
      <c r="Z289" s="481"/>
      <c r="AA289" s="481"/>
      <c r="AB289" s="481"/>
    </row>
    <row r="290">
      <c r="A290" s="481"/>
      <c r="B290" s="481"/>
      <c r="C290" s="481"/>
      <c r="D290" s="483"/>
      <c r="E290" s="481"/>
      <c r="F290" s="483"/>
      <c r="G290" s="481"/>
      <c r="H290" s="481"/>
      <c r="I290" s="481"/>
      <c r="J290" s="481"/>
      <c r="K290" s="481"/>
      <c r="L290" s="481"/>
      <c r="M290" s="481"/>
      <c r="N290" s="481"/>
      <c r="O290" s="481"/>
      <c r="P290" s="481"/>
      <c r="Q290" s="481"/>
      <c r="R290" s="481"/>
      <c r="S290" s="481"/>
      <c r="T290" s="481"/>
      <c r="U290" s="481"/>
      <c r="V290" s="481"/>
      <c r="W290" s="481"/>
      <c r="X290" s="481"/>
      <c r="Y290" s="481"/>
      <c r="Z290" s="481"/>
      <c r="AA290" s="481"/>
      <c r="AB290" s="481"/>
    </row>
    <row r="291">
      <c r="A291" s="481"/>
      <c r="B291" s="481"/>
      <c r="C291" s="481"/>
      <c r="D291" s="483"/>
      <c r="E291" s="481"/>
      <c r="F291" s="483"/>
      <c r="G291" s="481"/>
      <c r="H291" s="481"/>
      <c r="I291" s="481"/>
      <c r="J291" s="481"/>
      <c r="K291" s="481"/>
      <c r="L291" s="481"/>
      <c r="M291" s="481"/>
      <c r="N291" s="481"/>
      <c r="O291" s="481"/>
      <c r="P291" s="481"/>
      <c r="Q291" s="481"/>
      <c r="R291" s="481"/>
      <c r="S291" s="481"/>
      <c r="T291" s="481"/>
      <c r="U291" s="481"/>
      <c r="V291" s="481"/>
      <c r="W291" s="481"/>
      <c r="X291" s="481"/>
      <c r="Y291" s="481"/>
      <c r="Z291" s="481"/>
      <c r="AA291" s="481"/>
      <c r="AB291" s="481"/>
    </row>
    <row r="292">
      <c r="A292" s="481"/>
      <c r="B292" s="481"/>
      <c r="C292" s="481"/>
      <c r="D292" s="483"/>
      <c r="E292" s="481"/>
      <c r="F292" s="483"/>
      <c r="G292" s="481"/>
      <c r="H292" s="481"/>
      <c r="I292" s="481"/>
      <c r="J292" s="481"/>
      <c r="K292" s="481"/>
      <c r="L292" s="481"/>
      <c r="M292" s="481"/>
      <c r="N292" s="481"/>
      <c r="O292" s="481"/>
      <c r="P292" s="481"/>
      <c r="Q292" s="481"/>
      <c r="R292" s="481"/>
      <c r="S292" s="481"/>
      <c r="T292" s="481"/>
      <c r="U292" s="481"/>
      <c r="V292" s="481"/>
      <c r="W292" s="481"/>
      <c r="X292" s="481"/>
      <c r="Y292" s="481"/>
      <c r="Z292" s="481"/>
      <c r="AA292" s="481"/>
      <c r="AB292" s="481"/>
    </row>
    <row r="293">
      <c r="A293" s="481"/>
      <c r="B293" s="481"/>
      <c r="C293" s="481"/>
      <c r="D293" s="483"/>
      <c r="E293" s="481"/>
      <c r="F293" s="483"/>
      <c r="G293" s="481"/>
      <c r="H293" s="481"/>
      <c r="I293" s="481"/>
      <c r="J293" s="481"/>
      <c r="K293" s="481"/>
      <c r="L293" s="481"/>
      <c r="M293" s="481"/>
      <c r="N293" s="481"/>
      <c r="O293" s="481"/>
      <c r="P293" s="481"/>
      <c r="Q293" s="481"/>
      <c r="R293" s="481"/>
      <c r="S293" s="481"/>
      <c r="T293" s="481"/>
      <c r="U293" s="481"/>
      <c r="V293" s="481"/>
      <c r="W293" s="481"/>
      <c r="X293" s="481"/>
      <c r="Y293" s="481"/>
      <c r="Z293" s="481"/>
      <c r="AA293" s="481"/>
      <c r="AB293" s="481"/>
    </row>
    <row r="294">
      <c r="A294" s="481"/>
      <c r="B294" s="481"/>
      <c r="C294" s="481"/>
      <c r="D294" s="483"/>
      <c r="E294" s="481"/>
      <c r="F294" s="483"/>
      <c r="G294" s="481"/>
      <c r="H294" s="481"/>
      <c r="I294" s="481"/>
      <c r="J294" s="481"/>
      <c r="K294" s="481"/>
      <c r="L294" s="481"/>
      <c r="M294" s="481"/>
      <c r="N294" s="481"/>
      <c r="O294" s="481"/>
      <c r="P294" s="481"/>
      <c r="Q294" s="481"/>
      <c r="R294" s="481"/>
      <c r="S294" s="481"/>
      <c r="T294" s="481"/>
      <c r="U294" s="481"/>
      <c r="V294" s="481"/>
      <c r="W294" s="481"/>
      <c r="X294" s="481"/>
      <c r="Y294" s="481"/>
      <c r="Z294" s="481"/>
      <c r="AA294" s="481"/>
      <c r="AB294" s="481"/>
    </row>
    <row r="295">
      <c r="A295" s="481"/>
      <c r="B295" s="481"/>
      <c r="C295" s="481"/>
      <c r="D295" s="483"/>
      <c r="E295" s="481"/>
      <c r="F295" s="483"/>
      <c r="G295" s="481"/>
      <c r="H295" s="481"/>
      <c r="I295" s="481"/>
      <c r="J295" s="481"/>
      <c r="K295" s="481"/>
      <c r="L295" s="481"/>
      <c r="M295" s="481"/>
      <c r="N295" s="481"/>
      <c r="O295" s="481"/>
      <c r="P295" s="481"/>
      <c r="Q295" s="481"/>
      <c r="R295" s="481"/>
      <c r="S295" s="481"/>
      <c r="T295" s="481"/>
      <c r="U295" s="481"/>
      <c r="V295" s="481"/>
      <c r="W295" s="481"/>
      <c r="X295" s="481"/>
      <c r="Y295" s="481"/>
      <c r="Z295" s="481"/>
      <c r="AA295" s="481"/>
      <c r="AB295" s="481"/>
    </row>
    <row r="296">
      <c r="A296" s="481"/>
      <c r="B296" s="481"/>
      <c r="C296" s="481"/>
      <c r="D296" s="483"/>
      <c r="E296" s="481"/>
      <c r="F296" s="483"/>
      <c r="G296" s="481"/>
      <c r="H296" s="481"/>
      <c r="I296" s="481"/>
      <c r="J296" s="481"/>
      <c r="K296" s="481"/>
      <c r="L296" s="481"/>
      <c r="M296" s="481"/>
      <c r="N296" s="481"/>
      <c r="O296" s="481"/>
      <c r="P296" s="481"/>
      <c r="Q296" s="481"/>
      <c r="R296" s="481"/>
      <c r="S296" s="481"/>
      <c r="T296" s="481"/>
      <c r="U296" s="481"/>
      <c r="V296" s="481"/>
      <c r="W296" s="481"/>
      <c r="X296" s="481"/>
      <c r="Y296" s="481"/>
      <c r="Z296" s="481"/>
      <c r="AA296" s="481"/>
      <c r="AB296" s="481"/>
    </row>
    <row r="297">
      <c r="A297" s="481"/>
      <c r="B297" s="481"/>
      <c r="C297" s="481"/>
      <c r="D297" s="483"/>
      <c r="E297" s="481"/>
      <c r="F297" s="483"/>
      <c r="G297" s="481"/>
      <c r="H297" s="481"/>
      <c r="I297" s="481"/>
      <c r="J297" s="481"/>
      <c r="K297" s="481"/>
      <c r="L297" s="481"/>
      <c r="M297" s="481"/>
      <c r="N297" s="481"/>
      <c r="O297" s="481"/>
      <c r="P297" s="481"/>
      <c r="Q297" s="481"/>
      <c r="R297" s="481"/>
      <c r="S297" s="481"/>
      <c r="T297" s="481"/>
      <c r="U297" s="481"/>
      <c r="V297" s="481"/>
      <c r="W297" s="481"/>
      <c r="X297" s="481"/>
      <c r="Y297" s="481"/>
      <c r="Z297" s="481"/>
      <c r="AA297" s="481"/>
      <c r="AB297" s="481"/>
    </row>
    <row r="298">
      <c r="A298" s="481"/>
      <c r="B298" s="481"/>
      <c r="C298" s="481"/>
      <c r="D298" s="483"/>
      <c r="E298" s="481"/>
      <c r="F298" s="483"/>
      <c r="G298" s="481"/>
      <c r="H298" s="481"/>
      <c r="I298" s="481"/>
      <c r="J298" s="481"/>
      <c r="K298" s="481"/>
      <c r="L298" s="481"/>
      <c r="M298" s="481"/>
      <c r="N298" s="481"/>
      <c r="O298" s="481"/>
      <c r="P298" s="481"/>
      <c r="Q298" s="481"/>
      <c r="R298" s="481"/>
      <c r="S298" s="481"/>
      <c r="T298" s="481"/>
      <c r="U298" s="481"/>
      <c r="V298" s="481"/>
      <c r="W298" s="481"/>
      <c r="X298" s="481"/>
      <c r="Y298" s="481"/>
      <c r="Z298" s="481"/>
      <c r="AA298" s="481"/>
      <c r="AB298" s="481"/>
    </row>
    <row r="299">
      <c r="A299" s="481"/>
      <c r="B299" s="481"/>
      <c r="C299" s="481"/>
      <c r="D299" s="483"/>
      <c r="E299" s="481"/>
      <c r="F299" s="483"/>
      <c r="G299" s="481"/>
      <c r="H299" s="481"/>
      <c r="I299" s="481"/>
      <c r="J299" s="481"/>
      <c r="K299" s="481"/>
      <c r="L299" s="481"/>
      <c r="M299" s="481"/>
      <c r="N299" s="481"/>
      <c r="O299" s="481"/>
      <c r="P299" s="481"/>
      <c r="Q299" s="481"/>
      <c r="R299" s="481"/>
      <c r="S299" s="481"/>
      <c r="T299" s="481"/>
      <c r="U299" s="481"/>
      <c r="V299" s="481"/>
      <c r="W299" s="481"/>
      <c r="X299" s="481"/>
      <c r="Y299" s="481"/>
      <c r="Z299" s="481"/>
      <c r="AA299" s="481"/>
      <c r="AB299" s="481"/>
    </row>
    <row r="300">
      <c r="A300" s="481"/>
      <c r="B300" s="481"/>
      <c r="C300" s="481"/>
      <c r="D300" s="483"/>
      <c r="E300" s="481"/>
      <c r="F300" s="483"/>
      <c r="G300" s="481"/>
      <c r="H300" s="481"/>
      <c r="I300" s="481"/>
      <c r="J300" s="481"/>
      <c r="K300" s="481"/>
      <c r="L300" s="481"/>
      <c r="M300" s="481"/>
      <c r="N300" s="481"/>
      <c r="O300" s="481"/>
      <c r="P300" s="481"/>
      <c r="Q300" s="481"/>
      <c r="R300" s="481"/>
      <c r="S300" s="481"/>
      <c r="T300" s="481"/>
      <c r="U300" s="481"/>
      <c r="V300" s="481"/>
      <c r="W300" s="481"/>
      <c r="X300" s="481"/>
      <c r="Y300" s="481"/>
      <c r="Z300" s="481"/>
      <c r="AA300" s="481"/>
      <c r="AB300" s="481"/>
    </row>
    <row r="301">
      <c r="A301" s="481"/>
      <c r="B301" s="481"/>
      <c r="C301" s="481"/>
      <c r="D301" s="483"/>
      <c r="E301" s="481"/>
      <c r="F301" s="483"/>
      <c r="G301" s="481"/>
      <c r="H301" s="481"/>
      <c r="I301" s="481"/>
      <c r="J301" s="481"/>
      <c r="K301" s="481"/>
      <c r="L301" s="481"/>
      <c r="M301" s="481"/>
      <c r="N301" s="481"/>
      <c r="O301" s="481"/>
      <c r="P301" s="481"/>
      <c r="Q301" s="481"/>
      <c r="R301" s="481"/>
      <c r="S301" s="481"/>
      <c r="T301" s="481"/>
      <c r="U301" s="481"/>
      <c r="V301" s="481"/>
      <c r="W301" s="481"/>
      <c r="X301" s="481"/>
      <c r="Y301" s="481"/>
      <c r="Z301" s="481"/>
      <c r="AA301" s="481"/>
      <c r="AB301" s="481"/>
    </row>
    <row r="302">
      <c r="A302" s="481"/>
      <c r="B302" s="481"/>
      <c r="C302" s="481"/>
      <c r="D302" s="483"/>
      <c r="E302" s="481"/>
      <c r="F302" s="483"/>
      <c r="G302" s="481"/>
      <c r="H302" s="481"/>
      <c r="I302" s="481"/>
      <c r="J302" s="481"/>
      <c r="K302" s="481"/>
      <c r="L302" s="481"/>
      <c r="M302" s="481"/>
      <c r="N302" s="481"/>
      <c r="O302" s="481"/>
      <c r="P302" s="481"/>
      <c r="Q302" s="481"/>
      <c r="R302" s="481"/>
      <c r="S302" s="481"/>
      <c r="T302" s="481"/>
      <c r="U302" s="481"/>
      <c r="V302" s="481"/>
      <c r="W302" s="481"/>
      <c r="X302" s="481"/>
      <c r="Y302" s="481"/>
      <c r="Z302" s="481"/>
      <c r="AA302" s="481"/>
      <c r="AB302" s="481"/>
    </row>
    <row r="303">
      <c r="A303" s="481"/>
      <c r="B303" s="481"/>
      <c r="C303" s="481"/>
      <c r="D303" s="483"/>
      <c r="E303" s="481"/>
      <c r="F303" s="483"/>
      <c r="G303" s="481"/>
      <c r="H303" s="481"/>
      <c r="I303" s="481"/>
      <c r="J303" s="481"/>
      <c r="K303" s="481"/>
      <c r="L303" s="481"/>
      <c r="M303" s="481"/>
      <c r="N303" s="481"/>
      <c r="O303" s="481"/>
      <c r="P303" s="481"/>
      <c r="Q303" s="481"/>
      <c r="R303" s="481"/>
      <c r="S303" s="481"/>
      <c r="T303" s="481"/>
      <c r="U303" s="481"/>
      <c r="V303" s="481"/>
      <c r="W303" s="481"/>
      <c r="X303" s="481"/>
      <c r="Y303" s="481"/>
      <c r="Z303" s="481"/>
      <c r="AA303" s="481"/>
      <c r="AB303" s="481"/>
    </row>
    <row r="304">
      <c r="A304" s="481"/>
      <c r="B304" s="481"/>
      <c r="C304" s="481"/>
      <c r="D304" s="483"/>
      <c r="E304" s="481"/>
      <c r="F304" s="483"/>
      <c r="G304" s="481"/>
      <c r="H304" s="481"/>
      <c r="I304" s="481"/>
      <c r="J304" s="481"/>
      <c r="K304" s="481"/>
      <c r="L304" s="481"/>
      <c r="M304" s="481"/>
      <c r="N304" s="481"/>
      <c r="O304" s="481"/>
      <c r="P304" s="481"/>
      <c r="Q304" s="481"/>
      <c r="R304" s="481"/>
      <c r="S304" s="481"/>
      <c r="T304" s="481"/>
      <c r="U304" s="481"/>
      <c r="V304" s="481"/>
      <c r="W304" s="481"/>
      <c r="X304" s="481"/>
      <c r="Y304" s="481"/>
      <c r="Z304" s="481"/>
      <c r="AA304" s="481"/>
      <c r="AB304" s="481"/>
    </row>
    <row r="305">
      <c r="A305" s="481"/>
      <c r="B305" s="481"/>
      <c r="C305" s="481"/>
      <c r="D305" s="483"/>
      <c r="E305" s="481"/>
      <c r="F305" s="483"/>
      <c r="G305" s="481"/>
      <c r="H305" s="481"/>
      <c r="I305" s="481"/>
      <c r="J305" s="481"/>
      <c r="K305" s="481"/>
      <c r="L305" s="481"/>
      <c r="M305" s="481"/>
      <c r="N305" s="481"/>
      <c r="O305" s="481"/>
      <c r="P305" s="481"/>
      <c r="Q305" s="481"/>
      <c r="R305" s="481"/>
      <c r="S305" s="481"/>
      <c r="T305" s="481"/>
      <c r="U305" s="481"/>
      <c r="V305" s="481"/>
      <c r="W305" s="481"/>
      <c r="X305" s="481"/>
      <c r="Y305" s="481"/>
      <c r="Z305" s="481"/>
      <c r="AA305" s="481"/>
      <c r="AB305" s="481"/>
    </row>
    <row r="306">
      <c r="A306" s="481"/>
      <c r="B306" s="481"/>
      <c r="C306" s="481"/>
      <c r="D306" s="483"/>
      <c r="E306" s="481"/>
      <c r="F306" s="483"/>
      <c r="G306" s="481"/>
      <c r="H306" s="481"/>
      <c r="I306" s="481"/>
      <c r="J306" s="481"/>
      <c r="K306" s="481"/>
      <c r="L306" s="481"/>
      <c r="M306" s="481"/>
      <c r="N306" s="481"/>
      <c r="O306" s="481"/>
      <c r="P306" s="481"/>
      <c r="Q306" s="481"/>
      <c r="R306" s="481"/>
      <c r="S306" s="481"/>
      <c r="T306" s="481"/>
      <c r="U306" s="481"/>
      <c r="V306" s="481"/>
      <c r="W306" s="481"/>
      <c r="X306" s="481"/>
      <c r="Y306" s="481"/>
      <c r="Z306" s="481"/>
      <c r="AA306" s="481"/>
      <c r="AB306" s="481"/>
    </row>
    <row r="307">
      <c r="A307" s="481"/>
      <c r="B307" s="481"/>
      <c r="C307" s="481"/>
      <c r="D307" s="483"/>
      <c r="E307" s="481"/>
      <c r="F307" s="483"/>
      <c r="G307" s="481"/>
      <c r="H307" s="481"/>
      <c r="I307" s="481"/>
      <c r="J307" s="481"/>
      <c r="K307" s="481"/>
      <c r="L307" s="481"/>
      <c r="M307" s="481"/>
      <c r="N307" s="481"/>
      <c r="O307" s="481"/>
      <c r="P307" s="481"/>
      <c r="Q307" s="481"/>
      <c r="R307" s="481"/>
      <c r="S307" s="481"/>
      <c r="T307" s="481"/>
      <c r="U307" s="481"/>
      <c r="V307" s="481"/>
      <c r="W307" s="481"/>
      <c r="X307" s="481"/>
      <c r="Y307" s="481"/>
      <c r="Z307" s="481"/>
      <c r="AA307" s="481"/>
      <c r="AB307" s="481"/>
    </row>
    <row r="308">
      <c r="A308" s="481"/>
      <c r="B308" s="481"/>
      <c r="C308" s="481"/>
      <c r="D308" s="483"/>
      <c r="E308" s="481"/>
      <c r="F308" s="483"/>
      <c r="G308" s="481"/>
      <c r="H308" s="481"/>
      <c r="I308" s="481"/>
      <c r="J308" s="481"/>
      <c r="K308" s="481"/>
      <c r="L308" s="481"/>
      <c r="M308" s="481"/>
      <c r="N308" s="481"/>
      <c r="O308" s="481"/>
      <c r="P308" s="481"/>
      <c r="Q308" s="481"/>
      <c r="R308" s="481"/>
      <c r="S308" s="481"/>
      <c r="T308" s="481"/>
      <c r="U308" s="481"/>
      <c r="V308" s="481"/>
      <c r="W308" s="481"/>
      <c r="X308" s="481"/>
      <c r="Y308" s="481"/>
      <c r="Z308" s="481"/>
      <c r="AA308" s="481"/>
      <c r="AB308" s="481"/>
    </row>
    <row r="309">
      <c r="A309" s="481"/>
      <c r="B309" s="481"/>
      <c r="C309" s="481"/>
      <c r="D309" s="483"/>
      <c r="E309" s="481"/>
      <c r="F309" s="483"/>
      <c r="G309" s="481"/>
      <c r="H309" s="481"/>
      <c r="I309" s="481"/>
      <c r="J309" s="481"/>
      <c r="K309" s="481"/>
      <c r="L309" s="481"/>
      <c r="M309" s="481"/>
      <c r="N309" s="481"/>
      <c r="O309" s="481"/>
      <c r="P309" s="481"/>
      <c r="Q309" s="481"/>
      <c r="R309" s="481"/>
      <c r="S309" s="481"/>
      <c r="T309" s="481"/>
      <c r="U309" s="481"/>
      <c r="V309" s="481"/>
      <c r="W309" s="481"/>
      <c r="X309" s="481"/>
      <c r="Y309" s="481"/>
      <c r="Z309" s="481"/>
      <c r="AA309" s="481"/>
      <c r="AB309" s="481"/>
    </row>
    <row r="310">
      <c r="A310" s="481"/>
      <c r="B310" s="481"/>
      <c r="C310" s="481"/>
      <c r="D310" s="483"/>
      <c r="E310" s="481"/>
      <c r="F310" s="483"/>
      <c r="G310" s="481"/>
      <c r="H310" s="481"/>
      <c r="I310" s="481"/>
      <c r="J310" s="481"/>
      <c r="K310" s="481"/>
      <c r="L310" s="481"/>
      <c r="M310" s="481"/>
      <c r="N310" s="481"/>
      <c r="O310" s="481"/>
      <c r="P310" s="481"/>
      <c r="Q310" s="481"/>
      <c r="R310" s="481"/>
      <c r="S310" s="481"/>
      <c r="T310" s="481"/>
      <c r="U310" s="481"/>
      <c r="V310" s="481"/>
      <c r="W310" s="481"/>
      <c r="X310" s="481"/>
      <c r="Y310" s="481"/>
      <c r="Z310" s="481"/>
      <c r="AA310" s="481"/>
      <c r="AB310" s="481"/>
    </row>
    <row r="311">
      <c r="A311" s="481"/>
      <c r="B311" s="481"/>
      <c r="C311" s="481"/>
      <c r="D311" s="483"/>
      <c r="E311" s="481"/>
      <c r="F311" s="483"/>
      <c r="G311" s="481"/>
      <c r="H311" s="481"/>
      <c r="I311" s="481"/>
      <c r="J311" s="481"/>
      <c r="K311" s="481"/>
      <c r="L311" s="481"/>
      <c r="M311" s="481"/>
      <c r="N311" s="481"/>
      <c r="O311" s="481"/>
      <c r="P311" s="481"/>
      <c r="Q311" s="481"/>
      <c r="R311" s="481"/>
      <c r="S311" s="481"/>
      <c r="T311" s="481"/>
      <c r="U311" s="481"/>
      <c r="V311" s="481"/>
      <c r="W311" s="481"/>
      <c r="X311" s="481"/>
      <c r="Y311" s="481"/>
      <c r="Z311" s="481"/>
      <c r="AA311" s="481"/>
      <c r="AB311" s="481"/>
    </row>
    <row r="312">
      <c r="A312" s="481"/>
      <c r="B312" s="481"/>
      <c r="C312" s="481"/>
      <c r="D312" s="483"/>
      <c r="E312" s="481"/>
      <c r="F312" s="483"/>
      <c r="G312" s="481"/>
      <c r="H312" s="481"/>
      <c r="I312" s="481"/>
      <c r="J312" s="481"/>
      <c r="K312" s="481"/>
      <c r="L312" s="481"/>
      <c r="M312" s="481"/>
      <c r="N312" s="481"/>
      <c r="O312" s="481"/>
      <c r="P312" s="481"/>
      <c r="Q312" s="481"/>
      <c r="R312" s="481"/>
      <c r="S312" s="481"/>
      <c r="T312" s="481"/>
      <c r="U312" s="481"/>
      <c r="V312" s="481"/>
      <c r="W312" s="481"/>
      <c r="X312" s="481"/>
      <c r="Y312" s="481"/>
      <c r="Z312" s="481"/>
      <c r="AA312" s="481"/>
      <c r="AB312" s="481"/>
    </row>
    <row r="313">
      <c r="A313" s="481"/>
      <c r="B313" s="481"/>
      <c r="C313" s="481"/>
      <c r="D313" s="483"/>
      <c r="E313" s="481"/>
      <c r="F313" s="483"/>
      <c r="G313" s="481"/>
      <c r="H313" s="481"/>
      <c r="I313" s="481"/>
      <c r="J313" s="481"/>
      <c r="K313" s="481"/>
      <c r="L313" s="481"/>
      <c r="M313" s="481"/>
      <c r="N313" s="481"/>
      <c r="O313" s="481"/>
      <c r="P313" s="481"/>
      <c r="Q313" s="481"/>
      <c r="R313" s="481"/>
      <c r="S313" s="481"/>
      <c r="T313" s="481"/>
      <c r="U313" s="481"/>
      <c r="V313" s="481"/>
      <c r="W313" s="481"/>
      <c r="X313" s="481"/>
      <c r="Y313" s="481"/>
      <c r="Z313" s="481"/>
      <c r="AA313" s="481"/>
      <c r="AB313" s="481"/>
    </row>
    <row r="314">
      <c r="A314" s="481"/>
      <c r="B314" s="481"/>
      <c r="C314" s="481"/>
      <c r="D314" s="483"/>
      <c r="E314" s="481"/>
      <c r="F314" s="483"/>
      <c r="G314" s="481"/>
      <c r="H314" s="481"/>
      <c r="I314" s="481"/>
      <c r="J314" s="481"/>
      <c r="K314" s="481"/>
      <c r="L314" s="481"/>
      <c r="M314" s="481"/>
      <c r="N314" s="481"/>
      <c r="O314" s="481"/>
      <c r="P314" s="481"/>
      <c r="Q314" s="481"/>
      <c r="R314" s="481"/>
      <c r="S314" s="481"/>
      <c r="T314" s="481"/>
      <c r="U314" s="481"/>
      <c r="V314" s="481"/>
      <c r="W314" s="481"/>
      <c r="X314" s="481"/>
      <c r="Y314" s="481"/>
      <c r="Z314" s="481"/>
      <c r="AA314" s="481"/>
      <c r="AB314" s="481"/>
    </row>
    <row r="315">
      <c r="A315" s="481"/>
      <c r="B315" s="481"/>
      <c r="C315" s="481"/>
      <c r="D315" s="483"/>
      <c r="E315" s="481"/>
      <c r="F315" s="483"/>
      <c r="G315" s="481"/>
      <c r="H315" s="481"/>
      <c r="I315" s="481"/>
      <c r="J315" s="481"/>
      <c r="K315" s="481"/>
      <c r="L315" s="481"/>
      <c r="M315" s="481"/>
      <c r="N315" s="481"/>
      <c r="O315" s="481"/>
      <c r="P315" s="481"/>
      <c r="Q315" s="481"/>
      <c r="R315" s="481"/>
      <c r="S315" s="481"/>
      <c r="T315" s="481"/>
      <c r="U315" s="481"/>
      <c r="V315" s="481"/>
      <c r="W315" s="481"/>
      <c r="X315" s="481"/>
      <c r="Y315" s="481"/>
      <c r="Z315" s="481"/>
      <c r="AA315" s="481"/>
      <c r="AB315" s="481"/>
    </row>
    <row r="316">
      <c r="A316" s="481"/>
      <c r="B316" s="481"/>
      <c r="C316" s="481"/>
      <c r="D316" s="483"/>
      <c r="E316" s="481"/>
      <c r="F316" s="483"/>
      <c r="G316" s="481"/>
      <c r="H316" s="481"/>
      <c r="I316" s="481"/>
      <c r="J316" s="481"/>
      <c r="K316" s="481"/>
      <c r="L316" s="481"/>
      <c r="M316" s="481"/>
      <c r="N316" s="481"/>
      <c r="O316" s="481"/>
      <c r="P316" s="481"/>
      <c r="Q316" s="481"/>
      <c r="R316" s="481"/>
      <c r="S316" s="481"/>
      <c r="T316" s="481"/>
      <c r="U316" s="481"/>
      <c r="V316" s="481"/>
      <c r="W316" s="481"/>
      <c r="X316" s="481"/>
      <c r="Y316" s="481"/>
      <c r="Z316" s="481"/>
      <c r="AA316" s="481"/>
      <c r="AB316" s="481"/>
    </row>
    <row r="317">
      <c r="A317" s="481"/>
      <c r="B317" s="481"/>
      <c r="C317" s="481"/>
      <c r="D317" s="483"/>
      <c r="E317" s="481"/>
      <c r="F317" s="483"/>
      <c r="G317" s="481"/>
      <c r="H317" s="481"/>
      <c r="I317" s="481"/>
      <c r="J317" s="481"/>
      <c r="K317" s="481"/>
      <c r="L317" s="481"/>
      <c r="M317" s="481"/>
      <c r="N317" s="481"/>
      <c r="O317" s="481"/>
      <c r="P317" s="481"/>
      <c r="Q317" s="481"/>
      <c r="R317" s="481"/>
      <c r="S317" s="481"/>
      <c r="T317" s="481"/>
      <c r="U317" s="481"/>
      <c r="V317" s="481"/>
      <c r="W317" s="481"/>
      <c r="X317" s="481"/>
      <c r="Y317" s="481"/>
      <c r="Z317" s="481"/>
      <c r="AA317" s="481"/>
      <c r="AB317" s="481"/>
    </row>
    <row r="318">
      <c r="A318" s="481"/>
      <c r="B318" s="481"/>
      <c r="C318" s="481"/>
      <c r="D318" s="483"/>
      <c r="E318" s="481"/>
      <c r="F318" s="483"/>
      <c r="G318" s="481"/>
      <c r="H318" s="481"/>
      <c r="I318" s="481"/>
      <c r="J318" s="481"/>
      <c r="K318" s="481"/>
      <c r="L318" s="481"/>
      <c r="M318" s="481"/>
      <c r="N318" s="481"/>
      <c r="O318" s="481"/>
      <c r="P318" s="481"/>
      <c r="Q318" s="481"/>
      <c r="R318" s="481"/>
      <c r="S318" s="481"/>
      <c r="T318" s="481"/>
      <c r="U318" s="481"/>
      <c r="V318" s="481"/>
      <c r="W318" s="481"/>
      <c r="X318" s="481"/>
      <c r="Y318" s="481"/>
      <c r="Z318" s="481"/>
      <c r="AA318" s="481"/>
      <c r="AB318" s="481"/>
    </row>
    <row r="319">
      <c r="A319" s="481"/>
      <c r="B319" s="481"/>
      <c r="C319" s="481"/>
      <c r="D319" s="483"/>
      <c r="E319" s="481"/>
      <c r="F319" s="483"/>
      <c r="G319" s="481"/>
      <c r="H319" s="481"/>
      <c r="I319" s="481"/>
      <c r="J319" s="481"/>
      <c r="K319" s="481"/>
      <c r="L319" s="481"/>
      <c r="M319" s="481"/>
      <c r="N319" s="481"/>
      <c r="O319" s="481"/>
      <c r="P319" s="481"/>
      <c r="Q319" s="481"/>
      <c r="R319" s="481"/>
      <c r="S319" s="481"/>
      <c r="T319" s="481"/>
      <c r="U319" s="481"/>
      <c r="V319" s="481"/>
      <c r="W319" s="481"/>
      <c r="X319" s="481"/>
      <c r="Y319" s="481"/>
      <c r="Z319" s="481"/>
      <c r="AA319" s="481"/>
      <c r="AB319" s="481"/>
    </row>
    <row r="320">
      <c r="A320" s="481"/>
      <c r="B320" s="481"/>
      <c r="C320" s="481"/>
      <c r="D320" s="483"/>
      <c r="E320" s="481"/>
      <c r="F320" s="483"/>
      <c r="G320" s="481"/>
      <c r="H320" s="481"/>
      <c r="I320" s="481"/>
      <c r="J320" s="481"/>
      <c r="K320" s="481"/>
      <c r="L320" s="481"/>
      <c r="M320" s="481"/>
      <c r="N320" s="481"/>
      <c r="O320" s="481"/>
      <c r="P320" s="481"/>
      <c r="Q320" s="481"/>
      <c r="R320" s="481"/>
      <c r="S320" s="481"/>
      <c r="T320" s="481"/>
      <c r="U320" s="481"/>
      <c r="V320" s="481"/>
      <c r="W320" s="481"/>
      <c r="X320" s="481"/>
      <c r="Y320" s="481"/>
      <c r="Z320" s="481"/>
      <c r="AA320" s="481"/>
      <c r="AB320" s="481"/>
    </row>
    <row r="321">
      <c r="A321" s="481"/>
      <c r="B321" s="481"/>
      <c r="C321" s="481"/>
      <c r="D321" s="483"/>
      <c r="E321" s="481"/>
      <c r="F321" s="483"/>
      <c r="G321" s="481"/>
      <c r="H321" s="481"/>
      <c r="I321" s="481"/>
      <c r="J321" s="481"/>
      <c r="K321" s="481"/>
      <c r="L321" s="481"/>
      <c r="M321" s="481"/>
      <c r="N321" s="481"/>
      <c r="O321" s="481"/>
      <c r="P321" s="481"/>
      <c r="Q321" s="481"/>
      <c r="R321" s="481"/>
      <c r="S321" s="481"/>
      <c r="T321" s="481"/>
      <c r="U321" s="481"/>
      <c r="V321" s="481"/>
      <c r="W321" s="481"/>
      <c r="X321" s="481"/>
      <c r="Y321" s="481"/>
      <c r="Z321" s="481"/>
      <c r="AA321" s="481"/>
      <c r="AB321" s="481"/>
    </row>
    <row r="322">
      <c r="A322" s="481"/>
      <c r="B322" s="481"/>
      <c r="C322" s="481"/>
      <c r="D322" s="483"/>
      <c r="E322" s="481"/>
      <c r="F322" s="483"/>
      <c r="G322" s="481"/>
      <c r="H322" s="481"/>
      <c r="I322" s="481"/>
      <c r="J322" s="481"/>
      <c r="K322" s="481"/>
      <c r="L322" s="481"/>
      <c r="M322" s="481"/>
      <c r="N322" s="481"/>
      <c r="O322" s="481"/>
      <c r="P322" s="481"/>
      <c r="Q322" s="481"/>
      <c r="R322" s="481"/>
      <c r="S322" s="481"/>
      <c r="T322" s="481"/>
      <c r="U322" s="481"/>
      <c r="V322" s="481"/>
      <c r="W322" s="481"/>
      <c r="X322" s="481"/>
      <c r="Y322" s="481"/>
      <c r="Z322" s="481"/>
      <c r="AA322" s="481"/>
      <c r="AB322" s="481"/>
    </row>
    <row r="323">
      <c r="A323" s="481"/>
      <c r="B323" s="481"/>
      <c r="C323" s="481"/>
      <c r="D323" s="483"/>
      <c r="E323" s="481"/>
      <c r="F323" s="483"/>
      <c r="G323" s="481"/>
      <c r="H323" s="481"/>
      <c r="I323" s="481"/>
      <c r="J323" s="481"/>
      <c r="K323" s="481"/>
      <c r="L323" s="481"/>
      <c r="M323" s="481"/>
      <c r="N323" s="481"/>
      <c r="O323" s="481"/>
      <c r="P323" s="481"/>
      <c r="Q323" s="481"/>
      <c r="R323" s="481"/>
      <c r="S323" s="481"/>
      <c r="T323" s="481"/>
      <c r="U323" s="481"/>
      <c r="V323" s="481"/>
      <c r="W323" s="481"/>
      <c r="X323" s="481"/>
      <c r="Y323" s="481"/>
      <c r="Z323" s="481"/>
      <c r="AA323" s="481"/>
      <c r="AB323" s="481"/>
    </row>
    <row r="324">
      <c r="A324" s="481"/>
      <c r="B324" s="481"/>
      <c r="C324" s="481"/>
      <c r="D324" s="483"/>
      <c r="E324" s="481"/>
      <c r="F324" s="483"/>
      <c r="G324" s="481"/>
      <c r="H324" s="481"/>
      <c r="I324" s="481"/>
      <c r="J324" s="481"/>
      <c r="K324" s="481"/>
      <c r="L324" s="481"/>
      <c r="M324" s="481"/>
      <c r="N324" s="481"/>
      <c r="O324" s="481"/>
      <c r="P324" s="481"/>
      <c r="Q324" s="481"/>
      <c r="R324" s="481"/>
      <c r="S324" s="481"/>
      <c r="T324" s="481"/>
      <c r="U324" s="481"/>
      <c r="V324" s="481"/>
      <c r="W324" s="481"/>
      <c r="X324" s="481"/>
      <c r="Y324" s="481"/>
      <c r="Z324" s="481"/>
      <c r="AA324" s="481"/>
      <c r="AB324" s="481"/>
    </row>
    <row r="325">
      <c r="A325" s="481"/>
      <c r="B325" s="481"/>
      <c r="C325" s="481"/>
      <c r="D325" s="483"/>
      <c r="E325" s="481"/>
      <c r="F325" s="483"/>
      <c r="G325" s="481"/>
      <c r="H325" s="481"/>
      <c r="I325" s="481"/>
      <c r="J325" s="481"/>
      <c r="K325" s="481"/>
      <c r="L325" s="481"/>
      <c r="M325" s="481"/>
      <c r="N325" s="481"/>
      <c r="O325" s="481"/>
      <c r="P325" s="481"/>
      <c r="Q325" s="481"/>
      <c r="R325" s="481"/>
      <c r="S325" s="481"/>
      <c r="T325" s="481"/>
      <c r="U325" s="481"/>
      <c r="V325" s="481"/>
      <c r="W325" s="481"/>
      <c r="X325" s="481"/>
      <c r="Y325" s="481"/>
      <c r="Z325" s="481"/>
      <c r="AA325" s="481"/>
      <c r="AB325" s="481"/>
    </row>
    <row r="326">
      <c r="A326" s="481"/>
      <c r="B326" s="481"/>
      <c r="C326" s="481"/>
      <c r="D326" s="483"/>
      <c r="E326" s="481"/>
      <c r="F326" s="483"/>
      <c r="G326" s="481"/>
      <c r="H326" s="481"/>
      <c r="I326" s="481"/>
      <c r="J326" s="481"/>
      <c r="K326" s="481"/>
      <c r="L326" s="481"/>
      <c r="M326" s="481"/>
      <c r="N326" s="481"/>
      <c r="O326" s="481"/>
      <c r="P326" s="481"/>
      <c r="Q326" s="481"/>
      <c r="R326" s="481"/>
      <c r="S326" s="481"/>
      <c r="T326" s="481"/>
      <c r="U326" s="481"/>
      <c r="V326" s="481"/>
      <c r="W326" s="481"/>
      <c r="X326" s="481"/>
      <c r="Y326" s="481"/>
      <c r="Z326" s="481"/>
      <c r="AA326" s="481"/>
      <c r="AB326" s="481"/>
    </row>
    <row r="327">
      <c r="A327" s="481"/>
      <c r="B327" s="481"/>
      <c r="C327" s="481"/>
      <c r="D327" s="483"/>
      <c r="E327" s="481"/>
      <c r="F327" s="483"/>
      <c r="G327" s="481"/>
      <c r="H327" s="481"/>
      <c r="I327" s="481"/>
      <c r="J327" s="481"/>
      <c r="K327" s="481"/>
      <c r="L327" s="481"/>
      <c r="M327" s="481"/>
      <c r="N327" s="481"/>
      <c r="O327" s="481"/>
      <c r="P327" s="481"/>
      <c r="Q327" s="481"/>
      <c r="R327" s="481"/>
      <c r="S327" s="481"/>
      <c r="T327" s="481"/>
      <c r="U327" s="481"/>
      <c r="V327" s="481"/>
      <c r="W327" s="481"/>
      <c r="X327" s="481"/>
      <c r="Y327" s="481"/>
      <c r="Z327" s="481"/>
      <c r="AA327" s="481"/>
      <c r="AB327" s="481"/>
    </row>
    <row r="328">
      <c r="A328" s="481"/>
      <c r="B328" s="481"/>
      <c r="C328" s="481"/>
      <c r="D328" s="483"/>
      <c r="E328" s="481"/>
      <c r="F328" s="483"/>
      <c r="G328" s="481"/>
      <c r="H328" s="481"/>
      <c r="I328" s="481"/>
      <c r="J328" s="481"/>
      <c r="K328" s="481"/>
      <c r="L328" s="481"/>
      <c r="M328" s="481"/>
      <c r="N328" s="481"/>
      <c r="O328" s="481"/>
      <c r="P328" s="481"/>
      <c r="Q328" s="481"/>
      <c r="R328" s="481"/>
      <c r="S328" s="481"/>
      <c r="T328" s="481"/>
      <c r="U328" s="481"/>
      <c r="V328" s="481"/>
      <c r="W328" s="481"/>
      <c r="X328" s="481"/>
      <c r="Y328" s="481"/>
      <c r="Z328" s="481"/>
      <c r="AA328" s="481"/>
      <c r="AB328" s="481"/>
    </row>
    <row r="329">
      <c r="A329" s="481"/>
      <c r="B329" s="481"/>
      <c r="C329" s="481"/>
      <c r="D329" s="483"/>
      <c r="E329" s="481"/>
      <c r="F329" s="483"/>
      <c r="G329" s="481"/>
      <c r="H329" s="481"/>
      <c r="I329" s="481"/>
      <c r="J329" s="481"/>
      <c r="K329" s="481"/>
      <c r="L329" s="481"/>
      <c r="M329" s="481"/>
      <c r="N329" s="481"/>
      <c r="O329" s="481"/>
      <c r="P329" s="481"/>
      <c r="Q329" s="481"/>
      <c r="R329" s="481"/>
      <c r="S329" s="481"/>
      <c r="T329" s="481"/>
      <c r="U329" s="481"/>
      <c r="V329" s="481"/>
      <c r="W329" s="481"/>
      <c r="X329" s="481"/>
      <c r="Y329" s="481"/>
      <c r="Z329" s="481"/>
      <c r="AA329" s="481"/>
      <c r="AB329" s="481"/>
    </row>
    <row r="330">
      <c r="A330" s="481"/>
      <c r="B330" s="481"/>
      <c r="C330" s="481"/>
      <c r="D330" s="483"/>
      <c r="E330" s="481"/>
      <c r="F330" s="483"/>
      <c r="G330" s="481"/>
      <c r="H330" s="481"/>
      <c r="I330" s="481"/>
      <c r="J330" s="481"/>
      <c r="K330" s="481"/>
      <c r="L330" s="481"/>
      <c r="M330" s="481"/>
      <c r="N330" s="481"/>
      <c r="O330" s="481"/>
      <c r="P330" s="481"/>
      <c r="Q330" s="481"/>
      <c r="R330" s="481"/>
      <c r="S330" s="481"/>
      <c r="T330" s="481"/>
      <c r="U330" s="481"/>
      <c r="V330" s="481"/>
      <c r="W330" s="481"/>
      <c r="X330" s="481"/>
      <c r="Y330" s="481"/>
      <c r="Z330" s="481"/>
      <c r="AA330" s="481"/>
      <c r="AB330" s="481"/>
    </row>
    <row r="331">
      <c r="A331" s="481"/>
      <c r="B331" s="481"/>
      <c r="C331" s="481"/>
      <c r="D331" s="483"/>
      <c r="E331" s="481"/>
      <c r="F331" s="483"/>
      <c r="G331" s="481"/>
      <c r="H331" s="481"/>
      <c r="I331" s="481"/>
      <c r="J331" s="481"/>
      <c r="K331" s="481"/>
      <c r="L331" s="481"/>
      <c r="M331" s="481"/>
      <c r="N331" s="481"/>
      <c r="O331" s="481"/>
      <c r="P331" s="481"/>
      <c r="Q331" s="481"/>
      <c r="R331" s="481"/>
      <c r="S331" s="481"/>
      <c r="T331" s="481"/>
      <c r="U331" s="481"/>
      <c r="V331" s="481"/>
      <c r="W331" s="481"/>
      <c r="X331" s="481"/>
      <c r="Y331" s="481"/>
      <c r="Z331" s="481"/>
      <c r="AA331" s="481"/>
      <c r="AB331" s="481"/>
    </row>
    <row r="332">
      <c r="A332" s="481"/>
      <c r="B332" s="481"/>
      <c r="C332" s="481"/>
      <c r="D332" s="483"/>
      <c r="E332" s="481"/>
      <c r="F332" s="483"/>
      <c r="G332" s="481"/>
      <c r="H332" s="481"/>
      <c r="I332" s="481"/>
      <c r="J332" s="481"/>
      <c r="K332" s="481"/>
      <c r="L332" s="481"/>
      <c r="M332" s="481"/>
      <c r="N332" s="481"/>
      <c r="O332" s="481"/>
      <c r="P332" s="481"/>
      <c r="Q332" s="481"/>
      <c r="R332" s="481"/>
      <c r="S332" s="481"/>
      <c r="T332" s="481"/>
      <c r="U332" s="481"/>
      <c r="V332" s="481"/>
      <c r="W332" s="481"/>
      <c r="X332" s="481"/>
      <c r="Y332" s="481"/>
      <c r="Z332" s="481"/>
      <c r="AA332" s="481"/>
      <c r="AB332" s="481"/>
    </row>
    <row r="333">
      <c r="A333" s="481"/>
      <c r="B333" s="481"/>
      <c r="C333" s="481"/>
      <c r="D333" s="483"/>
      <c r="E333" s="481"/>
      <c r="F333" s="483"/>
      <c r="G333" s="481"/>
      <c r="H333" s="481"/>
      <c r="I333" s="481"/>
      <c r="J333" s="481"/>
      <c r="K333" s="481"/>
      <c r="L333" s="481"/>
      <c r="M333" s="481"/>
      <c r="N333" s="481"/>
      <c r="O333" s="481"/>
      <c r="P333" s="481"/>
      <c r="Q333" s="481"/>
      <c r="R333" s="481"/>
      <c r="S333" s="481"/>
      <c r="T333" s="481"/>
      <c r="U333" s="481"/>
      <c r="V333" s="481"/>
      <c r="W333" s="481"/>
      <c r="X333" s="481"/>
      <c r="Y333" s="481"/>
      <c r="Z333" s="481"/>
      <c r="AA333" s="481"/>
      <c r="AB333" s="481"/>
    </row>
    <row r="334">
      <c r="A334" s="481"/>
      <c r="B334" s="481"/>
      <c r="C334" s="481"/>
      <c r="D334" s="483"/>
      <c r="E334" s="481"/>
      <c r="F334" s="483"/>
      <c r="G334" s="481"/>
      <c r="H334" s="481"/>
      <c r="I334" s="481"/>
      <c r="J334" s="481"/>
      <c r="K334" s="481"/>
      <c r="L334" s="481"/>
      <c r="M334" s="481"/>
      <c r="N334" s="481"/>
      <c r="O334" s="481"/>
      <c r="P334" s="481"/>
      <c r="Q334" s="481"/>
      <c r="R334" s="481"/>
      <c r="S334" s="481"/>
      <c r="T334" s="481"/>
      <c r="U334" s="481"/>
      <c r="V334" s="481"/>
      <c r="W334" s="481"/>
      <c r="X334" s="481"/>
      <c r="Y334" s="481"/>
      <c r="Z334" s="481"/>
      <c r="AA334" s="481"/>
      <c r="AB334" s="481"/>
    </row>
    <row r="335">
      <c r="A335" s="481"/>
      <c r="B335" s="481"/>
      <c r="C335" s="481"/>
      <c r="D335" s="483"/>
      <c r="E335" s="481"/>
      <c r="F335" s="483"/>
      <c r="G335" s="481"/>
      <c r="H335" s="481"/>
      <c r="I335" s="481"/>
      <c r="J335" s="481"/>
      <c r="K335" s="481"/>
      <c r="L335" s="481"/>
      <c r="M335" s="481"/>
      <c r="N335" s="481"/>
      <c r="O335" s="481"/>
      <c r="P335" s="481"/>
      <c r="Q335" s="481"/>
      <c r="R335" s="481"/>
      <c r="S335" s="481"/>
      <c r="T335" s="481"/>
      <c r="U335" s="481"/>
      <c r="V335" s="481"/>
      <c r="W335" s="481"/>
      <c r="X335" s="481"/>
      <c r="Y335" s="481"/>
      <c r="Z335" s="481"/>
      <c r="AA335" s="481"/>
      <c r="AB335" s="481"/>
    </row>
    <row r="336">
      <c r="A336" s="481"/>
      <c r="B336" s="481"/>
      <c r="C336" s="481"/>
      <c r="D336" s="483"/>
      <c r="E336" s="481"/>
      <c r="F336" s="483"/>
      <c r="G336" s="481"/>
      <c r="H336" s="481"/>
      <c r="I336" s="481"/>
      <c r="J336" s="481"/>
      <c r="K336" s="481"/>
      <c r="L336" s="481"/>
      <c r="M336" s="481"/>
      <c r="N336" s="481"/>
      <c r="O336" s="481"/>
      <c r="P336" s="481"/>
      <c r="Q336" s="481"/>
      <c r="R336" s="481"/>
      <c r="S336" s="481"/>
      <c r="T336" s="481"/>
      <c r="U336" s="481"/>
      <c r="V336" s="481"/>
      <c r="W336" s="481"/>
      <c r="X336" s="481"/>
      <c r="Y336" s="481"/>
      <c r="Z336" s="481"/>
      <c r="AA336" s="481"/>
      <c r="AB336" s="481"/>
    </row>
    <row r="337">
      <c r="A337" s="481"/>
      <c r="B337" s="481"/>
      <c r="C337" s="481"/>
      <c r="D337" s="483"/>
      <c r="E337" s="481"/>
      <c r="F337" s="483"/>
      <c r="G337" s="481"/>
      <c r="H337" s="481"/>
      <c r="I337" s="481"/>
      <c r="J337" s="481"/>
      <c r="K337" s="481"/>
      <c r="L337" s="481"/>
      <c r="M337" s="481"/>
      <c r="N337" s="481"/>
      <c r="O337" s="481"/>
      <c r="P337" s="481"/>
      <c r="Q337" s="481"/>
      <c r="R337" s="481"/>
      <c r="S337" s="481"/>
      <c r="T337" s="481"/>
      <c r="U337" s="481"/>
      <c r="V337" s="481"/>
      <c r="W337" s="481"/>
      <c r="X337" s="481"/>
      <c r="Y337" s="481"/>
      <c r="Z337" s="481"/>
      <c r="AA337" s="481"/>
      <c r="AB337" s="481"/>
    </row>
    <row r="338">
      <c r="A338" s="481"/>
      <c r="B338" s="481"/>
      <c r="C338" s="481"/>
      <c r="D338" s="483"/>
      <c r="E338" s="481"/>
      <c r="F338" s="483"/>
      <c r="G338" s="481"/>
      <c r="H338" s="481"/>
      <c r="I338" s="481"/>
      <c r="J338" s="481"/>
      <c r="K338" s="481"/>
      <c r="L338" s="481"/>
      <c r="M338" s="481"/>
      <c r="N338" s="481"/>
      <c r="O338" s="481"/>
      <c r="P338" s="481"/>
      <c r="Q338" s="481"/>
      <c r="R338" s="481"/>
      <c r="S338" s="481"/>
      <c r="T338" s="481"/>
      <c r="U338" s="481"/>
      <c r="V338" s="481"/>
      <c r="W338" s="481"/>
      <c r="X338" s="481"/>
      <c r="Y338" s="481"/>
      <c r="Z338" s="481"/>
      <c r="AA338" s="481"/>
      <c r="AB338" s="481"/>
    </row>
    <row r="339">
      <c r="A339" s="481"/>
      <c r="B339" s="481"/>
      <c r="C339" s="481"/>
      <c r="D339" s="483"/>
      <c r="E339" s="481"/>
      <c r="F339" s="483"/>
      <c r="G339" s="481"/>
      <c r="H339" s="481"/>
      <c r="I339" s="481"/>
      <c r="J339" s="481"/>
      <c r="K339" s="481"/>
      <c r="L339" s="481"/>
      <c r="M339" s="481"/>
      <c r="N339" s="481"/>
      <c r="O339" s="481"/>
      <c r="P339" s="481"/>
      <c r="Q339" s="481"/>
      <c r="R339" s="481"/>
      <c r="S339" s="481"/>
      <c r="T339" s="481"/>
      <c r="U339" s="481"/>
      <c r="V339" s="481"/>
      <c r="W339" s="481"/>
      <c r="X339" s="481"/>
      <c r="Y339" s="481"/>
      <c r="Z339" s="481"/>
      <c r="AA339" s="481"/>
      <c r="AB339" s="481"/>
    </row>
    <row r="340">
      <c r="A340" s="481"/>
      <c r="B340" s="481"/>
      <c r="C340" s="481"/>
      <c r="D340" s="483"/>
      <c r="E340" s="481"/>
      <c r="F340" s="483"/>
      <c r="G340" s="481"/>
      <c r="H340" s="481"/>
      <c r="I340" s="481"/>
      <c r="J340" s="481"/>
      <c r="K340" s="481"/>
      <c r="L340" s="481"/>
      <c r="M340" s="481"/>
      <c r="N340" s="481"/>
      <c r="O340" s="481"/>
      <c r="P340" s="481"/>
      <c r="Q340" s="481"/>
      <c r="R340" s="481"/>
      <c r="S340" s="481"/>
      <c r="T340" s="481"/>
      <c r="U340" s="481"/>
      <c r="V340" s="481"/>
      <c r="W340" s="481"/>
      <c r="X340" s="481"/>
      <c r="Y340" s="481"/>
      <c r="Z340" s="481"/>
      <c r="AA340" s="481"/>
      <c r="AB340" s="481"/>
    </row>
    <row r="341">
      <c r="A341" s="481"/>
      <c r="B341" s="481"/>
      <c r="C341" s="481"/>
      <c r="D341" s="483"/>
      <c r="E341" s="481"/>
      <c r="F341" s="483"/>
      <c r="G341" s="481"/>
      <c r="H341" s="481"/>
      <c r="I341" s="481"/>
      <c r="J341" s="481"/>
      <c r="K341" s="481"/>
      <c r="L341" s="481"/>
      <c r="M341" s="481"/>
      <c r="N341" s="481"/>
      <c r="O341" s="481"/>
      <c r="P341" s="481"/>
      <c r="Q341" s="481"/>
      <c r="R341" s="481"/>
      <c r="S341" s="481"/>
      <c r="T341" s="481"/>
      <c r="U341" s="481"/>
      <c r="V341" s="481"/>
      <c r="W341" s="481"/>
      <c r="X341" s="481"/>
      <c r="Y341" s="481"/>
      <c r="Z341" s="481"/>
      <c r="AA341" s="481"/>
      <c r="AB341" s="481"/>
    </row>
    <row r="342">
      <c r="A342" s="481"/>
      <c r="B342" s="481"/>
      <c r="C342" s="481"/>
      <c r="D342" s="483"/>
      <c r="E342" s="481"/>
      <c r="F342" s="483"/>
      <c r="G342" s="481"/>
      <c r="H342" s="481"/>
      <c r="I342" s="481"/>
      <c r="J342" s="481"/>
      <c r="K342" s="481"/>
      <c r="L342" s="481"/>
      <c r="M342" s="481"/>
      <c r="N342" s="481"/>
      <c r="O342" s="481"/>
      <c r="P342" s="481"/>
      <c r="Q342" s="481"/>
      <c r="R342" s="481"/>
      <c r="S342" s="481"/>
      <c r="T342" s="481"/>
      <c r="U342" s="481"/>
      <c r="V342" s="481"/>
      <c r="W342" s="481"/>
      <c r="X342" s="481"/>
      <c r="Y342" s="481"/>
      <c r="Z342" s="481"/>
      <c r="AA342" s="481"/>
      <c r="AB342" s="481"/>
    </row>
    <row r="343">
      <c r="A343" s="481"/>
      <c r="B343" s="481"/>
      <c r="C343" s="481"/>
      <c r="D343" s="483"/>
      <c r="E343" s="481"/>
      <c r="F343" s="483"/>
      <c r="G343" s="481"/>
      <c r="H343" s="481"/>
      <c r="I343" s="481"/>
      <c r="J343" s="481"/>
      <c r="K343" s="481"/>
      <c r="L343" s="481"/>
      <c r="M343" s="481"/>
      <c r="N343" s="481"/>
      <c r="O343" s="481"/>
      <c r="P343" s="481"/>
      <c r="Q343" s="481"/>
      <c r="R343" s="481"/>
      <c r="S343" s="481"/>
      <c r="T343" s="481"/>
      <c r="U343" s="481"/>
      <c r="V343" s="481"/>
      <c r="W343" s="481"/>
      <c r="X343" s="481"/>
      <c r="Y343" s="481"/>
      <c r="Z343" s="481"/>
      <c r="AA343" s="481"/>
      <c r="AB343" s="481"/>
    </row>
    <row r="344">
      <c r="A344" s="481"/>
      <c r="B344" s="481"/>
      <c r="C344" s="481"/>
      <c r="D344" s="483"/>
      <c r="E344" s="481"/>
      <c r="F344" s="483"/>
      <c r="G344" s="481"/>
      <c r="H344" s="481"/>
      <c r="I344" s="481"/>
      <c r="J344" s="481"/>
      <c r="K344" s="481"/>
      <c r="L344" s="481"/>
      <c r="M344" s="481"/>
      <c r="N344" s="481"/>
      <c r="O344" s="481"/>
      <c r="P344" s="481"/>
      <c r="Q344" s="481"/>
      <c r="R344" s="481"/>
      <c r="S344" s="481"/>
      <c r="T344" s="481"/>
      <c r="U344" s="481"/>
      <c r="V344" s="481"/>
      <c r="W344" s="481"/>
      <c r="X344" s="481"/>
      <c r="Y344" s="481"/>
      <c r="Z344" s="481"/>
      <c r="AA344" s="481"/>
      <c r="AB344" s="481"/>
    </row>
    <row r="345">
      <c r="A345" s="481"/>
      <c r="B345" s="481"/>
      <c r="C345" s="481"/>
      <c r="D345" s="483"/>
      <c r="E345" s="481"/>
      <c r="F345" s="483"/>
      <c r="G345" s="481"/>
      <c r="H345" s="481"/>
      <c r="I345" s="481"/>
      <c r="J345" s="481"/>
      <c r="K345" s="481"/>
      <c r="L345" s="481"/>
      <c r="M345" s="481"/>
      <c r="N345" s="481"/>
      <c r="O345" s="481"/>
      <c r="P345" s="481"/>
      <c r="Q345" s="481"/>
      <c r="R345" s="481"/>
      <c r="S345" s="481"/>
      <c r="T345" s="481"/>
      <c r="U345" s="481"/>
      <c r="V345" s="481"/>
      <c r="W345" s="481"/>
      <c r="X345" s="481"/>
      <c r="Y345" s="481"/>
      <c r="Z345" s="481"/>
      <c r="AA345" s="481"/>
      <c r="AB345" s="481"/>
    </row>
    <row r="346">
      <c r="A346" s="481"/>
      <c r="B346" s="481"/>
      <c r="C346" s="481"/>
      <c r="D346" s="483"/>
      <c r="E346" s="481"/>
      <c r="F346" s="483"/>
      <c r="G346" s="481"/>
      <c r="H346" s="481"/>
      <c r="I346" s="481"/>
      <c r="J346" s="481"/>
      <c r="K346" s="481"/>
      <c r="L346" s="481"/>
      <c r="M346" s="481"/>
      <c r="N346" s="481"/>
      <c r="O346" s="481"/>
      <c r="P346" s="481"/>
      <c r="Q346" s="481"/>
      <c r="R346" s="481"/>
      <c r="S346" s="481"/>
      <c r="T346" s="481"/>
      <c r="U346" s="481"/>
      <c r="V346" s="481"/>
      <c r="W346" s="481"/>
      <c r="X346" s="481"/>
      <c r="Y346" s="481"/>
      <c r="Z346" s="481"/>
      <c r="AA346" s="481"/>
      <c r="AB346" s="481"/>
    </row>
    <row r="347">
      <c r="A347" s="481"/>
      <c r="B347" s="481"/>
      <c r="C347" s="481"/>
      <c r="D347" s="483"/>
      <c r="E347" s="481"/>
      <c r="F347" s="483"/>
      <c r="G347" s="481"/>
      <c r="H347" s="481"/>
      <c r="I347" s="481"/>
      <c r="J347" s="481"/>
      <c r="K347" s="481"/>
      <c r="L347" s="481"/>
      <c r="M347" s="481"/>
      <c r="N347" s="481"/>
      <c r="O347" s="481"/>
      <c r="P347" s="481"/>
      <c r="Q347" s="481"/>
      <c r="R347" s="481"/>
      <c r="S347" s="481"/>
      <c r="T347" s="481"/>
      <c r="U347" s="481"/>
      <c r="V347" s="481"/>
      <c r="W347" s="481"/>
      <c r="X347" s="481"/>
      <c r="Y347" s="481"/>
      <c r="Z347" s="481"/>
      <c r="AA347" s="481"/>
      <c r="AB347" s="481"/>
    </row>
    <row r="348">
      <c r="A348" s="481"/>
      <c r="B348" s="481"/>
      <c r="C348" s="481"/>
      <c r="D348" s="483"/>
      <c r="E348" s="481"/>
      <c r="F348" s="483"/>
      <c r="G348" s="481"/>
      <c r="H348" s="481"/>
      <c r="I348" s="481"/>
      <c r="J348" s="481"/>
      <c r="K348" s="481"/>
      <c r="L348" s="481"/>
      <c r="M348" s="481"/>
      <c r="N348" s="481"/>
      <c r="O348" s="481"/>
      <c r="P348" s="481"/>
      <c r="Q348" s="481"/>
      <c r="R348" s="481"/>
      <c r="S348" s="481"/>
      <c r="T348" s="481"/>
      <c r="U348" s="481"/>
      <c r="V348" s="481"/>
      <c r="W348" s="481"/>
      <c r="X348" s="481"/>
      <c r="Y348" s="481"/>
      <c r="Z348" s="481"/>
      <c r="AA348" s="481"/>
      <c r="AB348" s="481"/>
    </row>
    <row r="349">
      <c r="A349" s="481"/>
      <c r="B349" s="481"/>
      <c r="C349" s="481"/>
      <c r="D349" s="483"/>
      <c r="E349" s="481"/>
      <c r="F349" s="483"/>
      <c r="G349" s="481"/>
      <c r="H349" s="481"/>
      <c r="I349" s="481"/>
      <c r="J349" s="481"/>
      <c r="K349" s="481"/>
      <c r="L349" s="481"/>
      <c r="M349" s="481"/>
      <c r="N349" s="481"/>
      <c r="O349" s="481"/>
      <c r="P349" s="481"/>
      <c r="Q349" s="481"/>
      <c r="R349" s="481"/>
      <c r="S349" s="481"/>
      <c r="T349" s="481"/>
      <c r="U349" s="481"/>
      <c r="V349" s="481"/>
      <c r="W349" s="481"/>
      <c r="X349" s="481"/>
      <c r="Y349" s="481"/>
      <c r="Z349" s="481"/>
      <c r="AA349" s="481"/>
      <c r="AB349" s="481"/>
    </row>
    <row r="350">
      <c r="A350" s="481"/>
      <c r="B350" s="481"/>
      <c r="C350" s="481"/>
      <c r="D350" s="483"/>
      <c r="E350" s="481"/>
      <c r="F350" s="483"/>
      <c r="G350" s="481"/>
      <c r="H350" s="481"/>
      <c r="I350" s="481"/>
      <c r="J350" s="481"/>
      <c r="K350" s="481"/>
      <c r="L350" s="481"/>
      <c r="M350" s="481"/>
      <c r="N350" s="481"/>
      <c r="O350" s="481"/>
      <c r="P350" s="481"/>
      <c r="Q350" s="481"/>
      <c r="R350" s="481"/>
      <c r="S350" s="481"/>
      <c r="T350" s="481"/>
      <c r="U350" s="481"/>
      <c r="V350" s="481"/>
      <c r="W350" s="481"/>
      <c r="X350" s="481"/>
      <c r="Y350" s="481"/>
      <c r="Z350" s="481"/>
      <c r="AA350" s="481"/>
      <c r="AB350" s="481"/>
    </row>
    <row r="351">
      <c r="A351" s="481"/>
      <c r="B351" s="481"/>
      <c r="C351" s="481"/>
      <c r="D351" s="483"/>
      <c r="E351" s="481"/>
      <c r="F351" s="483"/>
      <c r="G351" s="481"/>
      <c r="H351" s="481"/>
      <c r="I351" s="481"/>
      <c r="J351" s="481"/>
      <c r="K351" s="481"/>
      <c r="L351" s="481"/>
      <c r="M351" s="481"/>
      <c r="N351" s="481"/>
      <c r="O351" s="481"/>
      <c r="P351" s="481"/>
      <c r="Q351" s="481"/>
      <c r="R351" s="481"/>
      <c r="S351" s="481"/>
      <c r="T351" s="481"/>
      <c r="U351" s="481"/>
      <c r="V351" s="481"/>
      <c r="W351" s="481"/>
      <c r="X351" s="481"/>
      <c r="Y351" s="481"/>
      <c r="Z351" s="481"/>
      <c r="AA351" s="481"/>
      <c r="AB351" s="481"/>
    </row>
    <row r="352">
      <c r="A352" s="481"/>
      <c r="B352" s="481"/>
      <c r="C352" s="481"/>
      <c r="D352" s="483"/>
      <c r="E352" s="481"/>
      <c r="F352" s="483"/>
      <c r="G352" s="481"/>
      <c r="H352" s="481"/>
      <c r="I352" s="481"/>
      <c r="J352" s="481"/>
      <c r="K352" s="481"/>
      <c r="L352" s="481"/>
      <c r="M352" s="481"/>
      <c r="N352" s="481"/>
      <c r="O352" s="481"/>
      <c r="P352" s="481"/>
      <c r="Q352" s="481"/>
      <c r="R352" s="481"/>
      <c r="S352" s="481"/>
      <c r="T352" s="481"/>
      <c r="U352" s="481"/>
      <c r="V352" s="481"/>
      <c r="W352" s="481"/>
      <c r="X352" s="481"/>
      <c r="Y352" s="481"/>
      <c r="Z352" s="481"/>
      <c r="AA352" s="481"/>
      <c r="AB352" s="481"/>
    </row>
    <row r="353">
      <c r="A353" s="481"/>
      <c r="B353" s="481"/>
      <c r="C353" s="481"/>
      <c r="D353" s="483"/>
      <c r="E353" s="481"/>
      <c r="F353" s="483"/>
      <c r="G353" s="481"/>
      <c r="H353" s="481"/>
      <c r="I353" s="481"/>
      <c r="J353" s="481"/>
      <c r="K353" s="481"/>
      <c r="L353" s="481"/>
      <c r="M353" s="481"/>
      <c r="N353" s="481"/>
      <c r="O353" s="481"/>
      <c r="P353" s="481"/>
      <c r="Q353" s="481"/>
      <c r="R353" s="481"/>
      <c r="S353" s="481"/>
      <c r="T353" s="481"/>
      <c r="U353" s="481"/>
      <c r="V353" s="481"/>
      <c r="W353" s="481"/>
      <c r="X353" s="481"/>
      <c r="Y353" s="481"/>
      <c r="Z353" s="481"/>
      <c r="AA353" s="481"/>
      <c r="AB353" s="481"/>
    </row>
    <row r="354">
      <c r="A354" s="481"/>
      <c r="B354" s="481"/>
      <c r="C354" s="481"/>
      <c r="D354" s="483"/>
      <c r="E354" s="481"/>
      <c r="F354" s="483"/>
      <c r="G354" s="481"/>
      <c r="H354" s="481"/>
      <c r="I354" s="481"/>
      <c r="J354" s="481"/>
      <c r="K354" s="481"/>
      <c r="L354" s="481"/>
      <c r="M354" s="481"/>
      <c r="N354" s="481"/>
      <c r="O354" s="481"/>
      <c r="P354" s="481"/>
      <c r="Q354" s="481"/>
      <c r="R354" s="481"/>
      <c r="S354" s="481"/>
      <c r="T354" s="481"/>
      <c r="U354" s="481"/>
      <c r="V354" s="481"/>
      <c r="W354" s="481"/>
      <c r="X354" s="481"/>
      <c r="Y354" s="481"/>
      <c r="Z354" s="481"/>
      <c r="AA354" s="481"/>
      <c r="AB354" s="481"/>
    </row>
    <row r="355">
      <c r="A355" s="481"/>
      <c r="B355" s="481"/>
      <c r="C355" s="481"/>
      <c r="D355" s="483"/>
      <c r="E355" s="481"/>
      <c r="F355" s="483"/>
      <c r="G355" s="481"/>
      <c r="H355" s="481"/>
      <c r="I355" s="481"/>
      <c r="J355" s="481"/>
      <c r="K355" s="481"/>
      <c r="L355" s="481"/>
      <c r="M355" s="481"/>
      <c r="N355" s="481"/>
      <c r="O355" s="481"/>
      <c r="P355" s="481"/>
      <c r="Q355" s="481"/>
      <c r="R355" s="481"/>
      <c r="S355" s="481"/>
      <c r="T355" s="481"/>
      <c r="U355" s="481"/>
      <c r="V355" s="481"/>
      <c r="W355" s="481"/>
      <c r="X355" s="481"/>
      <c r="Y355" s="481"/>
      <c r="Z355" s="481"/>
      <c r="AA355" s="481"/>
      <c r="AB355" s="481"/>
    </row>
    <row r="356">
      <c r="A356" s="481"/>
      <c r="B356" s="481"/>
      <c r="C356" s="481"/>
      <c r="D356" s="483"/>
      <c r="E356" s="481"/>
      <c r="F356" s="483"/>
      <c r="G356" s="481"/>
      <c r="H356" s="481"/>
      <c r="I356" s="481"/>
      <c r="J356" s="481"/>
      <c r="K356" s="481"/>
      <c r="L356" s="481"/>
      <c r="M356" s="481"/>
      <c r="N356" s="481"/>
      <c r="O356" s="481"/>
      <c r="P356" s="481"/>
      <c r="Q356" s="481"/>
      <c r="R356" s="481"/>
      <c r="S356" s="481"/>
      <c r="T356" s="481"/>
      <c r="U356" s="481"/>
      <c r="V356" s="481"/>
      <c r="W356" s="481"/>
      <c r="X356" s="481"/>
      <c r="Y356" s="481"/>
      <c r="Z356" s="481"/>
      <c r="AA356" s="481"/>
      <c r="AB356" s="481"/>
    </row>
    <row r="357">
      <c r="A357" s="481"/>
      <c r="B357" s="481"/>
      <c r="C357" s="481"/>
      <c r="D357" s="483"/>
      <c r="E357" s="481"/>
      <c r="F357" s="483"/>
      <c r="G357" s="481"/>
      <c r="H357" s="481"/>
      <c r="I357" s="481"/>
      <c r="J357" s="481"/>
      <c r="K357" s="481"/>
      <c r="L357" s="481"/>
      <c r="M357" s="481"/>
      <c r="N357" s="481"/>
      <c r="O357" s="481"/>
      <c r="P357" s="481"/>
      <c r="Q357" s="481"/>
      <c r="R357" s="481"/>
      <c r="S357" s="481"/>
      <c r="T357" s="481"/>
      <c r="U357" s="481"/>
      <c r="V357" s="481"/>
      <c r="W357" s="481"/>
      <c r="X357" s="481"/>
      <c r="Y357" s="481"/>
      <c r="Z357" s="481"/>
      <c r="AA357" s="481"/>
      <c r="AB357" s="481"/>
    </row>
    <row r="358">
      <c r="A358" s="481"/>
      <c r="B358" s="481"/>
      <c r="C358" s="481"/>
      <c r="D358" s="483"/>
      <c r="E358" s="481"/>
      <c r="F358" s="483"/>
      <c r="G358" s="481"/>
      <c r="H358" s="481"/>
      <c r="I358" s="481"/>
      <c r="J358" s="481"/>
      <c r="K358" s="481"/>
      <c r="L358" s="481"/>
      <c r="M358" s="481"/>
      <c r="N358" s="481"/>
      <c r="O358" s="481"/>
      <c r="P358" s="481"/>
      <c r="Q358" s="481"/>
      <c r="R358" s="481"/>
      <c r="S358" s="481"/>
      <c r="T358" s="481"/>
      <c r="U358" s="481"/>
      <c r="V358" s="481"/>
      <c r="W358" s="481"/>
      <c r="X358" s="481"/>
      <c r="Y358" s="481"/>
      <c r="Z358" s="481"/>
      <c r="AA358" s="481"/>
      <c r="AB358" s="481"/>
    </row>
    <row r="359">
      <c r="A359" s="481"/>
      <c r="B359" s="481"/>
      <c r="C359" s="481"/>
      <c r="D359" s="483"/>
      <c r="E359" s="481"/>
      <c r="F359" s="483"/>
      <c r="G359" s="481"/>
      <c r="H359" s="481"/>
      <c r="I359" s="481"/>
      <c r="J359" s="481"/>
      <c r="K359" s="481"/>
      <c r="L359" s="481"/>
      <c r="M359" s="481"/>
      <c r="N359" s="481"/>
      <c r="O359" s="481"/>
      <c r="P359" s="481"/>
      <c r="Q359" s="481"/>
      <c r="R359" s="481"/>
      <c r="S359" s="481"/>
      <c r="T359" s="481"/>
      <c r="U359" s="481"/>
      <c r="V359" s="481"/>
      <c r="W359" s="481"/>
      <c r="X359" s="481"/>
      <c r="Y359" s="481"/>
      <c r="Z359" s="481"/>
      <c r="AA359" s="481"/>
      <c r="AB359" s="481"/>
    </row>
    <row r="360">
      <c r="A360" s="481"/>
      <c r="B360" s="481"/>
      <c r="C360" s="481"/>
      <c r="D360" s="483"/>
      <c r="E360" s="481"/>
      <c r="F360" s="483"/>
      <c r="G360" s="481"/>
      <c r="H360" s="481"/>
      <c r="I360" s="481"/>
      <c r="J360" s="481"/>
      <c r="K360" s="481"/>
      <c r="L360" s="481"/>
      <c r="M360" s="481"/>
      <c r="N360" s="481"/>
      <c r="O360" s="481"/>
      <c r="P360" s="481"/>
      <c r="Q360" s="481"/>
      <c r="R360" s="481"/>
      <c r="S360" s="481"/>
      <c r="T360" s="481"/>
      <c r="U360" s="481"/>
      <c r="V360" s="481"/>
      <c r="W360" s="481"/>
      <c r="X360" s="481"/>
      <c r="Y360" s="481"/>
      <c r="Z360" s="481"/>
      <c r="AA360" s="481"/>
      <c r="AB360" s="481"/>
    </row>
    <row r="361">
      <c r="A361" s="481"/>
      <c r="B361" s="481"/>
      <c r="C361" s="481"/>
      <c r="D361" s="483"/>
      <c r="E361" s="481"/>
      <c r="F361" s="483"/>
      <c r="G361" s="481"/>
      <c r="H361" s="481"/>
      <c r="I361" s="481"/>
      <c r="J361" s="481"/>
      <c r="K361" s="481"/>
      <c r="L361" s="481"/>
      <c r="M361" s="481"/>
      <c r="N361" s="481"/>
      <c r="O361" s="481"/>
      <c r="P361" s="481"/>
      <c r="Q361" s="481"/>
      <c r="R361" s="481"/>
      <c r="S361" s="481"/>
      <c r="T361" s="481"/>
      <c r="U361" s="481"/>
      <c r="V361" s="481"/>
      <c r="W361" s="481"/>
      <c r="X361" s="481"/>
      <c r="Y361" s="481"/>
      <c r="Z361" s="481"/>
      <c r="AA361" s="481"/>
      <c r="AB361" s="481"/>
    </row>
    <row r="362">
      <c r="A362" s="481"/>
      <c r="B362" s="481"/>
      <c r="C362" s="481"/>
      <c r="D362" s="483"/>
      <c r="E362" s="481"/>
      <c r="F362" s="483"/>
      <c r="G362" s="481"/>
      <c r="H362" s="481"/>
      <c r="I362" s="481"/>
      <c r="J362" s="481"/>
      <c r="K362" s="481"/>
      <c r="L362" s="481"/>
      <c r="M362" s="481"/>
      <c r="N362" s="481"/>
      <c r="O362" s="481"/>
      <c r="P362" s="481"/>
      <c r="Q362" s="481"/>
      <c r="R362" s="481"/>
      <c r="S362" s="481"/>
      <c r="T362" s="481"/>
      <c r="U362" s="481"/>
      <c r="V362" s="481"/>
      <c r="W362" s="481"/>
      <c r="X362" s="481"/>
      <c r="Y362" s="481"/>
      <c r="Z362" s="481"/>
      <c r="AA362" s="481"/>
      <c r="AB362" s="481"/>
    </row>
    <row r="363">
      <c r="A363" s="481"/>
      <c r="B363" s="481"/>
      <c r="C363" s="481"/>
      <c r="D363" s="483"/>
      <c r="E363" s="481"/>
      <c r="F363" s="483"/>
      <c r="G363" s="481"/>
      <c r="H363" s="481"/>
      <c r="I363" s="481"/>
      <c r="J363" s="481"/>
      <c r="K363" s="481"/>
      <c r="L363" s="481"/>
      <c r="M363" s="481"/>
      <c r="N363" s="481"/>
      <c r="O363" s="481"/>
      <c r="P363" s="481"/>
      <c r="Q363" s="481"/>
      <c r="R363" s="481"/>
      <c r="S363" s="481"/>
      <c r="T363" s="481"/>
      <c r="U363" s="481"/>
      <c r="V363" s="481"/>
      <c r="W363" s="481"/>
      <c r="X363" s="481"/>
      <c r="Y363" s="481"/>
      <c r="Z363" s="481"/>
      <c r="AA363" s="481"/>
      <c r="AB363" s="481"/>
    </row>
    <row r="364">
      <c r="A364" s="481"/>
      <c r="B364" s="481"/>
      <c r="C364" s="481"/>
      <c r="D364" s="483"/>
      <c r="E364" s="481"/>
      <c r="F364" s="483"/>
      <c r="G364" s="481"/>
      <c r="H364" s="481"/>
      <c r="I364" s="481"/>
      <c r="J364" s="481"/>
      <c r="K364" s="481"/>
      <c r="L364" s="481"/>
      <c r="M364" s="481"/>
      <c r="N364" s="481"/>
      <c r="O364" s="481"/>
      <c r="P364" s="481"/>
      <c r="Q364" s="481"/>
      <c r="R364" s="481"/>
      <c r="S364" s="481"/>
      <c r="T364" s="481"/>
      <c r="U364" s="481"/>
      <c r="V364" s="481"/>
      <c r="W364" s="481"/>
      <c r="X364" s="481"/>
      <c r="Y364" s="481"/>
      <c r="Z364" s="481"/>
      <c r="AA364" s="481"/>
      <c r="AB364" s="481"/>
    </row>
    <row r="365">
      <c r="A365" s="481"/>
      <c r="B365" s="481"/>
      <c r="C365" s="481"/>
      <c r="D365" s="483"/>
      <c r="E365" s="481"/>
      <c r="F365" s="483"/>
      <c r="G365" s="481"/>
      <c r="H365" s="481"/>
      <c r="I365" s="481"/>
      <c r="J365" s="481"/>
      <c r="K365" s="481"/>
      <c r="L365" s="481"/>
      <c r="M365" s="481"/>
      <c r="N365" s="481"/>
      <c r="O365" s="481"/>
      <c r="P365" s="481"/>
      <c r="Q365" s="481"/>
      <c r="R365" s="481"/>
      <c r="S365" s="481"/>
      <c r="T365" s="481"/>
      <c r="U365" s="481"/>
      <c r="V365" s="481"/>
      <c r="W365" s="481"/>
      <c r="X365" s="481"/>
      <c r="Y365" s="481"/>
      <c r="Z365" s="481"/>
      <c r="AA365" s="481"/>
      <c r="AB365" s="481"/>
    </row>
    <row r="366">
      <c r="A366" s="481"/>
      <c r="B366" s="481"/>
      <c r="C366" s="481"/>
      <c r="D366" s="483"/>
      <c r="E366" s="481"/>
      <c r="F366" s="483"/>
      <c r="G366" s="481"/>
      <c r="H366" s="481"/>
      <c r="I366" s="481"/>
      <c r="J366" s="481"/>
      <c r="K366" s="481"/>
      <c r="L366" s="481"/>
      <c r="M366" s="481"/>
      <c r="N366" s="481"/>
      <c r="O366" s="481"/>
      <c r="P366" s="481"/>
      <c r="Q366" s="481"/>
      <c r="R366" s="481"/>
      <c r="S366" s="481"/>
      <c r="T366" s="481"/>
      <c r="U366" s="481"/>
      <c r="V366" s="481"/>
      <c r="W366" s="481"/>
      <c r="X366" s="481"/>
      <c r="Y366" s="481"/>
      <c r="Z366" s="481"/>
      <c r="AA366" s="481"/>
      <c r="AB366" s="481"/>
    </row>
    <row r="367">
      <c r="A367" s="481"/>
      <c r="B367" s="481"/>
      <c r="C367" s="481"/>
      <c r="D367" s="483"/>
      <c r="E367" s="481"/>
      <c r="F367" s="483"/>
      <c r="G367" s="481"/>
      <c r="H367" s="481"/>
      <c r="I367" s="481"/>
      <c r="J367" s="481"/>
      <c r="K367" s="481"/>
      <c r="L367" s="481"/>
      <c r="M367" s="481"/>
      <c r="N367" s="481"/>
      <c r="O367" s="481"/>
      <c r="P367" s="481"/>
      <c r="Q367" s="481"/>
      <c r="R367" s="481"/>
      <c r="S367" s="481"/>
      <c r="T367" s="481"/>
      <c r="U367" s="481"/>
      <c r="V367" s="481"/>
      <c r="W367" s="481"/>
      <c r="X367" s="481"/>
      <c r="Y367" s="481"/>
      <c r="Z367" s="481"/>
      <c r="AA367" s="481"/>
      <c r="AB367" s="481"/>
    </row>
    <row r="368">
      <c r="A368" s="481"/>
      <c r="B368" s="481"/>
      <c r="C368" s="481"/>
      <c r="D368" s="483"/>
      <c r="E368" s="481"/>
      <c r="F368" s="483"/>
      <c r="G368" s="481"/>
      <c r="H368" s="481"/>
      <c r="I368" s="481"/>
      <c r="J368" s="481"/>
      <c r="K368" s="481"/>
      <c r="L368" s="481"/>
      <c r="M368" s="481"/>
      <c r="N368" s="481"/>
      <c r="O368" s="481"/>
      <c r="P368" s="481"/>
      <c r="Q368" s="481"/>
      <c r="R368" s="481"/>
      <c r="S368" s="481"/>
      <c r="T368" s="481"/>
      <c r="U368" s="481"/>
      <c r="V368" s="481"/>
      <c r="W368" s="481"/>
      <c r="X368" s="481"/>
      <c r="Y368" s="481"/>
      <c r="Z368" s="481"/>
      <c r="AA368" s="481"/>
      <c r="AB368" s="481"/>
    </row>
    <row r="369">
      <c r="A369" s="481"/>
      <c r="B369" s="481"/>
      <c r="C369" s="481"/>
      <c r="D369" s="483"/>
      <c r="E369" s="481"/>
      <c r="F369" s="483"/>
      <c r="G369" s="481"/>
      <c r="H369" s="481"/>
      <c r="I369" s="481"/>
      <c r="J369" s="481"/>
      <c r="K369" s="481"/>
      <c r="L369" s="481"/>
      <c r="M369" s="481"/>
      <c r="N369" s="481"/>
      <c r="O369" s="481"/>
      <c r="P369" s="481"/>
      <c r="Q369" s="481"/>
      <c r="R369" s="481"/>
      <c r="S369" s="481"/>
      <c r="T369" s="481"/>
      <c r="U369" s="481"/>
      <c r="V369" s="481"/>
      <c r="W369" s="481"/>
      <c r="X369" s="481"/>
      <c r="Y369" s="481"/>
      <c r="Z369" s="481"/>
      <c r="AA369" s="481"/>
      <c r="AB369" s="481"/>
    </row>
    <row r="370">
      <c r="A370" s="481"/>
      <c r="B370" s="481"/>
      <c r="C370" s="481"/>
      <c r="D370" s="483"/>
      <c r="E370" s="481"/>
      <c r="F370" s="483"/>
      <c r="G370" s="481"/>
      <c r="H370" s="481"/>
      <c r="I370" s="481"/>
      <c r="J370" s="481"/>
      <c r="K370" s="481"/>
      <c r="L370" s="481"/>
      <c r="M370" s="481"/>
      <c r="N370" s="481"/>
      <c r="O370" s="481"/>
      <c r="P370" s="481"/>
      <c r="Q370" s="481"/>
      <c r="R370" s="481"/>
      <c r="S370" s="481"/>
      <c r="T370" s="481"/>
      <c r="U370" s="481"/>
      <c r="V370" s="481"/>
      <c r="W370" s="481"/>
      <c r="X370" s="481"/>
      <c r="Y370" s="481"/>
      <c r="Z370" s="481"/>
      <c r="AA370" s="481"/>
      <c r="AB370" s="481"/>
    </row>
    <row r="371">
      <c r="A371" s="481"/>
      <c r="B371" s="481"/>
      <c r="C371" s="481"/>
      <c r="D371" s="483"/>
      <c r="E371" s="481"/>
      <c r="F371" s="483"/>
      <c r="G371" s="481"/>
      <c r="H371" s="481"/>
      <c r="I371" s="481"/>
      <c r="J371" s="481"/>
      <c r="K371" s="481"/>
      <c r="L371" s="481"/>
      <c r="M371" s="481"/>
      <c r="N371" s="481"/>
      <c r="O371" s="481"/>
      <c r="P371" s="481"/>
      <c r="Q371" s="481"/>
      <c r="R371" s="481"/>
      <c r="S371" s="481"/>
      <c r="T371" s="481"/>
      <c r="U371" s="481"/>
      <c r="V371" s="481"/>
      <c r="W371" s="481"/>
      <c r="X371" s="481"/>
      <c r="Y371" s="481"/>
      <c r="Z371" s="481"/>
      <c r="AA371" s="481"/>
      <c r="AB371" s="481"/>
    </row>
    <row r="372">
      <c r="A372" s="481"/>
      <c r="B372" s="481"/>
      <c r="C372" s="481"/>
      <c r="D372" s="483"/>
      <c r="E372" s="481"/>
      <c r="F372" s="483"/>
      <c r="G372" s="481"/>
      <c r="H372" s="481"/>
      <c r="I372" s="481"/>
      <c r="J372" s="481"/>
      <c r="K372" s="481"/>
      <c r="L372" s="481"/>
      <c r="M372" s="481"/>
      <c r="N372" s="481"/>
      <c r="O372" s="481"/>
      <c r="P372" s="481"/>
      <c r="Q372" s="481"/>
      <c r="R372" s="481"/>
      <c r="S372" s="481"/>
      <c r="T372" s="481"/>
      <c r="U372" s="481"/>
      <c r="V372" s="481"/>
      <c r="W372" s="481"/>
      <c r="X372" s="481"/>
      <c r="Y372" s="481"/>
      <c r="Z372" s="481"/>
      <c r="AA372" s="481"/>
      <c r="AB372" s="481"/>
    </row>
    <row r="373">
      <c r="A373" s="481"/>
      <c r="B373" s="481"/>
      <c r="C373" s="481"/>
      <c r="D373" s="483"/>
      <c r="E373" s="481"/>
      <c r="F373" s="483"/>
      <c r="G373" s="481"/>
      <c r="H373" s="481"/>
      <c r="I373" s="481"/>
      <c r="J373" s="481"/>
      <c r="K373" s="481"/>
      <c r="L373" s="481"/>
      <c r="M373" s="481"/>
      <c r="N373" s="481"/>
      <c r="O373" s="481"/>
      <c r="P373" s="481"/>
      <c r="Q373" s="481"/>
      <c r="R373" s="481"/>
      <c r="S373" s="481"/>
      <c r="T373" s="481"/>
      <c r="U373" s="481"/>
      <c r="V373" s="481"/>
      <c r="W373" s="481"/>
      <c r="X373" s="481"/>
      <c r="Y373" s="481"/>
      <c r="Z373" s="481"/>
      <c r="AA373" s="481"/>
      <c r="AB373" s="481"/>
    </row>
    <row r="374">
      <c r="A374" s="481"/>
      <c r="B374" s="481"/>
      <c r="C374" s="481"/>
      <c r="D374" s="483"/>
      <c r="E374" s="481"/>
      <c r="F374" s="483"/>
      <c r="G374" s="481"/>
      <c r="H374" s="481"/>
      <c r="I374" s="481"/>
      <c r="J374" s="481"/>
      <c r="K374" s="481"/>
      <c r="L374" s="481"/>
      <c r="M374" s="481"/>
      <c r="N374" s="481"/>
      <c r="O374" s="481"/>
      <c r="P374" s="481"/>
      <c r="Q374" s="481"/>
      <c r="R374" s="481"/>
      <c r="S374" s="481"/>
      <c r="T374" s="481"/>
      <c r="U374" s="481"/>
      <c r="V374" s="481"/>
      <c r="W374" s="481"/>
      <c r="X374" s="481"/>
      <c r="Y374" s="481"/>
      <c r="Z374" s="481"/>
      <c r="AA374" s="481"/>
      <c r="AB374" s="481"/>
    </row>
    <row r="375">
      <c r="A375" s="481"/>
      <c r="B375" s="481"/>
      <c r="C375" s="481"/>
      <c r="D375" s="483"/>
      <c r="E375" s="481"/>
      <c r="F375" s="483"/>
      <c r="G375" s="481"/>
      <c r="H375" s="481"/>
      <c r="I375" s="481"/>
      <c r="J375" s="481"/>
      <c r="K375" s="481"/>
      <c r="L375" s="481"/>
      <c r="M375" s="481"/>
      <c r="N375" s="481"/>
      <c r="O375" s="481"/>
      <c r="P375" s="481"/>
      <c r="Q375" s="481"/>
      <c r="R375" s="481"/>
      <c r="S375" s="481"/>
      <c r="T375" s="481"/>
      <c r="U375" s="481"/>
      <c r="V375" s="481"/>
      <c r="W375" s="481"/>
      <c r="X375" s="481"/>
      <c r="Y375" s="481"/>
      <c r="Z375" s="481"/>
      <c r="AA375" s="481"/>
      <c r="AB375" s="481"/>
    </row>
    <row r="376">
      <c r="A376" s="481"/>
      <c r="B376" s="481"/>
      <c r="C376" s="481"/>
      <c r="D376" s="483"/>
      <c r="E376" s="481"/>
      <c r="F376" s="483"/>
      <c r="G376" s="481"/>
      <c r="H376" s="481"/>
      <c r="I376" s="481"/>
      <c r="J376" s="481"/>
      <c r="K376" s="481"/>
      <c r="L376" s="481"/>
      <c r="M376" s="481"/>
      <c r="N376" s="481"/>
      <c r="O376" s="481"/>
      <c r="P376" s="481"/>
      <c r="Q376" s="481"/>
      <c r="R376" s="481"/>
      <c r="S376" s="481"/>
      <c r="T376" s="481"/>
      <c r="U376" s="481"/>
      <c r="V376" s="481"/>
      <c r="W376" s="481"/>
      <c r="X376" s="481"/>
      <c r="Y376" s="481"/>
      <c r="Z376" s="481"/>
      <c r="AA376" s="481"/>
      <c r="AB376" s="481"/>
    </row>
    <row r="377">
      <c r="A377" s="481"/>
      <c r="B377" s="481"/>
      <c r="C377" s="481"/>
      <c r="D377" s="483"/>
      <c r="E377" s="481"/>
      <c r="F377" s="483"/>
      <c r="G377" s="481"/>
      <c r="H377" s="481"/>
      <c r="I377" s="481"/>
      <c r="J377" s="481"/>
      <c r="K377" s="481"/>
      <c r="L377" s="481"/>
      <c r="M377" s="481"/>
      <c r="N377" s="481"/>
      <c r="O377" s="481"/>
      <c r="P377" s="481"/>
      <c r="Q377" s="481"/>
      <c r="R377" s="481"/>
      <c r="S377" s="481"/>
      <c r="T377" s="481"/>
      <c r="U377" s="481"/>
      <c r="V377" s="481"/>
      <c r="W377" s="481"/>
      <c r="X377" s="481"/>
      <c r="Y377" s="481"/>
      <c r="Z377" s="481"/>
      <c r="AA377" s="481"/>
      <c r="AB377" s="481"/>
    </row>
    <row r="378">
      <c r="A378" s="481"/>
      <c r="B378" s="481"/>
      <c r="C378" s="481"/>
      <c r="D378" s="483"/>
      <c r="E378" s="481"/>
      <c r="F378" s="483"/>
      <c r="G378" s="481"/>
      <c r="H378" s="481"/>
      <c r="I378" s="481"/>
      <c r="J378" s="481"/>
      <c r="K378" s="481"/>
      <c r="L378" s="481"/>
      <c r="M378" s="481"/>
      <c r="N378" s="481"/>
      <c r="O378" s="481"/>
      <c r="P378" s="481"/>
      <c r="Q378" s="481"/>
      <c r="R378" s="481"/>
      <c r="S378" s="481"/>
      <c r="T378" s="481"/>
      <c r="U378" s="481"/>
      <c r="V378" s="481"/>
      <c r="W378" s="481"/>
      <c r="X378" s="481"/>
      <c r="Y378" s="481"/>
      <c r="Z378" s="481"/>
      <c r="AA378" s="481"/>
      <c r="AB378" s="481"/>
    </row>
    <row r="379">
      <c r="A379" s="481"/>
      <c r="B379" s="481"/>
      <c r="C379" s="481"/>
      <c r="D379" s="483"/>
      <c r="E379" s="481"/>
      <c r="F379" s="483"/>
      <c r="G379" s="481"/>
      <c r="H379" s="481"/>
      <c r="I379" s="481"/>
      <c r="J379" s="481"/>
      <c r="K379" s="481"/>
      <c r="L379" s="481"/>
      <c r="M379" s="481"/>
      <c r="N379" s="481"/>
      <c r="O379" s="481"/>
      <c r="P379" s="481"/>
      <c r="Q379" s="481"/>
      <c r="R379" s="481"/>
      <c r="S379" s="481"/>
      <c r="T379" s="481"/>
      <c r="U379" s="481"/>
      <c r="V379" s="481"/>
      <c r="W379" s="481"/>
      <c r="X379" s="481"/>
      <c r="Y379" s="481"/>
      <c r="Z379" s="481"/>
      <c r="AA379" s="481"/>
      <c r="AB379" s="481"/>
    </row>
    <row r="380">
      <c r="A380" s="481"/>
      <c r="B380" s="481"/>
      <c r="C380" s="481"/>
      <c r="D380" s="483"/>
      <c r="E380" s="481"/>
      <c r="F380" s="483"/>
      <c r="G380" s="481"/>
      <c r="H380" s="481"/>
      <c r="I380" s="481"/>
      <c r="J380" s="481"/>
      <c r="K380" s="481"/>
      <c r="L380" s="481"/>
      <c r="M380" s="481"/>
      <c r="N380" s="481"/>
      <c r="O380" s="481"/>
      <c r="P380" s="481"/>
      <c r="Q380" s="481"/>
      <c r="R380" s="481"/>
      <c r="S380" s="481"/>
      <c r="T380" s="481"/>
      <c r="U380" s="481"/>
      <c r="V380" s="481"/>
      <c r="W380" s="481"/>
      <c r="X380" s="481"/>
      <c r="Y380" s="481"/>
      <c r="Z380" s="481"/>
      <c r="AA380" s="481"/>
      <c r="AB380" s="481"/>
    </row>
    <row r="381">
      <c r="A381" s="481"/>
      <c r="B381" s="481"/>
      <c r="C381" s="481"/>
      <c r="D381" s="483"/>
      <c r="E381" s="481"/>
      <c r="F381" s="483"/>
      <c r="G381" s="481"/>
      <c r="H381" s="481"/>
      <c r="I381" s="481"/>
      <c r="J381" s="481"/>
      <c r="K381" s="481"/>
      <c r="L381" s="481"/>
      <c r="M381" s="481"/>
      <c r="N381" s="481"/>
      <c r="O381" s="481"/>
      <c r="P381" s="481"/>
      <c r="Q381" s="481"/>
      <c r="R381" s="481"/>
      <c r="S381" s="481"/>
      <c r="T381" s="481"/>
      <c r="U381" s="481"/>
      <c r="V381" s="481"/>
      <c r="W381" s="481"/>
      <c r="X381" s="481"/>
      <c r="Y381" s="481"/>
      <c r="Z381" s="481"/>
      <c r="AA381" s="481"/>
      <c r="AB381" s="481"/>
    </row>
    <row r="382">
      <c r="A382" s="481"/>
      <c r="B382" s="481"/>
      <c r="C382" s="481"/>
      <c r="D382" s="483"/>
      <c r="E382" s="481"/>
      <c r="F382" s="483"/>
      <c r="G382" s="481"/>
      <c r="H382" s="481"/>
      <c r="I382" s="481"/>
      <c r="J382" s="481"/>
      <c r="K382" s="481"/>
      <c r="L382" s="481"/>
      <c r="M382" s="481"/>
      <c r="N382" s="481"/>
      <c r="O382" s="481"/>
      <c r="P382" s="481"/>
      <c r="Q382" s="481"/>
      <c r="R382" s="481"/>
      <c r="S382" s="481"/>
      <c r="T382" s="481"/>
      <c r="U382" s="481"/>
      <c r="V382" s="481"/>
      <c r="W382" s="481"/>
      <c r="X382" s="481"/>
      <c r="Y382" s="481"/>
      <c r="Z382" s="481"/>
      <c r="AA382" s="481"/>
      <c r="AB382" s="481"/>
    </row>
    <row r="383">
      <c r="A383" s="481"/>
      <c r="B383" s="481"/>
      <c r="C383" s="481"/>
      <c r="D383" s="483"/>
      <c r="E383" s="481"/>
      <c r="F383" s="483"/>
      <c r="G383" s="481"/>
      <c r="H383" s="481"/>
      <c r="I383" s="481"/>
      <c r="J383" s="481"/>
      <c r="K383" s="481"/>
      <c r="L383" s="481"/>
      <c r="M383" s="481"/>
      <c r="N383" s="481"/>
      <c r="O383" s="481"/>
      <c r="P383" s="481"/>
      <c r="Q383" s="481"/>
      <c r="R383" s="481"/>
      <c r="S383" s="481"/>
      <c r="T383" s="481"/>
      <c r="U383" s="481"/>
      <c r="V383" s="481"/>
      <c r="W383" s="481"/>
      <c r="X383" s="481"/>
      <c r="Y383" s="481"/>
      <c r="Z383" s="481"/>
      <c r="AA383" s="481"/>
      <c r="AB383" s="481"/>
    </row>
    <row r="384">
      <c r="A384" s="481"/>
      <c r="B384" s="481"/>
      <c r="C384" s="481"/>
      <c r="D384" s="483"/>
      <c r="E384" s="481"/>
      <c r="F384" s="483"/>
      <c r="G384" s="481"/>
      <c r="H384" s="481"/>
      <c r="I384" s="481"/>
      <c r="J384" s="481"/>
      <c r="K384" s="481"/>
      <c r="L384" s="481"/>
      <c r="M384" s="481"/>
      <c r="N384" s="481"/>
      <c r="O384" s="481"/>
      <c r="P384" s="481"/>
      <c r="Q384" s="481"/>
      <c r="R384" s="481"/>
      <c r="S384" s="481"/>
      <c r="T384" s="481"/>
      <c r="U384" s="481"/>
      <c r="V384" s="481"/>
      <c r="W384" s="481"/>
      <c r="X384" s="481"/>
      <c r="Y384" s="481"/>
      <c r="Z384" s="481"/>
      <c r="AA384" s="481"/>
      <c r="AB384" s="481"/>
    </row>
    <row r="385">
      <c r="A385" s="481"/>
      <c r="B385" s="481"/>
      <c r="C385" s="481"/>
      <c r="D385" s="483"/>
      <c r="E385" s="481"/>
      <c r="F385" s="483"/>
      <c r="G385" s="481"/>
      <c r="H385" s="481"/>
      <c r="I385" s="481"/>
      <c r="J385" s="481"/>
      <c r="K385" s="481"/>
      <c r="L385" s="481"/>
      <c r="M385" s="481"/>
      <c r="N385" s="481"/>
      <c r="O385" s="481"/>
      <c r="P385" s="481"/>
      <c r="Q385" s="481"/>
      <c r="R385" s="481"/>
      <c r="S385" s="481"/>
      <c r="T385" s="481"/>
      <c r="U385" s="481"/>
      <c r="V385" s="481"/>
      <c r="W385" s="481"/>
      <c r="X385" s="481"/>
      <c r="Y385" s="481"/>
      <c r="Z385" s="481"/>
      <c r="AA385" s="481"/>
      <c r="AB385" s="481"/>
    </row>
    <row r="386">
      <c r="A386" s="481"/>
      <c r="B386" s="481"/>
      <c r="C386" s="481"/>
      <c r="D386" s="483"/>
      <c r="E386" s="481"/>
      <c r="F386" s="483"/>
      <c r="G386" s="481"/>
      <c r="H386" s="481"/>
      <c r="I386" s="481"/>
      <c r="J386" s="481"/>
      <c r="K386" s="481"/>
      <c r="L386" s="481"/>
      <c r="M386" s="481"/>
      <c r="N386" s="481"/>
      <c r="O386" s="481"/>
      <c r="P386" s="481"/>
      <c r="Q386" s="481"/>
      <c r="R386" s="481"/>
      <c r="S386" s="481"/>
      <c r="T386" s="481"/>
      <c r="U386" s="481"/>
      <c r="V386" s="481"/>
      <c r="W386" s="481"/>
      <c r="X386" s="481"/>
      <c r="Y386" s="481"/>
      <c r="Z386" s="481"/>
      <c r="AA386" s="481"/>
      <c r="AB386" s="481"/>
    </row>
    <row r="387">
      <c r="A387" s="481"/>
      <c r="B387" s="481"/>
      <c r="C387" s="481"/>
      <c r="D387" s="483"/>
      <c r="E387" s="481"/>
      <c r="F387" s="483"/>
      <c r="G387" s="481"/>
      <c r="H387" s="481"/>
      <c r="I387" s="481"/>
      <c r="J387" s="481"/>
      <c r="K387" s="481"/>
      <c r="L387" s="481"/>
      <c r="M387" s="481"/>
      <c r="N387" s="481"/>
      <c r="O387" s="481"/>
      <c r="P387" s="481"/>
      <c r="Q387" s="481"/>
      <c r="R387" s="481"/>
      <c r="S387" s="481"/>
      <c r="T387" s="481"/>
      <c r="U387" s="481"/>
      <c r="V387" s="481"/>
      <c r="W387" s="481"/>
      <c r="X387" s="481"/>
      <c r="Y387" s="481"/>
      <c r="Z387" s="481"/>
      <c r="AA387" s="481"/>
      <c r="AB387" s="481"/>
    </row>
    <row r="388">
      <c r="A388" s="481"/>
      <c r="B388" s="481"/>
      <c r="C388" s="481"/>
      <c r="D388" s="483"/>
      <c r="E388" s="481"/>
      <c r="F388" s="483"/>
      <c r="G388" s="481"/>
      <c r="H388" s="481"/>
      <c r="I388" s="481"/>
      <c r="J388" s="481"/>
      <c r="K388" s="481"/>
      <c r="L388" s="481"/>
      <c r="M388" s="481"/>
      <c r="N388" s="481"/>
      <c r="O388" s="481"/>
      <c r="P388" s="481"/>
      <c r="Q388" s="481"/>
      <c r="R388" s="481"/>
      <c r="S388" s="481"/>
      <c r="T388" s="481"/>
      <c r="U388" s="481"/>
      <c r="V388" s="481"/>
      <c r="W388" s="481"/>
      <c r="X388" s="481"/>
      <c r="Y388" s="481"/>
      <c r="Z388" s="481"/>
      <c r="AA388" s="481"/>
      <c r="AB388" s="481"/>
    </row>
    <row r="389">
      <c r="A389" s="481"/>
      <c r="B389" s="481"/>
      <c r="C389" s="481"/>
      <c r="D389" s="483"/>
      <c r="E389" s="481"/>
      <c r="F389" s="483"/>
      <c r="G389" s="481"/>
      <c r="H389" s="481"/>
      <c r="I389" s="481"/>
      <c r="J389" s="481"/>
      <c r="K389" s="481"/>
      <c r="L389" s="481"/>
      <c r="M389" s="481"/>
      <c r="N389" s="481"/>
      <c r="O389" s="481"/>
      <c r="P389" s="481"/>
      <c r="Q389" s="481"/>
      <c r="R389" s="481"/>
      <c r="S389" s="481"/>
      <c r="T389" s="481"/>
      <c r="U389" s="481"/>
      <c r="V389" s="481"/>
      <c r="W389" s="481"/>
      <c r="X389" s="481"/>
      <c r="Y389" s="481"/>
      <c r="Z389" s="481"/>
      <c r="AA389" s="481"/>
      <c r="AB389" s="481"/>
    </row>
    <row r="390">
      <c r="A390" s="481"/>
      <c r="B390" s="481"/>
      <c r="C390" s="481"/>
      <c r="D390" s="483"/>
      <c r="E390" s="481"/>
      <c r="F390" s="483"/>
      <c r="G390" s="481"/>
      <c r="H390" s="481"/>
      <c r="I390" s="481"/>
      <c r="J390" s="481"/>
      <c r="K390" s="481"/>
      <c r="L390" s="481"/>
      <c r="M390" s="481"/>
      <c r="N390" s="481"/>
      <c r="O390" s="481"/>
      <c r="P390" s="481"/>
      <c r="Q390" s="481"/>
      <c r="R390" s="481"/>
      <c r="S390" s="481"/>
      <c r="T390" s="481"/>
      <c r="U390" s="481"/>
      <c r="V390" s="481"/>
      <c r="W390" s="481"/>
      <c r="X390" s="481"/>
      <c r="Y390" s="481"/>
      <c r="Z390" s="481"/>
      <c r="AA390" s="481"/>
      <c r="AB390" s="481"/>
    </row>
    <row r="391">
      <c r="A391" s="481"/>
      <c r="B391" s="481"/>
      <c r="C391" s="481"/>
      <c r="D391" s="483"/>
      <c r="E391" s="481"/>
      <c r="F391" s="483"/>
      <c r="G391" s="481"/>
      <c r="H391" s="481"/>
      <c r="I391" s="481"/>
      <c r="J391" s="481"/>
      <c r="K391" s="481"/>
      <c r="L391" s="481"/>
      <c r="M391" s="481"/>
      <c r="N391" s="481"/>
      <c r="O391" s="481"/>
      <c r="P391" s="481"/>
      <c r="Q391" s="481"/>
      <c r="R391" s="481"/>
      <c r="S391" s="481"/>
      <c r="T391" s="481"/>
      <c r="U391" s="481"/>
      <c r="V391" s="481"/>
      <c r="W391" s="481"/>
      <c r="X391" s="481"/>
      <c r="Y391" s="481"/>
      <c r="Z391" s="481"/>
      <c r="AA391" s="481"/>
      <c r="AB391" s="481"/>
    </row>
    <row r="392">
      <c r="A392" s="481"/>
      <c r="B392" s="481"/>
      <c r="C392" s="481"/>
      <c r="D392" s="483"/>
      <c r="E392" s="481"/>
      <c r="F392" s="483"/>
      <c r="G392" s="481"/>
      <c r="H392" s="481"/>
      <c r="I392" s="481"/>
      <c r="J392" s="481"/>
      <c r="K392" s="481"/>
      <c r="L392" s="481"/>
      <c r="M392" s="481"/>
      <c r="N392" s="481"/>
      <c r="O392" s="481"/>
      <c r="P392" s="481"/>
      <c r="Q392" s="481"/>
      <c r="R392" s="481"/>
      <c r="S392" s="481"/>
      <c r="T392" s="481"/>
      <c r="U392" s="481"/>
      <c r="V392" s="481"/>
      <c r="W392" s="481"/>
      <c r="X392" s="481"/>
      <c r="Y392" s="481"/>
      <c r="Z392" s="481"/>
      <c r="AA392" s="481"/>
      <c r="AB392" s="481"/>
    </row>
    <row r="393">
      <c r="A393" s="481"/>
      <c r="B393" s="481"/>
      <c r="C393" s="481"/>
      <c r="D393" s="483"/>
      <c r="E393" s="481"/>
      <c r="F393" s="483"/>
      <c r="G393" s="481"/>
      <c r="H393" s="481"/>
      <c r="I393" s="481"/>
      <c r="J393" s="481"/>
      <c r="K393" s="481"/>
      <c r="L393" s="481"/>
      <c r="M393" s="481"/>
      <c r="N393" s="481"/>
      <c r="O393" s="481"/>
      <c r="P393" s="481"/>
      <c r="Q393" s="481"/>
      <c r="R393" s="481"/>
      <c r="S393" s="481"/>
      <c r="T393" s="481"/>
      <c r="U393" s="481"/>
      <c r="V393" s="481"/>
      <c r="W393" s="481"/>
      <c r="X393" s="481"/>
      <c r="Y393" s="481"/>
      <c r="Z393" s="481"/>
      <c r="AA393" s="481"/>
      <c r="AB393" s="481"/>
    </row>
    <row r="394">
      <c r="A394" s="481"/>
      <c r="B394" s="481"/>
      <c r="C394" s="481"/>
      <c r="D394" s="483"/>
      <c r="E394" s="481"/>
      <c r="F394" s="483"/>
      <c r="G394" s="481"/>
      <c r="H394" s="481"/>
      <c r="I394" s="481"/>
      <c r="J394" s="481"/>
      <c r="K394" s="481"/>
      <c r="L394" s="481"/>
      <c r="M394" s="481"/>
      <c r="N394" s="481"/>
      <c r="O394" s="481"/>
      <c r="P394" s="481"/>
      <c r="Q394" s="481"/>
      <c r="R394" s="481"/>
      <c r="S394" s="481"/>
      <c r="T394" s="481"/>
      <c r="U394" s="481"/>
      <c r="V394" s="481"/>
      <c r="W394" s="481"/>
      <c r="X394" s="481"/>
      <c r="Y394" s="481"/>
      <c r="Z394" s="481"/>
      <c r="AA394" s="481"/>
      <c r="AB394" s="481"/>
    </row>
    <row r="395">
      <c r="A395" s="481"/>
      <c r="B395" s="481"/>
      <c r="C395" s="481"/>
      <c r="D395" s="483"/>
      <c r="E395" s="481"/>
      <c r="F395" s="483"/>
      <c r="G395" s="481"/>
      <c r="H395" s="481"/>
      <c r="I395" s="481"/>
      <c r="J395" s="481"/>
      <c r="K395" s="481"/>
      <c r="L395" s="481"/>
      <c r="M395" s="481"/>
      <c r="N395" s="481"/>
      <c r="O395" s="481"/>
      <c r="P395" s="481"/>
      <c r="Q395" s="481"/>
      <c r="R395" s="481"/>
      <c r="S395" s="481"/>
      <c r="T395" s="481"/>
      <c r="U395" s="481"/>
      <c r="V395" s="481"/>
      <c r="W395" s="481"/>
      <c r="X395" s="481"/>
      <c r="Y395" s="481"/>
      <c r="Z395" s="481"/>
      <c r="AA395" s="481"/>
      <c r="AB395" s="481"/>
    </row>
    <row r="396">
      <c r="A396" s="481"/>
      <c r="B396" s="481"/>
      <c r="C396" s="481"/>
      <c r="D396" s="483"/>
      <c r="E396" s="481"/>
      <c r="F396" s="483"/>
      <c r="G396" s="481"/>
      <c r="H396" s="481"/>
      <c r="I396" s="481"/>
      <c r="J396" s="481"/>
      <c r="K396" s="481"/>
      <c r="L396" s="481"/>
      <c r="M396" s="481"/>
      <c r="N396" s="481"/>
      <c r="O396" s="481"/>
      <c r="P396" s="481"/>
      <c r="Q396" s="481"/>
      <c r="R396" s="481"/>
      <c r="S396" s="481"/>
      <c r="T396" s="481"/>
      <c r="U396" s="481"/>
      <c r="V396" s="481"/>
      <c r="W396" s="481"/>
      <c r="X396" s="481"/>
      <c r="Y396" s="481"/>
      <c r="Z396" s="481"/>
      <c r="AA396" s="481"/>
      <c r="AB396" s="481"/>
    </row>
    <row r="397">
      <c r="A397" s="481"/>
      <c r="B397" s="481"/>
      <c r="C397" s="481"/>
      <c r="D397" s="483"/>
      <c r="E397" s="481"/>
      <c r="F397" s="483"/>
      <c r="G397" s="481"/>
      <c r="H397" s="481"/>
      <c r="I397" s="481"/>
      <c r="J397" s="481"/>
      <c r="K397" s="481"/>
      <c r="L397" s="481"/>
      <c r="M397" s="481"/>
      <c r="N397" s="481"/>
      <c r="O397" s="481"/>
      <c r="P397" s="481"/>
      <c r="Q397" s="481"/>
      <c r="R397" s="481"/>
      <c r="S397" s="481"/>
      <c r="T397" s="481"/>
      <c r="U397" s="481"/>
      <c r="V397" s="481"/>
      <c r="W397" s="481"/>
      <c r="X397" s="481"/>
      <c r="Y397" s="481"/>
      <c r="Z397" s="481"/>
      <c r="AA397" s="481"/>
      <c r="AB397" s="481"/>
    </row>
    <row r="398">
      <c r="A398" s="481"/>
      <c r="B398" s="481"/>
      <c r="C398" s="481"/>
      <c r="D398" s="483"/>
      <c r="E398" s="481"/>
      <c r="F398" s="483"/>
      <c r="G398" s="481"/>
      <c r="H398" s="481"/>
      <c r="I398" s="481"/>
      <c r="J398" s="481"/>
      <c r="K398" s="481"/>
      <c r="L398" s="481"/>
      <c r="M398" s="481"/>
      <c r="N398" s="481"/>
      <c r="O398" s="481"/>
      <c r="P398" s="481"/>
      <c r="Q398" s="481"/>
      <c r="R398" s="481"/>
      <c r="S398" s="481"/>
      <c r="T398" s="481"/>
      <c r="U398" s="481"/>
      <c r="V398" s="481"/>
      <c r="W398" s="481"/>
      <c r="X398" s="481"/>
      <c r="Y398" s="481"/>
      <c r="Z398" s="481"/>
      <c r="AA398" s="481"/>
      <c r="AB398" s="481"/>
    </row>
    <row r="399">
      <c r="A399" s="481"/>
      <c r="B399" s="481"/>
      <c r="C399" s="481"/>
      <c r="D399" s="483"/>
      <c r="E399" s="481"/>
      <c r="F399" s="483"/>
      <c r="G399" s="481"/>
      <c r="H399" s="481"/>
      <c r="I399" s="481"/>
      <c r="J399" s="481"/>
      <c r="K399" s="481"/>
      <c r="L399" s="481"/>
      <c r="M399" s="481"/>
      <c r="N399" s="481"/>
      <c r="O399" s="481"/>
      <c r="P399" s="481"/>
      <c r="Q399" s="481"/>
      <c r="R399" s="481"/>
      <c r="S399" s="481"/>
      <c r="T399" s="481"/>
      <c r="U399" s="481"/>
      <c r="V399" s="481"/>
      <c r="W399" s="481"/>
      <c r="X399" s="481"/>
      <c r="Y399" s="481"/>
      <c r="Z399" s="481"/>
      <c r="AA399" s="481"/>
      <c r="AB399" s="481"/>
    </row>
    <row r="400">
      <c r="A400" s="481"/>
      <c r="B400" s="481"/>
      <c r="C400" s="481"/>
      <c r="D400" s="483"/>
      <c r="E400" s="481"/>
      <c r="F400" s="483"/>
      <c r="G400" s="481"/>
      <c r="H400" s="481"/>
      <c r="I400" s="481"/>
      <c r="J400" s="481"/>
      <c r="K400" s="481"/>
      <c r="L400" s="481"/>
      <c r="M400" s="481"/>
      <c r="N400" s="481"/>
      <c r="O400" s="481"/>
      <c r="P400" s="481"/>
      <c r="Q400" s="481"/>
      <c r="R400" s="481"/>
      <c r="S400" s="481"/>
      <c r="T400" s="481"/>
      <c r="U400" s="481"/>
      <c r="V400" s="481"/>
      <c r="W400" s="481"/>
      <c r="X400" s="481"/>
      <c r="Y400" s="481"/>
      <c r="Z400" s="481"/>
      <c r="AA400" s="481"/>
      <c r="AB400" s="481"/>
    </row>
    <row r="401">
      <c r="A401" s="481"/>
      <c r="B401" s="481"/>
      <c r="C401" s="481"/>
      <c r="D401" s="483"/>
      <c r="E401" s="481"/>
      <c r="F401" s="483"/>
      <c r="G401" s="481"/>
      <c r="H401" s="481"/>
      <c r="I401" s="481"/>
      <c r="J401" s="481"/>
      <c r="K401" s="481"/>
      <c r="L401" s="481"/>
      <c r="M401" s="481"/>
      <c r="N401" s="481"/>
      <c r="O401" s="481"/>
      <c r="P401" s="481"/>
      <c r="Q401" s="481"/>
      <c r="R401" s="481"/>
      <c r="S401" s="481"/>
      <c r="T401" s="481"/>
      <c r="U401" s="481"/>
      <c r="V401" s="481"/>
      <c r="W401" s="481"/>
      <c r="X401" s="481"/>
      <c r="Y401" s="481"/>
      <c r="Z401" s="481"/>
      <c r="AA401" s="481"/>
      <c r="AB401" s="481"/>
    </row>
    <row r="402">
      <c r="A402" s="481"/>
      <c r="B402" s="481"/>
      <c r="C402" s="481"/>
      <c r="D402" s="483"/>
      <c r="E402" s="481"/>
      <c r="F402" s="483"/>
      <c r="G402" s="481"/>
      <c r="H402" s="481"/>
      <c r="I402" s="481"/>
      <c r="J402" s="481"/>
      <c r="K402" s="481"/>
      <c r="L402" s="481"/>
      <c r="M402" s="481"/>
      <c r="N402" s="481"/>
      <c r="O402" s="481"/>
      <c r="P402" s="481"/>
      <c r="Q402" s="481"/>
      <c r="R402" s="481"/>
      <c r="S402" s="481"/>
      <c r="T402" s="481"/>
      <c r="U402" s="481"/>
      <c r="V402" s="481"/>
      <c r="W402" s="481"/>
      <c r="X402" s="481"/>
      <c r="Y402" s="481"/>
      <c r="Z402" s="481"/>
      <c r="AA402" s="481"/>
      <c r="AB402" s="481"/>
    </row>
    <row r="403">
      <c r="A403" s="481"/>
      <c r="B403" s="481"/>
      <c r="C403" s="481"/>
      <c r="D403" s="483"/>
      <c r="E403" s="481"/>
      <c r="F403" s="483"/>
      <c r="G403" s="481"/>
      <c r="H403" s="481"/>
      <c r="I403" s="481"/>
      <c r="J403" s="481"/>
      <c r="K403" s="481"/>
      <c r="L403" s="481"/>
      <c r="M403" s="481"/>
      <c r="N403" s="481"/>
      <c r="O403" s="481"/>
      <c r="P403" s="481"/>
      <c r="Q403" s="481"/>
      <c r="R403" s="481"/>
      <c r="S403" s="481"/>
      <c r="T403" s="481"/>
      <c r="U403" s="481"/>
      <c r="V403" s="481"/>
      <c r="W403" s="481"/>
      <c r="X403" s="481"/>
      <c r="Y403" s="481"/>
      <c r="Z403" s="481"/>
      <c r="AA403" s="481"/>
      <c r="AB403" s="481"/>
    </row>
    <row r="404">
      <c r="A404" s="481"/>
      <c r="B404" s="481"/>
      <c r="C404" s="481"/>
      <c r="D404" s="483"/>
      <c r="E404" s="481"/>
      <c r="F404" s="483"/>
      <c r="G404" s="481"/>
      <c r="H404" s="481"/>
      <c r="I404" s="481"/>
      <c r="J404" s="481"/>
      <c r="K404" s="481"/>
      <c r="L404" s="481"/>
      <c r="M404" s="481"/>
      <c r="N404" s="481"/>
      <c r="O404" s="481"/>
      <c r="P404" s="481"/>
      <c r="Q404" s="481"/>
      <c r="R404" s="481"/>
      <c r="S404" s="481"/>
      <c r="T404" s="481"/>
      <c r="U404" s="481"/>
      <c r="V404" s="481"/>
      <c r="W404" s="481"/>
      <c r="X404" s="481"/>
      <c r="Y404" s="481"/>
      <c r="Z404" s="481"/>
      <c r="AA404" s="481"/>
      <c r="AB404" s="481"/>
    </row>
    <row r="405">
      <c r="A405" s="481"/>
      <c r="B405" s="481"/>
      <c r="C405" s="481"/>
      <c r="D405" s="483"/>
      <c r="E405" s="481"/>
      <c r="F405" s="483"/>
      <c r="G405" s="481"/>
      <c r="H405" s="481"/>
      <c r="I405" s="481"/>
      <c r="J405" s="481"/>
      <c r="K405" s="481"/>
      <c r="L405" s="481"/>
      <c r="M405" s="481"/>
      <c r="N405" s="481"/>
      <c r="O405" s="481"/>
      <c r="P405" s="481"/>
      <c r="Q405" s="481"/>
      <c r="R405" s="481"/>
      <c r="S405" s="481"/>
      <c r="T405" s="481"/>
      <c r="U405" s="481"/>
      <c r="V405" s="481"/>
      <c r="W405" s="481"/>
      <c r="X405" s="481"/>
      <c r="Y405" s="481"/>
      <c r="Z405" s="481"/>
      <c r="AA405" s="481"/>
      <c r="AB405" s="481"/>
    </row>
    <row r="406">
      <c r="A406" s="481"/>
      <c r="B406" s="481"/>
      <c r="C406" s="481"/>
      <c r="D406" s="483"/>
      <c r="E406" s="481"/>
      <c r="F406" s="483"/>
      <c r="G406" s="481"/>
      <c r="H406" s="481"/>
      <c r="I406" s="481"/>
      <c r="J406" s="481"/>
      <c r="K406" s="481"/>
      <c r="L406" s="481"/>
      <c r="M406" s="481"/>
      <c r="N406" s="481"/>
      <c r="O406" s="481"/>
      <c r="P406" s="481"/>
      <c r="Q406" s="481"/>
      <c r="R406" s="481"/>
      <c r="S406" s="481"/>
      <c r="T406" s="481"/>
      <c r="U406" s="481"/>
      <c r="V406" s="481"/>
      <c r="W406" s="481"/>
      <c r="X406" s="481"/>
      <c r="Y406" s="481"/>
      <c r="Z406" s="481"/>
      <c r="AA406" s="481"/>
      <c r="AB406" s="481"/>
    </row>
    <row r="407">
      <c r="A407" s="481"/>
      <c r="B407" s="481"/>
      <c r="C407" s="481"/>
      <c r="D407" s="483"/>
      <c r="E407" s="481"/>
      <c r="F407" s="483"/>
      <c r="G407" s="481"/>
      <c r="H407" s="481"/>
      <c r="I407" s="481"/>
      <c r="J407" s="481"/>
      <c r="K407" s="481"/>
      <c r="L407" s="481"/>
      <c r="M407" s="481"/>
      <c r="N407" s="481"/>
      <c r="O407" s="481"/>
      <c r="P407" s="481"/>
      <c r="Q407" s="481"/>
      <c r="R407" s="481"/>
      <c r="S407" s="481"/>
      <c r="T407" s="481"/>
      <c r="U407" s="481"/>
      <c r="V407" s="481"/>
      <c r="W407" s="481"/>
      <c r="X407" s="481"/>
      <c r="Y407" s="481"/>
      <c r="Z407" s="481"/>
      <c r="AA407" s="481"/>
      <c r="AB407" s="481"/>
    </row>
    <row r="408">
      <c r="A408" s="481"/>
      <c r="B408" s="481"/>
      <c r="C408" s="481"/>
      <c r="D408" s="483"/>
      <c r="E408" s="481"/>
      <c r="F408" s="483"/>
      <c r="G408" s="481"/>
      <c r="H408" s="481"/>
      <c r="I408" s="481"/>
      <c r="J408" s="481"/>
      <c r="K408" s="481"/>
      <c r="L408" s="481"/>
      <c r="M408" s="481"/>
      <c r="N408" s="481"/>
      <c r="O408" s="481"/>
      <c r="P408" s="481"/>
      <c r="Q408" s="481"/>
      <c r="R408" s="481"/>
      <c r="S408" s="481"/>
      <c r="T408" s="481"/>
      <c r="U408" s="481"/>
      <c r="V408" s="481"/>
      <c r="W408" s="481"/>
      <c r="X408" s="481"/>
      <c r="Y408" s="481"/>
      <c r="Z408" s="481"/>
      <c r="AA408" s="481"/>
      <c r="AB408" s="481"/>
    </row>
    <row r="409">
      <c r="A409" s="481"/>
      <c r="B409" s="481"/>
      <c r="C409" s="481"/>
      <c r="D409" s="483"/>
      <c r="E409" s="481"/>
      <c r="F409" s="483"/>
      <c r="G409" s="481"/>
      <c r="H409" s="481"/>
      <c r="I409" s="481"/>
      <c r="J409" s="481"/>
      <c r="K409" s="481"/>
      <c r="L409" s="481"/>
      <c r="M409" s="481"/>
      <c r="N409" s="481"/>
      <c r="O409" s="481"/>
      <c r="P409" s="481"/>
      <c r="Q409" s="481"/>
      <c r="R409" s="481"/>
      <c r="S409" s="481"/>
      <c r="T409" s="481"/>
      <c r="U409" s="481"/>
      <c r="V409" s="481"/>
      <c r="W409" s="481"/>
      <c r="X409" s="481"/>
      <c r="Y409" s="481"/>
      <c r="Z409" s="481"/>
      <c r="AA409" s="481"/>
      <c r="AB409" s="481"/>
    </row>
    <row r="410">
      <c r="A410" s="481"/>
      <c r="B410" s="481"/>
      <c r="C410" s="481"/>
      <c r="D410" s="483"/>
      <c r="E410" s="481"/>
      <c r="F410" s="483"/>
      <c r="G410" s="481"/>
      <c r="H410" s="481"/>
      <c r="I410" s="481"/>
      <c r="J410" s="481"/>
      <c r="K410" s="481"/>
      <c r="L410" s="481"/>
      <c r="M410" s="481"/>
      <c r="N410" s="481"/>
      <c r="O410" s="481"/>
      <c r="P410" s="481"/>
      <c r="Q410" s="481"/>
      <c r="R410" s="481"/>
      <c r="S410" s="481"/>
      <c r="T410" s="481"/>
      <c r="U410" s="481"/>
      <c r="V410" s="481"/>
      <c r="W410" s="481"/>
      <c r="X410" s="481"/>
      <c r="Y410" s="481"/>
      <c r="Z410" s="481"/>
      <c r="AA410" s="481"/>
      <c r="AB410" s="481"/>
    </row>
    <row r="411">
      <c r="A411" s="481"/>
      <c r="B411" s="481"/>
      <c r="C411" s="481"/>
      <c r="D411" s="483"/>
      <c r="E411" s="481"/>
      <c r="F411" s="483"/>
      <c r="G411" s="481"/>
      <c r="H411" s="481"/>
      <c r="I411" s="481"/>
      <c r="J411" s="481"/>
      <c r="K411" s="481"/>
      <c r="L411" s="481"/>
      <c r="M411" s="481"/>
      <c r="N411" s="481"/>
      <c r="O411" s="481"/>
      <c r="P411" s="481"/>
      <c r="Q411" s="481"/>
      <c r="R411" s="481"/>
      <c r="S411" s="481"/>
      <c r="T411" s="481"/>
      <c r="U411" s="481"/>
      <c r="V411" s="481"/>
      <c r="W411" s="481"/>
      <c r="X411" s="481"/>
      <c r="Y411" s="481"/>
      <c r="Z411" s="481"/>
      <c r="AA411" s="481"/>
      <c r="AB411" s="481"/>
    </row>
    <row r="412">
      <c r="A412" s="481"/>
      <c r="B412" s="481"/>
      <c r="C412" s="481"/>
      <c r="D412" s="483"/>
      <c r="E412" s="481"/>
      <c r="F412" s="483"/>
      <c r="G412" s="481"/>
      <c r="H412" s="481"/>
      <c r="I412" s="481"/>
      <c r="J412" s="481"/>
      <c r="K412" s="481"/>
      <c r="L412" s="481"/>
      <c r="M412" s="481"/>
      <c r="N412" s="481"/>
      <c r="O412" s="481"/>
      <c r="P412" s="481"/>
      <c r="Q412" s="481"/>
      <c r="R412" s="481"/>
      <c r="S412" s="481"/>
      <c r="T412" s="481"/>
      <c r="U412" s="481"/>
      <c r="V412" s="481"/>
      <c r="W412" s="481"/>
      <c r="X412" s="481"/>
      <c r="Y412" s="481"/>
      <c r="Z412" s="481"/>
      <c r="AA412" s="481"/>
      <c r="AB412" s="481"/>
    </row>
    <row r="413">
      <c r="A413" s="481"/>
      <c r="B413" s="481"/>
      <c r="C413" s="481"/>
      <c r="D413" s="483"/>
      <c r="E413" s="481"/>
      <c r="F413" s="483"/>
      <c r="G413" s="481"/>
      <c r="H413" s="481"/>
      <c r="I413" s="481"/>
      <c r="J413" s="481"/>
      <c r="K413" s="481"/>
      <c r="L413" s="481"/>
      <c r="M413" s="481"/>
      <c r="N413" s="481"/>
      <c r="O413" s="481"/>
      <c r="P413" s="481"/>
      <c r="Q413" s="481"/>
      <c r="R413" s="481"/>
      <c r="S413" s="481"/>
      <c r="T413" s="481"/>
      <c r="U413" s="481"/>
      <c r="V413" s="481"/>
      <c r="W413" s="481"/>
      <c r="X413" s="481"/>
      <c r="Y413" s="481"/>
      <c r="Z413" s="481"/>
      <c r="AA413" s="481"/>
      <c r="AB413" s="481"/>
    </row>
    <row r="414">
      <c r="A414" s="481"/>
      <c r="B414" s="481"/>
      <c r="C414" s="481"/>
      <c r="D414" s="483"/>
      <c r="E414" s="481"/>
      <c r="F414" s="483"/>
      <c r="G414" s="481"/>
      <c r="H414" s="481"/>
      <c r="I414" s="481"/>
      <c r="J414" s="481"/>
      <c r="K414" s="481"/>
      <c r="L414" s="481"/>
      <c r="M414" s="481"/>
      <c r="N414" s="481"/>
      <c r="O414" s="481"/>
      <c r="P414" s="481"/>
      <c r="Q414" s="481"/>
      <c r="R414" s="481"/>
      <c r="S414" s="481"/>
      <c r="T414" s="481"/>
      <c r="U414" s="481"/>
      <c r="V414" s="481"/>
      <c r="W414" s="481"/>
      <c r="X414" s="481"/>
      <c r="Y414" s="481"/>
      <c r="Z414" s="481"/>
      <c r="AA414" s="481"/>
      <c r="AB414" s="481"/>
    </row>
    <row r="415">
      <c r="A415" s="481"/>
      <c r="B415" s="481"/>
      <c r="C415" s="481"/>
      <c r="D415" s="483"/>
      <c r="E415" s="481"/>
      <c r="F415" s="483"/>
      <c r="G415" s="481"/>
      <c r="H415" s="481"/>
      <c r="I415" s="481"/>
      <c r="J415" s="481"/>
      <c r="K415" s="481"/>
      <c r="L415" s="481"/>
      <c r="M415" s="481"/>
      <c r="N415" s="481"/>
      <c r="O415" s="481"/>
      <c r="P415" s="481"/>
      <c r="Q415" s="481"/>
      <c r="R415" s="481"/>
      <c r="S415" s="481"/>
      <c r="T415" s="481"/>
      <c r="U415" s="481"/>
      <c r="V415" s="481"/>
      <c r="W415" s="481"/>
      <c r="X415" s="481"/>
      <c r="Y415" s="481"/>
      <c r="Z415" s="481"/>
      <c r="AA415" s="481"/>
      <c r="AB415" s="481"/>
    </row>
    <row r="416">
      <c r="A416" s="481"/>
      <c r="B416" s="481"/>
      <c r="C416" s="481"/>
      <c r="D416" s="483"/>
      <c r="E416" s="481"/>
      <c r="F416" s="483"/>
      <c r="G416" s="481"/>
      <c r="H416" s="481"/>
      <c r="I416" s="481"/>
      <c r="J416" s="481"/>
      <c r="K416" s="481"/>
      <c r="L416" s="481"/>
      <c r="M416" s="481"/>
      <c r="N416" s="481"/>
      <c r="O416" s="481"/>
      <c r="P416" s="481"/>
      <c r="Q416" s="481"/>
      <c r="R416" s="481"/>
      <c r="S416" s="481"/>
      <c r="T416" s="481"/>
      <c r="U416" s="481"/>
      <c r="V416" s="481"/>
      <c r="W416" s="481"/>
      <c r="X416" s="481"/>
      <c r="Y416" s="481"/>
      <c r="Z416" s="481"/>
      <c r="AA416" s="481"/>
      <c r="AB416" s="481"/>
    </row>
    <row r="417">
      <c r="A417" s="481"/>
      <c r="B417" s="481"/>
      <c r="C417" s="481"/>
      <c r="D417" s="483"/>
      <c r="E417" s="481"/>
      <c r="F417" s="483"/>
      <c r="G417" s="481"/>
      <c r="H417" s="481"/>
      <c r="I417" s="481"/>
      <c r="J417" s="481"/>
      <c r="K417" s="481"/>
      <c r="L417" s="481"/>
      <c r="M417" s="481"/>
      <c r="N417" s="481"/>
      <c r="O417" s="481"/>
      <c r="P417" s="481"/>
      <c r="Q417" s="481"/>
      <c r="R417" s="481"/>
      <c r="S417" s="481"/>
      <c r="T417" s="481"/>
      <c r="U417" s="481"/>
      <c r="V417" s="481"/>
      <c r="W417" s="481"/>
      <c r="X417" s="481"/>
      <c r="Y417" s="481"/>
      <c r="Z417" s="481"/>
      <c r="AA417" s="481"/>
      <c r="AB417" s="481"/>
    </row>
    <row r="418">
      <c r="A418" s="481"/>
      <c r="B418" s="481"/>
      <c r="C418" s="481"/>
      <c r="D418" s="483"/>
      <c r="E418" s="481"/>
      <c r="F418" s="483"/>
      <c r="G418" s="481"/>
      <c r="H418" s="481"/>
      <c r="I418" s="481"/>
      <c r="J418" s="481"/>
      <c r="K418" s="481"/>
      <c r="L418" s="481"/>
      <c r="M418" s="481"/>
      <c r="N418" s="481"/>
      <c r="O418" s="481"/>
      <c r="P418" s="481"/>
      <c r="Q418" s="481"/>
      <c r="R418" s="481"/>
      <c r="S418" s="481"/>
      <c r="T418" s="481"/>
      <c r="U418" s="481"/>
      <c r="V418" s="481"/>
      <c r="W418" s="481"/>
      <c r="X418" s="481"/>
      <c r="Y418" s="481"/>
      <c r="Z418" s="481"/>
      <c r="AA418" s="481"/>
      <c r="AB418" s="481"/>
    </row>
    <row r="419">
      <c r="A419" s="481"/>
      <c r="B419" s="481"/>
      <c r="C419" s="481"/>
      <c r="D419" s="483"/>
      <c r="E419" s="481"/>
      <c r="F419" s="483"/>
      <c r="G419" s="481"/>
      <c r="H419" s="481"/>
      <c r="I419" s="481"/>
      <c r="J419" s="481"/>
      <c r="K419" s="481"/>
      <c r="L419" s="481"/>
      <c r="M419" s="481"/>
      <c r="N419" s="481"/>
      <c r="O419" s="481"/>
      <c r="P419" s="481"/>
      <c r="Q419" s="481"/>
      <c r="R419" s="481"/>
      <c r="S419" s="481"/>
      <c r="T419" s="481"/>
      <c r="U419" s="481"/>
      <c r="V419" s="481"/>
      <c r="W419" s="481"/>
      <c r="X419" s="481"/>
      <c r="Y419" s="481"/>
      <c r="Z419" s="481"/>
      <c r="AA419" s="481"/>
      <c r="AB419" s="481"/>
    </row>
    <row r="420">
      <c r="A420" s="481"/>
      <c r="B420" s="481"/>
      <c r="C420" s="481"/>
      <c r="D420" s="483"/>
      <c r="E420" s="481"/>
      <c r="F420" s="483"/>
      <c r="G420" s="481"/>
      <c r="H420" s="481"/>
      <c r="I420" s="481"/>
      <c r="J420" s="481"/>
      <c r="K420" s="481"/>
      <c r="L420" s="481"/>
      <c r="M420" s="481"/>
      <c r="N420" s="481"/>
      <c r="O420" s="481"/>
      <c r="P420" s="481"/>
      <c r="Q420" s="481"/>
      <c r="R420" s="481"/>
      <c r="S420" s="481"/>
      <c r="T420" s="481"/>
      <c r="U420" s="481"/>
      <c r="V420" s="481"/>
      <c r="W420" s="481"/>
      <c r="X420" s="481"/>
      <c r="Y420" s="481"/>
      <c r="Z420" s="481"/>
      <c r="AA420" s="481"/>
      <c r="AB420" s="481"/>
    </row>
    <row r="421">
      <c r="A421" s="481"/>
      <c r="B421" s="481"/>
      <c r="C421" s="481"/>
      <c r="D421" s="483"/>
      <c r="E421" s="481"/>
      <c r="F421" s="483"/>
      <c r="G421" s="481"/>
      <c r="H421" s="481"/>
      <c r="I421" s="481"/>
      <c r="J421" s="481"/>
      <c r="K421" s="481"/>
      <c r="L421" s="481"/>
      <c r="M421" s="481"/>
      <c r="N421" s="481"/>
      <c r="O421" s="481"/>
      <c r="P421" s="481"/>
      <c r="Q421" s="481"/>
      <c r="R421" s="481"/>
      <c r="S421" s="481"/>
      <c r="T421" s="481"/>
      <c r="U421" s="481"/>
      <c r="V421" s="481"/>
      <c r="W421" s="481"/>
      <c r="X421" s="481"/>
      <c r="Y421" s="481"/>
      <c r="Z421" s="481"/>
      <c r="AA421" s="481"/>
      <c r="AB421" s="481"/>
    </row>
    <row r="422">
      <c r="A422" s="481"/>
      <c r="B422" s="481"/>
      <c r="C422" s="481"/>
      <c r="D422" s="483"/>
      <c r="E422" s="481"/>
      <c r="F422" s="483"/>
      <c r="G422" s="481"/>
      <c r="H422" s="481"/>
      <c r="I422" s="481"/>
      <c r="J422" s="481"/>
      <c r="K422" s="481"/>
      <c r="L422" s="481"/>
      <c r="M422" s="481"/>
      <c r="N422" s="481"/>
      <c r="O422" s="481"/>
      <c r="P422" s="481"/>
      <c r="Q422" s="481"/>
      <c r="R422" s="481"/>
      <c r="S422" s="481"/>
      <c r="T422" s="481"/>
      <c r="U422" s="481"/>
      <c r="V422" s="481"/>
      <c r="W422" s="481"/>
      <c r="X422" s="481"/>
      <c r="Y422" s="481"/>
      <c r="Z422" s="481"/>
      <c r="AA422" s="481"/>
      <c r="AB422" s="481"/>
    </row>
    <row r="423">
      <c r="A423" s="481"/>
      <c r="B423" s="481"/>
      <c r="C423" s="481"/>
      <c r="D423" s="483"/>
      <c r="E423" s="481"/>
      <c r="F423" s="483"/>
      <c r="G423" s="481"/>
      <c r="H423" s="481"/>
      <c r="I423" s="481"/>
      <c r="J423" s="481"/>
      <c r="K423" s="481"/>
      <c r="L423" s="481"/>
      <c r="M423" s="481"/>
      <c r="N423" s="481"/>
      <c r="O423" s="481"/>
      <c r="P423" s="481"/>
      <c r="Q423" s="481"/>
      <c r="R423" s="481"/>
      <c r="S423" s="481"/>
      <c r="T423" s="481"/>
      <c r="U423" s="481"/>
      <c r="V423" s="481"/>
      <c r="W423" s="481"/>
      <c r="X423" s="481"/>
      <c r="Y423" s="481"/>
      <c r="Z423" s="481"/>
      <c r="AA423" s="481"/>
      <c r="AB423" s="481"/>
    </row>
    <row r="424">
      <c r="A424" s="481"/>
      <c r="B424" s="481"/>
      <c r="C424" s="481"/>
      <c r="D424" s="483"/>
      <c r="E424" s="481"/>
      <c r="F424" s="483"/>
      <c r="G424" s="481"/>
      <c r="H424" s="481"/>
      <c r="I424" s="481"/>
      <c r="J424" s="481"/>
      <c r="K424" s="481"/>
      <c r="L424" s="481"/>
      <c r="M424" s="481"/>
      <c r="N424" s="481"/>
      <c r="O424" s="481"/>
      <c r="P424" s="481"/>
      <c r="Q424" s="481"/>
      <c r="R424" s="481"/>
      <c r="S424" s="481"/>
      <c r="T424" s="481"/>
      <c r="U424" s="481"/>
      <c r="V424" s="481"/>
      <c r="W424" s="481"/>
      <c r="X424" s="481"/>
      <c r="Y424" s="481"/>
      <c r="Z424" s="481"/>
      <c r="AA424" s="481"/>
      <c r="AB424" s="481"/>
    </row>
    <row r="425">
      <c r="A425" s="481"/>
      <c r="B425" s="481"/>
      <c r="C425" s="481"/>
      <c r="D425" s="483"/>
      <c r="E425" s="481"/>
      <c r="F425" s="483"/>
      <c r="G425" s="481"/>
      <c r="H425" s="481"/>
      <c r="I425" s="481"/>
      <c r="J425" s="481"/>
      <c r="K425" s="481"/>
      <c r="L425" s="481"/>
      <c r="M425" s="481"/>
      <c r="N425" s="481"/>
      <c r="O425" s="481"/>
      <c r="P425" s="481"/>
      <c r="Q425" s="481"/>
      <c r="R425" s="481"/>
      <c r="S425" s="481"/>
      <c r="T425" s="481"/>
      <c r="U425" s="481"/>
      <c r="V425" s="481"/>
      <c r="W425" s="481"/>
      <c r="X425" s="481"/>
      <c r="Y425" s="481"/>
      <c r="Z425" s="481"/>
      <c r="AA425" s="481"/>
      <c r="AB425" s="481"/>
    </row>
    <row r="426">
      <c r="A426" s="481"/>
      <c r="B426" s="481"/>
      <c r="C426" s="481"/>
      <c r="D426" s="483"/>
      <c r="E426" s="481"/>
      <c r="F426" s="483"/>
      <c r="G426" s="481"/>
      <c r="H426" s="481"/>
      <c r="I426" s="481"/>
      <c r="J426" s="481"/>
      <c r="K426" s="481"/>
      <c r="L426" s="481"/>
      <c r="M426" s="481"/>
      <c r="N426" s="481"/>
      <c r="O426" s="481"/>
      <c r="P426" s="481"/>
      <c r="Q426" s="481"/>
      <c r="R426" s="481"/>
      <c r="S426" s="481"/>
      <c r="T426" s="481"/>
      <c r="U426" s="481"/>
      <c r="V426" s="481"/>
      <c r="W426" s="481"/>
      <c r="X426" s="481"/>
      <c r="Y426" s="481"/>
      <c r="Z426" s="481"/>
      <c r="AA426" s="481"/>
      <c r="AB426" s="481"/>
    </row>
    <row r="427">
      <c r="A427" s="481"/>
      <c r="B427" s="481"/>
      <c r="C427" s="481"/>
      <c r="D427" s="483"/>
      <c r="E427" s="481"/>
      <c r="F427" s="483"/>
      <c r="G427" s="481"/>
      <c r="H427" s="481"/>
      <c r="I427" s="481"/>
      <c r="J427" s="481"/>
      <c r="K427" s="481"/>
      <c r="L427" s="481"/>
      <c r="M427" s="481"/>
      <c r="N427" s="481"/>
      <c r="O427" s="481"/>
      <c r="P427" s="481"/>
      <c r="Q427" s="481"/>
      <c r="R427" s="481"/>
      <c r="S427" s="481"/>
      <c r="T427" s="481"/>
      <c r="U427" s="481"/>
      <c r="V427" s="481"/>
      <c r="W427" s="481"/>
      <c r="X427" s="481"/>
      <c r="Y427" s="481"/>
      <c r="Z427" s="481"/>
      <c r="AA427" s="481"/>
      <c r="AB427" s="481"/>
    </row>
    <row r="428">
      <c r="A428" s="481"/>
      <c r="B428" s="481"/>
      <c r="C428" s="481"/>
      <c r="D428" s="483"/>
      <c r="E428" s="481"/>
      <c r="F428" s="483"/>
      <c r="G428" s="481"/>
      <c r="H428" s="481"/>
      <c r="I428" s="481"/>
      <c r="J428" s="481"/>
      <c r="K428" s="481"/>
      <c r="L428" s="481"/>
      <c r="M428" s="481"/>
      <c r="N428" s="481"/>
      <c r="O428" s="481"/>
      <c r="P428" s="481"/>
      <c r="Q428" s="481"/>
      <c r="R428" s="481"/>
      <c r="S428" s="481"/>
      <c r="T428" s="481"/>
      <c r="U428" s="481"/>
      <c r="V428" s="481"/>
      <c r="W428" s="481"/>
      <c r="X428" s="481"/>
      <c r="Y428" s="481"/>
      <c r="Z428" s="481"/>
      <c r="AA428" s="481"/>
      <c r="AB428" s="481"/>
    </row>
    <row r="429">
      <c r="A429" s="481"/>
      <c r="B429" s="481"/>
      <c r="C429" s="481"/>
      <c r="D429" s="483"/>
      <c r="E429" s="481"/>
      <c r="F429" s="483"/>
      <c r="G429" s="481"/>
      <c r="H429" s="481"/>
      <c r="I429" s="481"/>
      <c r="J429" s="481"/>
      <c r="K429" s="481"/>
      <c r="L429" s="481"/>
      <c r="M429" s="481"/>
      <c r="N429" s="481"/>
      <c r="O429" s="481"/>
      <c r="P429" s="481"/>
      <c r="Q429" s="481"/>
      <c r="R429" s="481"/>
      <c r="S429" s="481"/>
      <c r="T429" s="481"/>
      <c r="U429" s="481"/>
      <c r="V429" s="481"/>
      <c r="W429" s="481"/>
      <c r="X429" s="481"/>
      <c r="Y429" s="481"/>
      <c r="Z429" s="481"/>
      <c r="AA429" s="481"/>
      <c r="AB429" s="481"/>
    </row>
    <row r="430">
      <c r="A430" s="481"/>
      <c r="B430" s="481"/>
      <c r="C430" s="481"/>
      <c r="D430" s="483"/>
      <c r="E430" s="481"/>
      <c r="F430" s="483"/>
      <c r="G430" s="481"/>
      <c r="H430" s="481"/>
      <c r="I430" s="481"/>
      <c r="J430" s="481"/>
      <c r="K430" s="481"/>
      <c r="L430" s="481"/>
      <c r="M430" s="481"/>
      <c r="N430" s="481"/>
      <c r="O430" s="481"/>
      <c r="P430" s="481"/>
      <c r="Q430" s="481"/>
      <c r="R430" s="481"/>
      <c r="S430" s="481"/>
      <c r="T430" s="481"/>
      <c r="U430" s="481"/>
      <c r="V430" s="481"/>
      <c r="W430" s="481"/>
      <c r="X430" s="481"/>
      <c r="Y430" s="481"/>
      <c r="Z430" s="481"/>
      <c r="AA430" s="481"/>
      <c r="AB430" s="481"/>
    </row>
    <row r="431">
      <c r="A431" s="481"/>
      <c r="B431" s="481"/>
      <c r="C431" s="481"/>
      <c r="D431" s="483"/>
      <c r="E431" s="481"/>
      <c r="F431" s="483"/>
      <c r="G431" s="481"/>
      <c r="H431" s="481"/>
      <c r="I431" s="481"/>
      <c r="J431" s="481"/>
      <c r="K431" s="481"/>
      <c r="L431" s="481"/>
      <c r="M431" s="481"/>
      <c r="N431" s="481"/>
      <c r="O431" s="481"/>
      <c r="P431" s="481"/>
      <c r="Q431" s="481"/>
      <c r="R431" s="481"/>
      <c r="S431" s="481"/>
      <c r="T431" s="481"/>
      <c r="U431" s="481"/>
      <c r="V431" s="481"/>
      <c r="W431" s="481"/>
      <c r="X431" s="481"/>
      <c r="Y431" s="481"/>
      <c r="Z431" s="481"/>
      <c r="AA431" s="481"/>
      <c r="AB431" s="481"/>
    </row>
    <row r="432">
      <c r="A432" s="481"/>
      <c r="B432" s="481"/>
      <c r="C432" s="481"/>
      <c r="D432" s="483"/>
      <c r="E432" s="481"/>
      <c r="F432" s="483"/>
      <c r="G432" s="481"/>
      <c r="H432" s="481"/>
      <c r="I432" s="481"/>
      <c r="J432" s="481"/>
      <c r="K432" s="481"/>
      <c r="L432" s="481"/>
      <c r="M432" s="481"/>
      <c r="N432" s="481"/>
      <c r="O432" s="481"/>
      <c r="P432" s="481"/>
      <c r="Q432" s="481"/>
      <c r="R432" s="481"/>
      <c r="S432" s="481"/>
      <c r="T432" s="481"/>
      <c r="U432" s="481"/>
      <c r="V432" s="481"/>
      <c r="W432" s="481"/>
      <c r="X432" s="481"/>
      <c r="Y432" s="481"/>
      <c r="Z432" s="481"/>
      <c r="AA432" s="481"/>
      <c r="AB432" s="481"/>
    </row>
    <row r="433">
      <c r="A433" s="481"/>
      <c r="B433" s="481"/>
      <c r="C433" s="481"/>
      <c r="D433" s="483"/>
      <c r="E433" s="481"/>
      <c r="F433" s="483"/>
      <c r="G433" s="481"/>
      <c r="H433" s="481"/>
      <c r="I433" s="481"/>
      <c r="J433" s="481"/>
      <c r="K433" s="481"/>
      <c r="L433" s="481"/>
      <c r="M433" s="481"/>
      <c r="N433" s="481"/>
      <c r="O433" s="481"/>
      <c r="P433" s="481"/>
      <c r="Q433" s="481"/>
      <c r="R433" s="481"/>
      <c r="S433" s="481"/>
      <c r="T433" s="481"/>
      <c r="U433" s="481"/>
      <c r="V433" s="481"/>
      <c r="W433" s="481"/>
      <c r="X433" s="481"/>
      <c r="Y433" s="481"/>
      <c r="Z433" s="481"/>
      <c r="AA433" s="481"/>
      <c r="AB433" s="481"/>
    </row>
    <row r="434">
      <c r="A434" s="481"/>
      <c r="B434" s="481"/>
      <c r="C434" s="481"/>
      <c r="D434" s="483"/>
      <c r="E434" s="481"/>
      <c r="F434" s="483"/>
      <c r="G434" s="481"/>
      <c r="H434" s="481"/>
      <c r="I434" s="481"/>
      <c r="J434" s="481"/>
      <c r="K434" s="481"/>
      <c r="L434" s="481"/>
      <c r="M434" s="481"/>
      <c r="N434" s="481"/>
      <c r="O434" s="481"/>
      <c r="P434" s="481"/>
      <c r="Q434" s="481"/>
      <c r="R434" s="481"/>
      <c r="S434" s="481"/>
      <c r="T434" s="481"/>
      <c r="U434" s="481"/>
      <c r="V434" s="481"/>
      <c r="W434" s="481"/>
      <c r="X434" s="481"/>
      <c r="Y434" s="481"/>
      <c r="Z434" s="481"/>
      <c r="AA434" s="481"/>
      <c r="AB434" s="481"/>
    </row>
    <row r="435">
      <c r="A435" s="481"/>
      <c r="B435" s="481"/>
      <c r="C435" s="481"/>
      <c r="D435" s="483"/>
      <c r="E435" s="481"/>
      <c r="F435" s="483"/>
      <c r="G435" s="481"/>
      <c r="H435" s="481"/>
      <c r="I435" s="481"/>
      <c r="J435" s="481"/>
      <c r="K435" s="481"/>
      <c r="L435" s="481"/>
      <c r="M435" s="481"/>
      <c r="N435" s="481"/>
      <c r="O435" s="481"/>
      <c r="P435" s="481"/>
      <c r="Q435" s="481"/>
      <c r="R435" s="481"/>
      <c r="S435" s="481"/>
      <c r="T435" s="481"/>
      <c r="U435" s="481"/>
      <c r="V435" s="481"/>
      <c r="W435" s="481"/>
      <c r="X435" s="481"/>
      <c r="Y435" s="481"/>
      <c r="Z435" s="481"/>
      <c r="AA435" s="481"/>
      <c r="AB435" s="481"/>
    </row>
    <row r="436">
      <c r="A436" s="481"/>
      <c r="B436" s="481"/>
      <c r="C436" s="481"/>
      <c r="D436" s="483"/>
      <c r="E436" s="481"/>
      <c r="F436" s="483"/>
      <c r="G436" s="481"/>
      <c r="H436" s="481"/>
      <c r="I436" s="481"/>
      <c r="J436" s="481"/>
      <c r="K436" s="481"/>
      <c r="L436" s="481"/>
      <c r="M436" s="481"/>
      <c r="N436" s="481"/>
      <c r="O436" s="481"/>
      <c r="P436" s="481"/>
      <c r="Q436" s="481"/>
      <c r="R436" s="481"/>
      <c r="S436" s="481"/>
      <c r="T436" s="481"/>
      <c r="U436" s="481"/>
      <c r="V436" s="481"/>
      <c r="W436" s="481"/>
      <c r="X436" s="481"/>
      <c r="Y436" s="481"/>
      <c r="Z436" s="481"/>
      <c r="AA436" s="481"/>
      <c r="AB436" s="481"/>
    </row>
    <row r="437">
      <c r="A437" s="481"/>
      <c r="B437" s="481"/>
      <c r="C437" s="481"/>
      <c r="D437" s="483"/>
      <c r="E437" s="481"/>
      <c r="F437" s="483"/>
      <c r="G437" s="481"/>
      <c r="H437" s="481"/>
      <c r="I437" s="481"/>
      <c r="J437" s="481"/>
      <c r="K437" s="481"/>
      <c r="L437" s="481"/>
      <c r="M437" s="481"/>
      <c r="N437" s="481"/>
      <c r="O437" s="481"/>
      <c r="P437" s="481"/>
      <c r="Q437" s="481"/>
      <c r="R437" s="481"/>
      <c r="S437" s="481"/>
      <c r="T437" s="481"/>
      <c r="U437" s="481"/>
      <c r="V437" s="481"/>
      <c r="W437" s="481"/>
      <c r="X437" s="481"/>
      <c r="Y437" s="481"/>
      <c r="Z437" s="481"/>
      <c r="AA437" s="481"/>
      <c r="AB437" s="481"/>
    </row>
    <row r="438">
      <c r="A438" s="481"/>
      <c r="B438" s="481"/>
      <c r="C438" s="481"/>
      <c r="D438" s="483"/>
      <c r="E438" s="481"/>
      <c r="F438" s="483"/>
      <c r="G438" s="481"/>
      <c r="H438" s="481"/>
      <c r="I438" s="481"/>
      <c r="J438" s="481"/>
      <c r="K438" s="481"/>
      <c r="L438" s="481"/>
      <c r="M438" s="481"/>
      <c r="N438" s="481"/>
      <c r="O438" s="481"/>
      <c r="P438" s="481"/>
      <c r="Q438" s="481"/>
      <c r="R438" s="481"/>
      <c r="S438" s="481"/>
      <c r="T438" s="481"/>
      <c r="U438" s="481"/>
      <c r="V438" s="481"/>
      <c r="W438" s="481"/>
      <c r="X438" s="481"/>
      <c r="Y438" s="481"/>
      <c r="Z438" s="481"/>
      <c r="AA438" s="481"/>
      <c r="AB438" s="481"/>
    </row>
    <row r="439">
      <c r="A439" s="481"/>
      <c r="B439" s="481"/>
      <c r="C439" s="481"/>
      <c r="D439" s="483"/>
      <c r="E439" s="481"/>
      <c r="F439" s="483"/>
      <c r="G439" s="481"/>
      <c r="H439" s="481"/>
      <c r="I439" s="481"/>
      <c r="J439" s="481"/>
      <c r="K439" s="481"/>
      <c r="L439" s="481"/>
      <c r="M439" s="481"/>
      <c r="N439" s="481"/>
      <c r="O439" s="481"/>
      <c r="P439" s="481"/>
      <c r="Q439" s="481"/>
      <c r="R439" s="481"/>
      <c r="S439" s="481"/>
      <c r="T439" s="481"/>
      <c r="U439" s="481"/>
      <c r="V439" s="481"/>
      <c r="W439" s="481"/>
      <c r="X439" s="481"/>
      <c r="Y439" s="481"/>
      <c r="Z439" s="481"/>
      <c r="AA439" s="481"/>
      <c r="AB439" s="481"/>
    </row>
    <row r="440">
      <c r="A440" s="481"/>
      <c r="B440" s="481"/>
      <c r="C440" s="481"/>
      <c r="D440" s="483"/>
      <c r="E440" s="481"/>
      <c r="F440" s="483"/>
      <c r="G440" s="481"/>
      <c r="H440" s="481"/>
      <c r="I440" s="481"/>
      <c r="J440" s="481"/>
      <c r="K440" s="481"/>
      <c r="L440" s="481"/>
      <c r="M440" s="481"/>
      <c r="N440" s="481"/>
      <c r="O440" s="481"/>
      <c r="P440" s="481"/>
      <c r="Q440" s="481"/>
      <c r="R440" s="481"/>
      <c r="S440" s="481"/>
      <c r="T440" s="481"/>
      <c r="U440" s="481"/>
      <c r="V440" s="481"/>
      <c r="W440" s="481"/>
      <c r="X440" s="481"/>
      <c r="Y440" s="481"/>
      <c r="Z440" s="481"/>
      <c r="AA440" s="481"/>
      <c r="AB440" s="481"/>
    </row>
    <row r="441">
      <c r="A441" s="481"/>
      <c r="B441" s="481"/>
      <c r="C441" s="481"/>
      <c r="D441" s="483"/>
      <c r="E441" s="481"/>
      <c r="F441" s="483"/>
      <c r="G441" s="481"/>
      <c r="H441" s="481"/>
      <c r="I441" s="481"/>
      <c r="J441" s="481"/>
      <c r="K441" s="481"/>
      <c r="L441" s="481"/>
      <c r="M441" s="481"/>
      <c r="N441" s="481"/>
      <c r="O441" s="481"/>
      <c r="P441" s="481"/>
      <c r="Q441" s="481"/>
      <c r="R441" s="481"/>
      <c r="S441" s="481"/>
      <c r="T441" s="481"/>
      <c r="U441" s="481"/>
      <c r="V441" s="481"/>
      <c r="W441" s="481"/>
      <c r="X441" s="481"/>
      <c r="Y441" s="481"/>
      <c r="Z441" s="481"/>
      <c r="AA441" s="481"/>
      <c r="AB441" s="481"/>
    </row>
    <row r="442">
      <c r="A442" s="481"/>
      <c r="B442" s="481"/>
      <c r="C442" s="481"/>
      <c r="D442" s="483"/>
      <c r="E442" s="481"/>
      <c r="F442" s="483"/>
      <c r="G442" s="481"/>
      <c r="H442" s="481"/>
      <c r="I442" s="481"/>
      <c r="J442" s="481"/>
      <c r="K442" s="481"/>
      <c r="L442" s="481"/>
      <c r="M442" s="481"/>
      <c r="N442" s="481"/>
      <c r="O442" s="481"/>
      <c r="P442" s="481"/>
      <c r="Q442" s="481"/>
      <c r="R442" s="481"/>
      <c r="S442" s="481"/>
      <c r="T442" s="481"/>
      <c r="U442" s="481"/>
      <c r="V442" s="481"/>
      <c r="W442" s="481"/>
      <c r="X442" s="481"/>
      <c r="Y442" s="481"/>
      <c r="Z442" s="481"/>
      <c r="AA442" s="481"/>
      <c r="AB442" s="481"/>
    </row>
    <row r="443">
      <c r="A443" s="481"/>
      <c r="B443" s="481"/>
      <c r="C443" s="481"/>
      <c r="D443" s="483"/>
      <c r="E443" s="481"/>
      <c r="F443" s="483"/>
      <c r="G443" s="481"/>
      <c r="H443" s="481"/>
      <c r="I443" s="481"/>
      <c r="J443" s="481"/>
      <c r="K443" s="481"/>
      <c r="L443" s="481"/>
      <c r="M443" s="481"/>
      <c r="N443" s="481"/>
      <c r="O443" s="481"/>
      <c r="P443" s="481"/>
      <c r="Q443" s="481"/>
      <c r="R443" s="481"/>
      <c r="S443" s="481"/>
      <c r="T443" s="481"/>
      <c r="U443" s="481"/>
      <c r="V443" s="481"/>
      <c r="W443" s="481"/>
      <c r="X443" s="481"/>
      <c r="Y443" s="481"/>
      <c r="Z443" s="481"/>
      <c r="AA443" s="481"/>
      <c r="AB443" s="481"/>
    </row>
    <row r="444">
      <c r="A444" s="481"/>
      <c r="B444" s="481"/>
      <c r="C444" s="481"/>
      <c r="D444" s="483"/>
      <c r="E444" s="481"/>
      <c r="F444" s="483"/>
      <c r="G444" s="481"/>
      <c r="H444" s="481"/>
      <c r="I444" s="481"/>
      <c r="J444" s="481"/>
      <c r="K444" s="481"/>
      <c r="L444" s="481"/>
      <c r="M444" s="481"/>
      <c r="N444" s="481"/>
      <c r="O444" s="481"/>
      <c r="P444" s="481"/>
      <c r="Q444" s="481"/>
      <c r="R444" s="481"/>
      <c r="S444" s="481"/>
      <c r="T444" s="481"/>
      <c r="U444" s="481"/>
      <c r="V444" s="481"/>
      <c r="W444" s="481"/>
      <c r="X444" s="481"/>
      <c r="Y444" s="481"/>
      <c r="Z444" s="481"/>
      <c r="AA444" s="481"/>
      <c r="AB444" s="481"/>
    </row>
    <row r="445">
      <c r="A445" s="481"/>
      <c r="B445" s="481"/>
      <c r="C445" s="481"/>
      <c r="D445" s="483"/>
      <c r="E445" s="481"/>
      <c r="F445" s="483"/>
      <c r="G445" s="481"/>
      <c r="H445" s="481"/>
      <c r="I445" s="481"/>
      <c r="J445" s="481"/>
      <c r="K445" s="481"/>
      <c r="L445" s="481"/>
      <c r="M445" s="481"/>
      <c r="N445" s="481"/>
      <c r="O445" s="481"/>
      <c r="P445" s="481"/>
      <c r="Q445" s="481"/>
      <c r="R445" s="481"/>
      <c r="S445" s="481"/>
      <c r="T445" s="481"/>
      <c r="U445" s="481"/>
      <c r="V445" s="481"/>
      <c r="W445" s="481"/>
      <c r="X445" s="481"/>
      <c r="Y445" s="481"/>
      <c r="Z445" s="481"/>
      <c r="AA445" s="481"/>
      <c r="AB445" s="481"/>
    </row>
    <row r="446">
      <c r="A446" s="481"/>
      <c r="B446" s="481"/>
      <c r="C446" s="481"/>
      <c r="D446" s="483"/>
      <c r="E446" s="481"/>
      <c r="F446" s="483"/>
      <c r="G446" s="481"/>
      <c r="H446" s="481"/>
      <c r="I446" s="481"/>
      <c r="J446" s="481"/>
      <c r="K446" s="481"/>
      <c r="L446" s="481"/>
      <c r="M446" s="481"/>
      <c r="N446" s="481"/>
      <c r="O446" s="481"/>
      <c r="P446" s="481"/>
      <c r="Q446" s="481"/>
      <c r="R446" s="481"/>
      <c r="S446" s="481"/>
      <c r="T446" s="481"/>
      <c r="U446" s="481"/>
      <c r="V446" s="481"/>
      <c r="W446" s="481"/>
      <c r="X446" s="481"/>
      <c r="Y446" s="481"/>
      <c r="Z446" s="481"/>
      <c r="AA446" s="481"/>
      <c r="AB446" s="481"/>
    </row>
    <row r="447">
      <c r="A447" s="481"/>
      <c r="B447" s="481"/>
      <c r="C447" s="481"/>
      <c r="D447" s="483"/>
      <c r="E447" s="481"/>
      <c r="F447" s="483"/>
      <c r="G447" s="481"/>
      <c r="H447" s="481"/>
      <c r="I447" s="481"/>
      <c r="J447" s="481"/>
      <c r="K447" s="481"/>
      <c r="L447" s="481"/>
      <c r="M447" s="481"/>
      <c r="N447" s="481"/>
      <c r="O447" s="481"/>
      <c r="P447" s="481"/>
      <c r="Q447" s="481"/>
      <c r="R447" s="481"/>
      <c r="S447" s="481"/>
      <c r="T447" s="481"/>
      <c r="U447" s="481"/>
      <c r="V447" s="481"/>
      <c r="W447" s="481"/>
      <c r="X447" s="481"/>
      <c r="Y447" s="481"/>
      <c r="Z447" s="481"/>
      <c r="AA447" s="481"/>
      <c r="AB447" s="481"/>
    </row>
    <row r="448">
      <c r="A448" s="481"/>
      <c r="B448" s="481"/>
      <c r="C448" s="481"/>
      <c r="D448" s="483"/>
      <c r="E448" s="481"/>
      <c r="F448" s="483"/>
      <c r="G448" s="481"/>
      <c r="H448" s="481"/>
      <c r="I448" s="481"/>
      <c r="J448" s="481"/>
      <c r="K448" s="481"/>
      <c r="L448" s="481"/>
      <c r="M448" s="481"/>
      <c r="N448" s="481"/>
      <c r="O448" s="481"/>
      <c r="P448" s="481"/>
      <c r="Q448" s="481"/>
      <c r="R448" s="481"/>
      <c r="S448" s="481"/>
      <c r="T448" s="481"/>
      <c r="U448" s="481"/>
      <c r="V448" s="481"/>
      <c r="W448" s="481"/>
      <c r="X448" s="481"/>
      <c r="Y448" s="481"/>
      <c r="Z448" s="481"/>
      <c r="AA448" s="481"/>
      <c r="AB448" s="481"/>
    </row>
    <row r="449">
      <c r="A449" s="481"/>
      <c r="B449" s="481"/>
      <c r="C449" s="481"/>
      <c r="D449" s="483"/>
      <c r="E449" s="481"/>
      <c r="F449" s="483"/>
      <c r="G449" s="481"/>
      <c r="H449" s="481"/>
      <c r="I449" s="481"/>
      <c r="J449" s="481"/>
      <c r="K449" s="481"/>
      <c r="L449" s="481"/>
      <c r="M449" s="481"/>
      <c r="N449" s="481"/>
      <c r="O449" s="481"/>
      <c r="P449" s="481"/>
      <c r="Q449" s="481"/>
      <c r="R449" s="481"/>
      <c r="S449" s="481"/>
      <c r="T449" s="481"/>
      <c r="U449" s="481"/>
      <c r="V449" s="481"/>
      <c r="W449" s="481"/>
      <c r="X449" s="481"/>
      <c r="Y449" s="481"/>
      <c r="Z449" s="481"/>
      <c r="AA449" s="481"/>
      <c r="AB449" s="481"/>
    </row>
    <row r="450">
      <c r="A450" s="481"/>
      <c r="B450" s="481"/>
      <c r="C450" s="481"/>
      <c r="D450" s="483"/>
      <c r="E450" s="481"/>
      <c r="F450" s="483"/>
      <c r="G450" s="481"/>
      <c r="H450" s="481"/>
      <c r="I450" s="481"/>
      <c r="J450" s="481"/>
      <c r="K450" s="481"/>
      <c r="L450" s="481"/>
      <c r="M450" s="481"/>
      <c r="N450" s="481"/>
      <c r="O450" s="481"/>
      <c r="P450" s="481"/>
      <c r="Q450" s="481"/>
      <c r="R450" s="481"/>
      <c r="S450" s="481"/>
      <c r="T450" s="481"/>
      <c r="U450" s="481"/>
      <c r="V450" s="481"/>
      <c r="W450" s="481"/>
      <c r="X450" s="481"/>
      <c r="Y450" s="481"/>
      <c r="Z450" s="481"/>
      <c r="AA450" s="481"/>
      <c r="AB450" s="481"/>
    </row>
    <row r="451">
      <c r="A451" s="481"/>
      <c r="B451" s="481"/>
      <c r="C451" s="481"/>
      <c r="D451" s="483"/>
      <c r="E451" s="481"/>
      <c r="F451" s="483"/>
      <c r="G451" s="481"/>
      <c r="H451" s="481"/>
      <c r="I451" s="481"/>
      <c r="J451" s="481"/>
      <c r="K451" s="481"/>
      <c r="L451" s="481"/>
      <c r="M451" s="481"/>
      <c r="N451" s="481"/>
      <c r="O451" s="481"/>
      <c r="P451" s="481"/>
      <c r="Q451" s="481"/>
      <c r="R451" s="481"/>
      <c r="S451" s="481"/>
      <c r="T451" s="481"/>
      <c r="U451" s="481"/>
      <c r="V451" s="481"/>
      <c r="W451" s="481"/>
      <c r="X451" s="481"/>
      <c r="Y451" s="481"/>
      <c r="Z451" s="481"/>
      <c r="AA451" s="481"/>
      <c r="AB451" s="481"/>
    </row>
    <row r="452">
      <c r="A452" s="481"/>
      <c r="B452" s="481"/>
      <c r="C452" s="481"/>
      <c r="D452" s="483"/>
      <c r="E452" s="481"/>
      <c r="F452" s="483"/>
      <c r="G452" s="481"/>
      <c r="H452" s="481"/>
      <c r="I452" s="481"/>
      <c r="J452" s="481"/>
      <c r="K452" s="481"/>
      <c r="L452" s="481"/>
      <c r="M452" s="481"/>
      <c r="N452" s="481"/>
      <c r="O452" s="481"/>
      <c r="P452" s="481"/>
      <c r="Q452" s="481"/>
      <c r="R452" s="481"/>
      <c r="S452" s="481"/>
      <c r="T452" s="481"/>
      <c r="U452" s="481"/>
      <c r="V452" s="481"/>
      <c r="W452" s="481"/>
      <c r="X452" s="481"/>
      <c r="Y452" s="481"/>
      <c r="Z452" s="481"/>
      <c r="AA452" s="481"/>
      <c r="AB452" s="481"/>
    </row>
    <row r="453">
      <c r="A453" s="481"/>
      <c r="B453" s="481"/>
      <c r="C453" s="481"/>
      <c r="D453" s="483"/>
      <c r="E453" s="481"/>
      <c r="F453" s="483"/>
      <c r="G453" s="481"/>
      <c r="H453" s="481"/>
      <c r="I453" s="481"/>
      <c r="J453" s="481"/>
      <c r="K453" s="481"/>
      <c r="L453" s="481"/>
      <c r="M453" s="481"/>
      <c r="N453" s="481"/>
      <c r="O453" s="481"/>
      <c r="P453" s="481"/>
      <c r="Q453" s="481"/>
      <c r="R453" s="481"/>
      <c r="S453" s="481"/>
      <c r="T453" s="481"/>
      <c r="U453" s="481"/>
      <c r="V453" s="481"/>
      <c r="W453" s="481"/>
      <c r="X453" s="481"/>
      <c r="Y453" s="481"/>
      <c r="Z453" s="481"/>
      <c r="AA453" s="481"/>
      <c r="AB453" s="481"/>
    </row>
    <row r="454">
      <c r="A454" s="481"/>
      <c r="B454" s="481"/>
      <c r="C454" s="481"/>
      <c r="D454" s="483"/>
      <c r="E454" s="481"/>
      <c r="F454" s="483"/>
      <c r="G454" s="481"/>
      <c r="H454" s="481"/>
      <c r="I454" s="481"/>
      <c r="J454" s="481"/>
      <c r="K454" s="481"/>
      <c r="L454" s="481"/>
      <c r="M454" s="481"/>
      <c r="N454" s="481"/>
      <c r="O454" s="481"/>
      <c r="P454" s="481"/>
      <c r="Q454" s="481"/>
      <c r="R454" s="481"/>
      <c r="S454" s="481"/>
      <c r="T454" s="481"/>
      <c r="U454" s="481"/>
      <c r="V454" s="481"/>
      <c r="W454" s="481"/>
      <c r="X454" s="481"/>
      <c r="Y454" s="481"/>
      <c r="Z454" s="481"/>
      <c r="AA454" s="481"/>
      <c r="AB454" s="481"/>
    </row>
    <row r="455">
      <c r="A455" s="481"/>
      <c r="B455" s="481"/>
      <c r="C455" s="481"/>
      <c r="D455" s="483"/>
      <c r="E455" s="481"/>
      <c r="F455" s="483"/>
      <c r="G455" s="481"/>
      <c r="H455" s="481"/>
      <c r="I455" s="481"/>
      <c r="J455" s="481"/>
      <c r="K455" s="481"/>
      <c r="L455" s="481"/>
      <c r="M455" s="481"/>
      <c r="N455" s="481"/>
      <c r="O455" s="481"/>
      <c r="P455" s="481"/>
      <c r="Q455" s="481"/>
      <c r="R455" s="481"/>
      <c r="S455" s="481"/>
      <c r="T455" s="481"/>
      <c r="U455" s="481"/>
      <c r="V455" s="481"/>
      <c r="W455" s="481"/>
      <c r="X455" s="481"/>
      <c r="Y455" s="481"/>
      <c r="Z455" s="481"/>
      <c r="AA455" s="481"/>
      <c r="AB455" s="481"/>
    </row>
    <row r="456">
      <c r="A456" s="481"/>
      <c r="B456" s="481"/>
      <c r="C456" s="481"/>
      <c r="D456" s="483"/>
      <c r="E456" s="481"/>
      <c r="F456" s="483"/>
      <c r="G456" s="481"/>
      <c r="H456" s="481"/>
      <c r="I456" s="481"/>
      <c r="J456" s="481"/>
      <c r="K456" s="481"/>
      <c r="L456" s="481"/>
      <c r="M456" s="481"/>
      <c r="N456" s="481"/>
      <c r="O456" s="481"/>
      <c r="P456" s="481"/>
      <c r="Q456" s="481"/>
      <c r="R456" s="481"/>
      <c r="S456" s="481"/>
      <c r="T456" s="481"/>
      <c r="U456" s="481"/>
      <c r="V456" s="481"/>
      <c r="W456" s="481"/>
      <c r="X456" s="481"/>
      <c r="Y456" s="481"/>
      <c r="Z456" s="481"/>
      <c r="AA456" s="481"/>
      <c r="AB456" s="481"/>
    </row>
    <row r="457">
      <c r="A457" s="481"/>
      <c r="B457" s="481"/>
      <c r="C457" s="481"/>
      <c r="D457" s="483"/>
      <c r="E457" s="481"/>
      <c r="F457" s="483"/>
      <c r="G457" s="481"/>
      <c r="H457" s="481"/>
      <c r="I457" s="481"/>
      <c r="J457" s="481"/>
      <c r="K457" s="481"/>
      <c r="L457" s="481"/>
      <c r="M457" s="481"/>
      <c r="N457" s="481"/>
      <c r="O457" s="481"/>
      <c r="P457" s="481"/>
      <c r="Q457" s="481"/>
      <c r="R457" s="481"/>
      <c r="S457" s="481"/>
      <c r="T457" s="481"/>
      <c r="U457" s="481"/>
      <c r="V457" s="481"/>
      <c r="W457" s="481"/>
      <c r="X457" s="481"/>
      <c r="Y457" s="481"/>
      <c r="Z457" s="481"/>
      <c r="AA457" s="481"/>
      <c r="AB457" s="481"/>
    </row>
    <row r="458">
      <c r="A458" s="481"/>
      <c r="B458" s="481"/>
      <c r="C458" s="481"/>
      <c r="D458" s="483"/>
      <c r="E458" s="481"/>
      <c r="F458" s="483"/>
      <c r="G458" s="481"/>
      <c r="H458" s="481"/>
      <c r="I458" s="481"/>
      <c r="J458" s="481"/>
      <c r="K458" s="481"/>
      <c r="L458" s="481"/>
      <c r="M458" s="481"/>
      <c r="N458" s="481"/>
      <c r="O458" s="481"/>
      <c r="P458" s="481"/>
      <c r="Q458" s="481"/>
      <c r="R458" s="481"/>
      <c r="S458" s="481"/>
      <c r="T458" s="481"/>
      <c r="U458" s="481"/>
      <c r="V458" s="481"/>
      <c r="W458" s="481"/>
      <c r="X458" s="481"/>
      <c r="Y458" s="481"/>
      <c r="Z458" s="481"/>
      <c r="AA458" s="481"/>
      <c r="AB458" s="481"/>
    </row>
    <row r="459">
      <c r="A459" s="481"/>
      <c r="B459" s="481"/>
      <c r="C459" s="481"/>
      <c r="D459" s="483"/>
      <c r="E459" s="481"/>
      <c r="F459" s="483"/>
      <c r="G459" s="481"/>
      <c r="H459" s="481"/>
      <c r="I459" s="481"/>
      <c r="J459" s="481"/>
      <c r="K459" s="481"/>
      <c r="L459" s="481"/>
      <c r="M459" s="481"/>
      <c r="N459" s="481"/>
      <c r="O459" s="481"/>
      <c r="P459" s="481"/>
      <c r="Q459" s="481"/>
      <c r="R459" s="481"/>
      <c r="S459" s="481"/>
      <c r="T459" s="481"/>
      <c r="U459" s="481"/>
      <c r="V459" s="481"/>
      <c r="W459" s="481"/>
      <c r="X459" s="481"/>
      <c r="Y459" s="481"/>
      <c r="Z459" s="481"/>
      <c r="AA459" s="481"/>
      <c r="AB459" s="481"/>
    </row>
    <row r="460">
      <c r="A460" s="481"/>
      <c r="B460" s="481"/>
      <c r="C460" s="481"/>
      <c r="D460" s="483"/>
      <c r="E460" s="481"/>
      <c r="F460" s="483"/>
      <c r="G460" s="481"/>
      <c r="H460" s="481"/>
      <c r="I460" s="481"/>
      <c r="J460" s="481"/>
      <c r="K460" s="481"/>
      <c r="L460" s="481"/>
      <c r="M460" s="481"/>
      <c r="N460" s="481"/>
      <c r="O460" s="481"/>
      <c r="P460" s="481"/>
      <c r="Q460" s="481"/>
      <c r="R460" s="481"/>
      <c r="S460" s="481"/>
      <c r="T460" s="481"/>
      <c r="U460" s="481"/>
      <c r="V460" s="481"/>
      <c r="W460" s="481"/>
      <c r="X460" s="481"/>
      <c r="Y460" s="481"/>
      <c r="Z460" s="481"/>
      <c r="AA460" s="481"/>
      <c r="AB460" s="481"/>
    </row>
    <row r="461">
      <c r="A461" s="481"/>
      <c r="B461" s="481"/>
      <c r="C461" s="481"/>
      <c r="D461" s="483"/>
      <c r="E461" s="481"/>
      <c r="F461" s="483"/>
      <c r="G461" s="481"/>
      <c r="H461" s="481"/>
      <c r="I461" s="481"/>
      <c r="J461" s="481"/>
      <c r="K461" s="481"/>
      <c r="L461" s="481"/>
      <c r="M461" s="481"/>
      <c r="N461" s="481"/>
      <c r="O461" s="481"/>
      <c r="P461" s="481"/>
      <c r="Q461" s="481"/>
      <c r="R461" s="481"/>
      <c r="S461" s="481"/>
      <c r="T461" s="481"/>
      <c r="U461" s="481"/>
      <c r="V461" s="481"/>
      <c r="W461" s="481"/>
      <c r="X461" s="481"/>
      <c r="Y461" s="481"/>
      <c r="Z461" s="481"/>
      <c r="AA461" s="481"/>
      <c r="AB461" s="481"/>
    </row>
    <row r="462">
      <c r="A462" s="481"/>
      <c r="B462" s="481"/>
      <c r="C462" s="481"/>
      <c r="D462" s="483"/>
      <c r="E462" s="481"/>
      <c r="F462" s="483"/>
      <c r="G462" s="481"/>
      <c r="H462" s="481"/>
      <c r="I462" s="481"/>
      <c r="J462" s="481"/>
      <c r="K462" s="481"/>
      <c r="L462" s="481"/>
      <c r="M462" s="481"/>
      <c r="N462" s="481"/>
      <c r="O462" s="481"/>
      <c r="P462" s="481"/>
      <c r="Q462" s="481"/>
      <c r="R462" s="481"/>
      <c r="S462" s="481"/>
      <c r="T462" s="481"/>
      <c r="U462" s="481"/>
      <c r="V462" s="481"/>
      <c r="W462" s="481"/>
      <c r="X462" s="481"/>
      <c r="Y462" s="481"/>
      <c r="Z462" s="481"/>
      <c r="AA462" s="481"/>
      <c r="AB462" s="481"/>
    </row>
    <row r="463">
      <c r="A463" s="481"/>
      <c r="B463" s="481"/>
      <c r="C463" s="481"/>
      <c r="D463" s="483"/>
      <c r="E463" s="481"/>
      <c r="F463" s="483"/>
      <c r="G463" s="481"/>
      <c r="H463" s="481"/>
      <c r="I463" s="481"/>
      <c r="J463" s="481"/>
      <c r="K463" s="481"/>
      <c r="L463" s="481"/>
      <c r="M463" s="481"/>
      <c r="N463" s="481"/>
      <c r="O463" s="481"/>
      <c r="P463" s="481"/>
      <c r="Q463" s="481"/>
      <c r="R463" s="481"/>
      <c r="S463" s="481"/>
      <c r="T463" s="481"/>
      <c r="U463" s="481"/>
      <c r="V463" s="481"/>
      <c r="W463" s="481"/>
      <c r="X463" s="481"/>
      <c r="Y463" s="481"/>
      <c r="Z463" s="481"/>
      <c r="AA463" s="481"/>
      <c r="AB463" s="481"/>
    </row>
    <row r="464">
      <c r="A464" s="481"/>
      <c r="B464" s="481"/>
      <c r="C464" s="481"/>
      <c r="D464" s="483"/>
      <c r="E464" s="481"/>
      <c r="F464" s="483"/>
      <c r="G464" s="481"/>
      <c r="H464" s="481"/>
      <c r="I464" s="481"/>
      <c r="J464" s="481"/>
      <c r="K464" s="481"/>
      <c r="L464" s="481"/>
      <c r="M464" s="481"/>
      <c r="N464" s="481"/>
      <c r="O464" s="481"/>
      <c r="P464" s="481"/>
      <c r="Q464" s="481"/>
      <c r="R464" s="481"/>
      <c r="S464" s="481"/>
      <c r="T464" s="481"/>
      <c r="U464" s="481"/>
      <c r="V464" s="481"/>
      <c r="W464" s="481"/>
      <c r="X464" s="481"/>
      <c r="Y464" s="481"/>
      <c r="Z464" s="481"/>
      <c r="AA464" s="481"/>
      <c r="AB464" s="481"/>
    </row>
    <row r="465">
      <c r="A465" s="481"/>
      <c r="B465" s="481"/>
      <c r="C465" s="481"/>
      <c r="D465" s="483"/>
      <c r="E465" s="481"/>
      <c r="F465" s="483"/>
      <c r="G465" s="481"/>
      <c r="H465" s="481"/>
      <c r="I465" s="481"/>
      <c r="J465" s="481"/>
      <c r="K465" s="481"/>
      <c r="L465" s="481"/>
      <c r="M465" s="481"/>
      <c r="N465" s="481"/>
      <c r="O465" s="481"/>
      <c r="P465" s="481"/>
      <c r="Q465" s="481"/>
      <c r="R465" s="481"/>
      <c r="S465" s="481"/>
      <c r="T465" s="481"/>
      <c r="U465" s="481"/>
      <c r="V465" s="481"/>
      <c r="W465" s="481"/>
      <c r="X465" s="481"/>
      <c r="Y465" s="481"/>
      <c r="Z465" s="481"/>
      <c r="AA465" s="481"/>
      <c r="AB465" s="481"/>
    </row>
    <row r="466">
      <c r="A466" s="481"/>
      <c r="B466" s="481"/>
      <c r="C466" s="481"/>
      <c r="D466" s="483"/>
      <c r="E466" s="481"/>
      <c r="F466" s="483"/>
      <c r="G466" s="481"/>
      <c r="H466" s="481"/>
      <c r="I466" s="481"/>
      <c r="J466" s="481"/>
      <c r="K466" s="481"/>
      <c r="L466" s="481"/>
      <c r="M466" s="481"/>
      <c r="N466" s="481"/>
      <c r="O466" s="481"/>
      <c r="P466" s="481"/>
      <c r="Q466" s="481"/>
      <c r="R466" s="481"/>
      <c r="S466" s="481"/>
      <c r="T466" s="481"/>
      <c r="U466" s="481"/>
      <c r="V466" s="481"/>
      <c r="W466" s="481"/>
      <c r="X466" s="481"/>
      <c r="Y466" s="481"/>
      <c r="Z466" s="481"/>
      <c r="AA466" s="481"/>
      <c r="AB466" s="481"/>
    </row>
    <row r="467">
      <c r="A467" s="481"/>
      <c r="B467" s="481"/>
      <c r="C467" s="481"/>
      <c r="D467" s="483"/>
      <c r="E467" s="481"/>
      <c r="F467" s="483"/>
      <c r="G467" s="481"/>
      <c r="H467" s="481"/>
      <c r="I467" s="481"/>
      <c r="J467" s="481"/>
      <c r="K467" s="481"/>
      <c r="L467" s="481"/>
      <c r="M467" s="481"/>
      <c r="N467" s="481"/>
      <c r="O467" s="481"/>
      <c r="P467" s="481"/>
      <c r="Q467" s="481"/>
      <c r="R467" s="481"/>
      <c r="S467" s="481"/>
      <c r="T467" s="481"/>
      <c r="U467" s="481"/>
      <c r="V467" s="481"/>
      <c r="W467" s="481"/>
      <c r="X467" s="481"/>
      <c r="Y467" s="481"/>
      <c r="Z467" s="481"/>
      <c r="AA467" s="481"/>
      <c r="AB467" s="481"/>
    </row>
    <row r="468">
      <c r="A468" s="481"/>
      <c r="B468" s="481"/>
      <c r="C468" s="481"/>
      <c r="D468" s="483"/>
      <c r="E468" s="481"/>
      <c r="F468" s="483"/>
      <c r="G468" s="481"/>
      <c r="H468" s="481"/>
      <c r="I468" s="481"/>
      <c r="J468" s="481"/>
      <c r="K468" s="481"/>
      <c r="L468" s="481"/>
      <c r="M468" s="481"/>
      <c r="N468" s="481"/>
      <c r="O468" s="481"/>
      <c r="P468" s="481"/>
      <c r="Q468" s="481"/>
      <c r="R468" s="481"/>
      <c r="S468" s="481"/>
      <c r="T468" s="481"/>
      <c r="U468" s="481"/>
      <c r="V468" s="481"/>
      <c r="W468" s="481"/>
      <c r="X468" s="481"/>
      <c r="Y468" s="481"/>
      <c r="Z468" s="481"/>
      <c r="AA468" s="481"/>
      <c r="AB468" s="481"/>
    </row>
    <row r="469">
      <c r="A469" s="481"/>
      <c r="B469" s="481"/>
      <c r="C469" s="481"/>
      <c r="D469" s="483"/>
      <c r="E469" s="481"/>
      <c r="F469" s="483"/>
      <c r="G469" s="481"/>
      <c r="H469" s="481"/>
      <c r="I469" s="481"/>
      <c r="J469" s="481"/>
      <c r="K469" s="481"/>
      <c r="L469" s="481"/>
      <c r="M469" s="481"/>
      <c r="N469" s="481"/>
      <c r="O469" s="481"/>
      <c r="P469" s="481"/>
      <c r="Q469" s="481"/>
      <c r="R469" s="481"/>
      <c r="S469" s="481"/>
      <c r="T469" s="481"/>
      <c r="U469" s="481"/>
      <c r="V469" s="481"/>
      <c r="W469" s="481"/>
      <c r="X469" s="481"/>
      <c r="Y469" s="481"/>
      <c r="Z469" s="481"/>
      <c r="AA469" s="481"/>
      <c r="AB469" s="481"/>
    </row>
    <row r="470">
      <c r="A470" s="481"/>
      <c r="B470" s="481"/>
      <c r="C470" s="481"/>
      <c r="D470" s="483"/>
      <c r="E470" s="481"/>
      <c r="F470" s="483"/>
      <c r="G470" s="481"/>
      <c r="H470" s="481"/>
      <c r="I470" s="481"/>
      <c r="J470" s="481"/>
      <c r="K470" s="481"/>
      <c r="L470" s="481"/>
      <c r="M470" s="481"/>
      <c r="N470" s="481"/>
      <c r="O470" s="481"/>
      <c r="P470" s="481"/>
      <c r="Q470" s="481"/>
      <c r="R470" s="481"/>
      <c r="S470" s="481"/>
      <c r="T470" s="481"/>
      <c r="U470" s="481"/>
      <c r="V470" s="481"/>
      <c r="W470" s="481"/>
      <c r="X470" s="481"/>
      <c r="Y470" s="481"/>
      <c r="Z470" s="481"/>
      <c r="AA470" s="481"/>
      <c r="AB470" s="481"/>
    </row>
    <row r="471">
      <c r="A471" s="481"/>
      <c r="B471" s="481"/>
      <c r="C471" s="481"/>
      <c r="D471" s="483"/>
      <c r="E471" s="481"/>
      <c r="F471" s="483"/>
      <c r="G471" s="481"/>
      <c r="H471" s="481"/>
      <c r="I471" s="481"/>
      <c r="J471" s="481"/>
      <c r="K471" s="481"/>
      <c r="L471" s="481"/>
      <c r="M471" s="481"/>
      <c r="N471" s="481"/>
      <c r="O471" s="481"/>
      <c r="P471" s="481"/>
      <c r="Q471" s="481"/>
      <c r="R471" s="481"/>
      <c r="S471" s="481"/>
      <c r="T471" s="481"/>
      <c r="U471" s="481"/>
      <c r="V471" s="481"/>
      <c r="W471" s="481"/>
      <c r="X471" s="481"/>
      <c r="Y471" s="481"/>
      <c r="Z471" s="481"/>
      <c r="AA471" s="481"/>
      <c r="AB471" s="481"/>
    </row>
    <row r="472">
      <c r="A472" s="481"/>
      <c r="B472" s="481"/>
      <c r="C472" s="481"/>
      <c r="D472" s="483"/>
      <c r="E472" s="481"/>
      <c r="F472" s="483"/>
      <c r="G472" s="481"/>
      <c r="H472" s="481"/>
      <c r="I472" s="481"/>
      <c r="J472" s="481"/>
      <c r="K472" s="481"/>
      <c r="L472" s="481"/>
      <c r="M472" s="481"/>
      <c r="N472" s="481"/>
      <c r="O472" s="481"/>
      <c r="P472" s="481"/>
      <c r="Q472" s="481"/>
      <c r="R472" s="481"/>
      <c r="S472" s="481"/>
      <c r="T472" s="481"/>
      <c r="U472" s="481"/>
      <c r="V472" s="481"/>
      <c r="W472" s="481"/>
      <c r="X472" s="481"/>
      <c r="Y472" s="481"/>
      <c r="Z472" s="481"/>
      <c r="AA472" s="481"/>
      <c r="AB472" s="481"/>
    </row>
    <row r="473">
      <c r="A473" s="481"/>
      <c r="B473" s="481"/>
      <c r="C473" s="481"/>
      <c r="D473" s="483"/>
      <c r="E473" s="481"/>
      <c r="F473" s="483"/>
      <c r="G473" s="481"/>
      <c r="H473" s="481"/>
      <c r="I473" s="481"/>
      <c r="J473" s="481"/>
      <c r="K473" s="481"/>
      <c r="L473" s="481"/>
      <c r="M473" s="481"/>
      <c r="N473" s="481"/>
      <c r="O473" s="481"/>
      <c r="P473" s="481"/>
      <c r="Q473" s="481"/>
      <c r="R473" s="481"/>
      <c r="S473" s="481"/>
      <c r="T473" s="481"/>
      <c r="U473" s="481"/>
      <c r="V473" s="481"/>
      <c r="W473" s="481"/>
      <c r="X473" s="481"/>
      <c r="Y473" s="481"/>
      <c r="Z473" s="481"/>
      <c r="AA473" s="481"/>
      <c r="AB473" s="481"/>
    </row>
    <row r="474">
      <c r="A474" s="481"/>
      <c r="B474" s="481"/>
      <c r="C474" s="481"/>
      <c r="D474" s="483"/>
      <c r="E474" s="481"/>
      <c r="F474" s="483"/>
      <c r="G474" s="481"/>
      <c r="H474" s="481"/>
      <c r="I474" s="481"/>
      <c r="J474" s="481"/>
      <c r="K474" s="481"/>
      <c r="L474" s="481"/>
      <c r="M474" s="481"/>
      <c r="N474" s="481"/>
      <c r="O474" s="481"/>
      <c r="P474" s="481"/>
      <c r="Q474" s="481"/>
      <c r="R474" s="481"/>
      <c r="S474" s="481"/>
      <c r="T474" s="481"/>
      <c r="U474" s="481"/>
      <c r="V474" s="481"/>
      <c r="W474" s="481"/>
      <c r="X474" s="481"/>
      <c r="Y474" s="481"/>
      <c r="Z474" s="481"/>
      <c r="AA474" s="481"/>
      <c r="AB474" s="481"/>
    </row>
    <row r="475">
      <c r="A475" s="481"/>
      <c r="B475" s="481"/>
      <c r="C475" s="481"/>
      <c r="D475" s="483"/>
      <c r="E475" s="481"/>
      <c r="F475" s="483"/>
      <c r="G475" s="481"/>
      <c r="H475" s="481"/>
      <c r="I475" s="481"/>
      <c r="J475" s="481"/>
      <c r="K475" s="481"/>
      <c r="L475" s="481"/>
      <c r="M475" s="481"/>
      <c r="N475" s="481"/>
      <c r="O475" s="481"/>
      <c r="P475" s="481"/>
      <c r="Q475" s="481"/>
      <c r="R475" s="481"/>
      <c r="S475" s="481"/>
      <c r="T475" s="481"/>
      <c r="U475" s="481"/>
      <c r="V475" s="481"/>
      <c r="W475" s="481"/>
      <c r="X475" s="481"/>
      <c r="Y475" s="481"/>
      <c r="Z475" s="481"/>
      <c r="AA475" s="481"/>
      <c r="AB475" s="481"/>
    </row>
    <row r="476">
      <c r="A476" s="481"/>
      <c r="B476" s="481"/>
      <c r="C476" s="481"/>
      <c r="D476" s="483"/>
      <c r="E476" s="481"/>
      <c r="F476" s="483"/>
      <c r="G476" s="481"/>
      <c r="H476" s="481"/>
      <c r="I476" s="481"/>
      <c r="J476" s="481"/>
      <c r="K476" s="481"/>
      <c r="L476" s="481"/>
      <c r="M476" s="481"/>
      <c r="N476" s="481"/>
      <c r="O476" s="481"/>
      <c r="P476" s="481"/>
      <c r="Q476" s="481"/>
      <c r="R476" s="481"/>
      <c r="S476" s="481"/>
      <c r="T476" s="481"/>
      <c r="U476" s="481"/>
      <c r="V476" s="481"/>
      <c r="W476" s="481"/>
      <c r="X476" s="481"/>
      <c r="Y476" s="481"/>
      <c r="Z476" s="481"/>
      <c r="AA476" s="481"/>
      <c r="AB476" s="481"/>
    </row>
    <row r="477">
      <c r="A477" s="481"/>
      <c r="B477" s="481"/>
      <c r="C477" s="481"/>
      <c r="D477" s="483"/>
      <c r="E477" s="481"/>
      <c r="F477" s="483"/>
      <c r="G477" s="481"/>
      <c r="H477" s="481"/>
      <c r="I477" s="481"/>
      <c r="J477" s="481"/>
      <c r="K477" s="481"/>
      <c r="L477" s="481"/>
      <c r="M477" s="481"/>
      <c r="N477" s="481"/>
      <c r="O477" s="481"/>
      <c r="P477" s="481"/>
      <c r="Q477" s="481"/>
      <c r="R477" s="481"/>
      <c r="S477" s="481"/>
      <c r="T477" s="481"/>
      <c r="U477" s="481"/>
      <c r="V477" s="481"/>
      <c r="W477" s="481"/>
      <c r="X477" s="481"/>
      <c r="Y477" s="481"/>
      <c r="Z477" s="481"/>
      <c r="AA477" s="481"/>
      <c r="AB477" s="481"/>
    </row>
    <row r="478">
      <c r="A478" s="481"/>
      <c r="B478" s="481"/>
      <c r="C478" s="481"/>
      <c r="D478" s="483"/>
      <c r="E478" s="481"/>
      <c r="F478" s="483"/>
      <c r="G478" s="481"/>
      <c r="H478" s="481"/>
      <c r="I478" s="481"/>
      <c r="J478" s="481"/>
      <c r="K478" s="481"/>
      <c r="L478" s="481"/>
      <c r="M478" s="481"/>
      <c r="N478" s="481"/>
      <c r="O478" s="481"/>
      <c r="P478" s="481"/>
      <c r="Q478" s="481"/>
      <c r="R478" s="481"/>
      <c r="S478" s="481"/>
      <c r="T478" s="481"/>
      <c r="U478" s="481"/>
      <c r="V478" s="481"/>
      <c r="W478" s="481"/>
      <c r="X478" s="481"/>
      <c r="Y478" s="481"/>
      <c r="Z478" s="481"/>
      <c r="AA478" s="481"/>
      <c r="AB478" s="481"/>
    </row>
    <row r="479">
      <c r="A479" s="481"/>
      <c r="B479" s="481"/>
      <c r="C479" s="481"/>
      <c r="D479" s="483"/>
      <c r="E479" s="481"/>
      <c r="F479" s="483"/>
      <c r="G479" s="481"/>
      <c r="H479" s="481"/>
      <c r="I479" s="481"/>
      <c r="J479" s="481"/>
      <c r="K479" s="481"/>
      <c r="L479" s="481"/>
      <c r="M479" s="481"/>
      <c r="N479" s="481"/>
      <c r="O479" s="481"/>
      <c r="P479" s="481"/>
      <c r="Q479" s="481"/>
      <c r="R479" s="481"/>
      <c r="S479" s="481"/>
      <c r="T479" s="481"/>
      <c r="U479" s="481"/>
      <c r="V479" s="481"/>
      <c r="W479" s="481"/>
      <c r="X479" s="481"/>
      <c r="Y479" s="481"/>
      <c r="Z479" s="481"/>
      <c r="AA479" s="481"/>
      <c r="AB479" s="481"/>
    </row>
    <row r="480">
      <c r="A480" s="481"/>
      <c r="B480" s="481"/>
      <c r="C480" s="481"/>
      <c r="D480" s="483"/>
      <c r="E480" s="481"/>
      <c r="F480" s="483"/>
      <c r="G480" s="481"/>
      <c r="H480" s="481"/>
      <c r="I480" s="481"/>
      <c r="J480" s="481"/>
      <c r="K480" s="481"/>
      <c r="L480" s="481"/>
      <c r="M480" s="481"/>
      <c r="N480" s="481"/>
      <c r="O480" s="481"/>
      <c r="P480" s="481"/>
      <c r="Q480" s="481"/>
      <c r="R480" s="481"/>
      <c r="S480" s="481"/>
      <c r="T480" s="481"/>
      <c r="U480" s="481"/>
      <c r="V480" s="481"/>
      <c r="W480" s="481"/>
      <c r="X480" s="481"/>
      <c r="Y480" s="481"/>
      <c r="Z480" s="481"/>
      <c r="AA480" s="481"/>
      <c r="AB480" s="481"/>
    </row>
    <row r="481">
      <c r="A481" s="481"/>
      <c r="B481" s="481"/>
      <c r="C481" s="481"/>
      <c r="D481" s="483"/>
      <c r="E481" s="481"/>
      <c r="F481" s="483"/>
      <c r="G481" s="481"/>
      <c r="H481" s="481"/>
      <c r="I481" s="481"/>
      <c r="J481" s="481"/>
      <c r="K481" s="481"/>
      <c r="L481" s="481"/>
      <c r="M481" s="481"/>
      <c r="N481" s="481"/>
      <c r="O481" s="481"/>
      <c r="P481" s="481"/>
      <c r="Q481" s="481"/>
      <c r="R481" s="481"/>
      <c r="S481" s="481"/>
      <c r="T481" s="481"/>
      <c r="U481" s="481"/>
      <c r="V481" s="481"/>
      <c r="W481" s="481"/>
      <c r="X481" s="481"/>
      <c r="Y481" s="481"/>
      <c r="Z481" s="481"/>
      <c r="AA481" s="481"/>
      <c r="AB481" s="481"/>
    </row>
    <row r="482">
      <c r="A482" s="481"/>
      <c r="B482" s="481"/>
      <c r="C482" s="481"/>
      <c r="D482" s="483"/>
      <c r="E482" s="481"/>
      <c r="F482" s="483"/>
      <c r="G482" s="481"/>
      <c r="H482" s="481"/>
      <c r="I482" s="481"/>
      <c r="J482" s="481"/>
      <c r="K482" s="481"/>
      <c r="L482" s="481"/>
      <c r="M482" s="481"/>
      <c r="N482" s="481"/>
      <c r="O482" s="481"/>
      <c r="P482" s="481"/>
      <c r="Q482" s="481"/>
      <c r="R482" s="481"/>
      <c r="S482" s="481"/>
      <c r="T482" s="481"/>
      <c r="U482" s="481"/>
      <c r="V482" s="481"/>
      <c r="W482" s="481"/>
      <c r="X482" s="481"/>
      <c r="Y482" s="481"/>
      <c r="Z482" s="481"/>
      <c r="AA482" s="481"/>
      <c r="AB482" s="481"/>
    </row>
    <row r="483">
      <c r="A483" s="481"/>
      <c r="B483" s="481"/>
      <c r="C483" s="481"/>
      <c r="D483" s="483"/>
      <c r="E483" s="481"/>
      <c r="F483" s="483"/>
      <c r="G483" s="481"/>
      <c r="H483" s="481"/>
      <c r="I483" s="481"/>
      <c r="J483" s="481"/>
      <c r="K483" s="481"/>
      <c r="L483" s="481"/>
      <c r="M483" s="481"/>
      <c r="N483" s="481"/>
      <c r="O483" s="481"/>
      <c r="P483" s="481"/>
      <c r="Q483" s="481"/>
      <c r="R483" s="481"/>
      <c r="S483" s="481"/>
      <c r="T483" s="481"/>
      <c r="U483" s="481"/>
      <c r="V483" s="481"/>
      <c r="W483" s="481"/>
      <c r="X483" s="481"/>
      <c r="Y483" s="481"/>
      <c r="Z483" s="481"/>
      <c r="AA483" s="481"/>
      <c r="AB483" s="481"/>
    </row>
    <row r="484">
      <c r="A484" s="481"/>
      <c r="B484" s="481"/>
      <c r="C484" s="481"/>
      <c r="D484" s="483"/>
      <c r="E484" s="481"/>
      <c r="F484" s="483"/>
      <c r="G484" s="481"/>
      <c r="H484" s="481"/>
      <c r="I484" s="481"/>
      <c r="J484" s="481"/>
      <c r="K484" s="481"/>
      <c r="L484" s="481"/>
      <c r="M484" s="481"/>
      <c r="N484" s="481"/>
      <c r="O484" s="481"/>
      <c r="P484" s="481"/>
      <c r="Q484" s="481"/>
      <c r="R484" s="481"/>
      <c r="S484" s="481"/>
      <c r="T484" s="481"/>
      <c r="U484" s="481"/>
      <c r="V484" s="481"/>
      <c r="W484" s="481"/>
      <c r="X484" s="481"/>
      <c r="Y484" s="481"/>
      <c r="Z484" s="481"/>
      <c r="AA484" s="481"/>
      <c r="AB484" s="481"/>
    </row>
    <row r="485">
      <c r="A485" s="481"/>
      <c r="B485" s="481"/>
      <c r="C485" s="481"/>
      <c r="D485" s="483"/>
      <c r="E485" s="481"/>
      <c r="F485" s="483"/>
      <c r="G485" s="481"/>
      <c r="H485" s="481"/>
      <c r="I485" s="481"/>
      <c r="J485" s="481"/>
      <c r="K485" s="481"/>
      <c r="L485" s="481"/>
      <c r="M485" s="481"/>
      <c r="N485" s="481"/>
      <c r="O485" s="481"/>
      <c r="P485" s="481"/>
      <c r="Q485" s="481"/>
      <c r="R485" s="481"/>
      <c r="S485" s="481"/>
      <c r="T485" s="481"/>
      <c r="U485" s="481"/>
      <c r="V485" s="481"/>
      <c r="W485" s="481"/>
      <c r="X485" s="481"/>
      <c r="Y485" s="481"/>
      <c r="Z485" s="481"/>
      <c r="AA485" s="481"/>
      <c r="AB485" s="481"/>
    </row>
    <row r="486">
      <c r="A486" s="481"/>
      <c r="B486" s="481"/>
      <c r="C486" s="481"/>
      <c r="D486" s="483"/>
      <c r="E486" s="481"/>
      <c r="F486" s="483"/>
      <c r="G486" s="481"/>
      <c r="H486" s="481"/>
      <c r="I486" s="481"/>
      <c r="J486" s="481"/>
      <c r="K486" s="481"/>
      <c r="L486" s="481"/>
      <c r="M486" s="481"/>
      <c r="N486" s="481"/>
      <c r="O486" s="481"/>
      <c r="P486" s="481"/>
      <c r="Q486" s="481"/>
      <c r="R486" s="481"/>
      <c r="S486" s="481"/>
      <c r="T486" s="481"/>
      <c r="U486" s="481"/>
      <c r="V486" s="481"/>
      <c r="W486" s="481"/>
      <c r="X486" s="481"/>
      <c r="Y486" s="481"/>
      <c r="Z486" s="481"/>
      <c r="AA486" s="481"/>
      <c r="AB486" s="481"/>
    </row>
    <row r="487">
      <c r="A487" s="481"/>
      <c r="B487" s="481"/>
      <c r="C487" s="481"/>
      <c r="D487" s="483"/>
      <c r="E487" s="481"/>
      <c r="F487" s="483"/>
      <c r="G487" s="481"/>
      <c r="H487" s="481"/>
      <c r="I487" s="481"/>
      <c r="J487" s="481"/>
      <c r="K487" s="481"/>
      <c r="L487" s="481"/>
      <c r="M487" s="481"/>
      <c r="N487" s="481"/>
      <c r="O487" s="481"/>
      <c r="P487" s="481"/>
      <c r="Q487" s="481"/>
      <c r="R487" s="481"/>
      <c r="S487" s="481"/>
      <c r="T487" s="481"/>
      <c r="U487" s="481"/>
      <c r="V487" s="481"/>
      <c r="W487" s="481"/>
      <c r="X487" s="481"/>
      <c r="Y487" s="481"/>
      <c r="Z487" s="481"/>
      <c r="AA487" s="481"/>
      <c r="AB487" s="481"/>
    </row>
    <row r="488">
      <c r="A488" s="481"/>
      <c r="B488" s="481"/>
      <c r="C488" s="481"/>
      <c r="D488" s="483"/>
      <c r="E488" s="481"/>
      <c r="F488" s="483"/>
      <c r="G488" s="481"/>
      <c r="H488" s="481"/>
      <c r="I488" s="481"/>
      <c r="J488" s="481"/>
      <c r="K488" s="481"/>
      <c r="L488" s="481"/>
      <c r="M488" s="481"/>
      <c r="N488" s="481"/>
      <c r="O488" s="481"/>
      <c r="P488" s="481"/>
      <c r="Q488" s="481"/>
      <c r="R488" s="481"/>
      <c r="S488" s="481"/>
      <c r="T488" s="481"/>
      <c r="U488" s="481"/>
      <c r="V488" s="481"/>
      <c r="W488" s="481"/>
      <c r="X488" s="481"/>
      <c r="Y488" s="481"/>
      <c r="Z488" s="481"/>
      <c r="AA488" s="481"/>
      <c r="AB488" s="481"/>
    </row>
    <row r="489">
      <c r="A489" s="481"/>
      <c r="B489" s="481"/>
      <c r="C489" s="481"/>
      <c r="D489" s="483"/>
      <c r="E489" s="481"/>
      <c r="F489" s="483"/>
      <c r="G489" s="481"/>
      <c r="H489" s="481"/>
      <c r="I489" s="481"/>
      <c r="J489" s="481"/>
      <c r="K489" s="481"/>
      <c r="L489" s="481"/>
      <c r="M489" s="481"/>
      <c r="N489" s="481"/>
      <c r="O489" s="481"/>
      <c r="P489" s="481"/>
      <c r="Q489" s="481"/>
      <c r="R489" s="481"/>
      <c r="S489" s="481"/>
      <c r="T489" s="481"/>
      <c r="U489" s="481"/>
      <c r="V489" s="481"/>
      <c r="W489" s="481"/>
      <c r="X489" s="481"/>
      <c r="Y489" s="481"/>
      <c r="Z489" s="481"/>
      <c r="AA489" s="481"/>
      <c r="AB489" s="481"/>
    </row>
    <row r="490">
      <c r="A490" s="481"/>
      <c r="B490" s="481"/>
      <c r="C490" s="481"/>
      <c r="D490" s="483"/>
      <c r="E490" s="481"/>
      <c r="F490" s="483"/>
      <c r="G490" s="481"/>
      <c r="H490" s="481"/>
      <c r="I490" s="481"/>
      <c r="J490" s="481"/>
      <c r="K490" s="481"/>
      <c r="L490" s="481"/>
      <c r="M490" s="481"/>
      <c r="N490" s="481"/>
      <c r="O490" s="481"/>
      <c r="P490" s="481"/>
      <c r="Q490" s="481"/>
      <c r="R490" s="481"/>
      <c r="S490" s="481"/>
      <c r="T490" s="481"/>
      <c r="U490" s="481"/>
      <c r="V490" s="481"/>
      <c r="W490" s="481"/>
      <c r="X490" s="481"/>
      <c r="Y490" s="481"/>
      <c r="Z490" s="481"/>
      <c r="AA490" s="481"/>
      <c r="AB490" s="481"/>
    </row>
    <row r="491">
      <c r="A491" s="481"/>
      <c r="B491" s="481"/>
      <c r="C491" s="481"/>
      <c r="D491" s="483"/>
      <c r="E491" s="481"/>
      <c r="F491" s="483"/>
      <c r="G491" s="481"/>
      <c r="H491" s="481"/>
      <c r="I491" s="481"/>
      <c r="J491" s="481"/>
      <c r="K491" s="481"/>
      <c r="L491" s="481"/>
      <c r="M491" s="481"/>
      <c r="N491" s="481"/>
      <c r="O491" s="481"/>
      <c r="P491" s="481"/>
      <c r="Q491" s="481"/>
      <c r="R491" s="481"/>
      <c r="S491" s="481"/>
      <c r="T491" s="481"/>
      <c r="U491" s="481"/>
      <c r="V491" s="481"/>
      <c r="W491" s="481"/>
      <c r="X491" s="481"/>
      <c r="Y491" s="481"/>
      <c r="Z491" s="481"/>
      <c r="AA491" s="481"/>
      <c r="AB491" s="481"/>
    </row>
    <row r="492">
      <c r="A492" s="481"/>
      <c r="B492" s="481"/>
      <c r="C492" s="481"/>
      <c r="D492" s="483"/>
      <c r="E492" s="481"/>
      <c r="F492" s="483"/>
      <c r="G492" s="481"/>
      <c r="H492" s="481"/>
      <c r="I492" s="481"/>
      <c r="J492" s="481"/>
      <c r="K492" s="481"/>
      <c r="L492" s="481"/>
      <c r="M492" s="481"/>
      <c r="N492" s="481"/>
      <c r="O492" s="481"/>
      <c r="P492" s="481"/>
      <c r="Q492" s="481"/>
      <c r="R492" s="481"/>
      <c r="S492" s="481"/>
      <c r="T492" s="481"/>
      <c r="U492" s="481"/>
      <c r="V492" s="481"/>
      <c r="W492" s="481"/>
      <c r="X492" s="481"/>
      <c r="Y492" s="481"/>
      <c r="Z492" s="481"/>
      <c r="AA492" s="481"/>
      <c r="AB492" s="481"/>
    </row>
    <row r="493">
      <c r="A493" s="481"/>
      <c r="B493" s="481"/>
      <c r="C493" s="481"/>
      <c r="D493" s="483"/>
      <c r="E493" s="481"/>
      <c r="F493" s="483"/>
      <c r="G493" s="481"/>
      <c r="H493" s="481"/>
      <c r="I493" s="481"/>
      <c r="J493" s="481"/>
      <c r="K493" s="481"/>
      <c r="L493" s="481"/>
      <c r="M493" s="481"/>
      <c r="N493" s="481"/>
      <c r="O493" s="481"/>
      <c r="P493" s="481"/>
      <c r="Q493" s="481"/>
      <c r="R493" s="481"/>
      <c r="S493" s="481"/>
      <c r="T493" s="481"/>
      <c r="U493" s="481"/>
      <c r="V493" s="481"/>
      <c r="W493" s="481"/>
      <c r="X493" s="481"/>
      <c r="Y493" s="481"/>
      <c r="Z493" s="481"/>
      <c r="AA493" s="481"/>
      <c r="AB493" s="481"/>
    </row>
    <row r="494">
      <c r="A494" s="481"/>
      <c r="B494" s="481"/>
      <c r="C494" s="481"/>
      <c r="D494" s="483"/>
      <c r="E494" s="481"/>
      <c r="F494" s="483"/>
      <c r="G494" s="481"/>
      <c r="H494" s="481"/>
      <c r="I494" s="481"/>
      <c r="J494" s="481"/>
      <c r="K494" s="481"/>
      <c r="L494" s="481"/>
      <c r="M494" s="481"/>
      <c r="N494" s="481"/>
      <c r="O494" s="481"/>
      <c r="P494" s="481"/>
      <c r="Q494" s="481"/>
      <c r="R494" s="481"/>
      <c r="S494" s="481"/>
      <c r="T494" s="481"/>
      <c r="U494" s="481"/>
      <c r="V494" s="481"/>
      <c r="W494" s="481"/>
      <c r="X494" s="481"/>
      <c r="Y494" s="481"/>
      <c r="Z494" s="481"/>
      <c r="AA494" s="481"/>
      <c r="AB494" s="481"/>
    </row>
    <row r="495">
      <c r="A495" s="481"/>
      <c r="B495" s="481"/>
      <c r="C495" s="481"/>
      <c r="D495" s="483"/>
      <c r="E495" s="481"/>
      <c r="F495" s="483"/>
      <c r="G495" s="481"/>
      <c r="H495" s="481"/>
      <c r="I495" s="481"/>
      <c r="J495" s="481"/>
      <c r="K495" s="481"/>
      <c r="L495" s="481"/>
      <c r="M495" s="481"/>
      <c r="N495" s="481"/>
      <c r="O495" s="481"/>
      <c r="P495" s="481"/>
      <c r="Q495" s="481"/>
      <c r="R495" s="481"/>
      <c r="S495" s="481"/>
      <c r="T495" s="481"/>
      <c r="U495" s="481"/>
      <c r="V495" s="481"/>
      <c r="W495" s="481"/>
      <c r="X495" s="481"/>
      <c r="Y495" s="481"/>
      <c r="Z495" s="481"/>
      <c r="AA495" s="481"/>
      <c r="AB495" s="481"/>
    </row>
    <row r="496">
      <c r="A496" s="481"/>
      <c r="B496" s="481"/>
      <c r="C496" s="481"/>
      <c r="D496" s="483"/>
      <c r="E496" s="481"/>
      <c r="F496" s="483"/>
      <c r="G496" s="481"/>
      <c r="H496" s="481"/>
      <c r="I496" s="481"/>
      <c r="J496" s="481"/>
      <c r="K496" s="481"/>
      <c r="L496" s="481"/>
      <c r="M496" s="481"/>
      <c r="N496" s="481"/>
      <c r="O496" s="481"/>
      <c r="P496" s="481"/>
      <c r="Q496" s="481"/>
      <c r="R496" s="481"/>
      <c r="S496" s="481"/>
      <c r="T496" s="481"/>
      <c r="U496" s="481"/>
      <c r="V496" s="481"/>
      <c r="W496" s="481"/>
      <c r="X496" s="481"/>
      <c r="Y496" s="481"/>
      <c r="Z496" s="481"/>
      <c r="AA496" s="481"/>
      <c r="AB496" s="481"/>
    </row>
    <row r="497">
      <c r="A497" s="481"/>
      <c r="B497" s="481"/>
      <c r="C497" s="481"/>
      <c r="D497" s="483"/>
      <c r="E497" s="481"/>
      <c r="F497" s="483"/>
      <c r="G497" s="481"/>
      <c r="H497" s="481"/>
      <c r="I497" s="481"/>
      <c r="J497" s="481"/>
      <c r="K497" s="481"/>
      <c r="L497" s="481"/>
      <c r="M497" s="481"/>
      <c r="N497" s="481"/>
      <c r="O497" s="481"/>
      <c r="P497" s="481"/>
      <c r="Q497" s="481"/>
      <c r="R497" s="481"/>
      <c r="S497" s="481"/>
      <c r="T497" s="481"/>
      <c r="U497" s="481"/>
      <c r="V497" s="481"/>
      <c r="W497" s="481"/>
      <c r="X497" s="481"/>
      <c r="Y497" s="481"/>
      <c r="Z497" s="481"/>
      <c r="AA497" s="481"/>
      <c r="AB497" s="481"/>
    </row>
    <row r="498">
      <c r="A498" s="481"/>
      <c r="B498" s="481"/>
      <c r="C498" s="481"/>
      <c r="D498" s="483"/>
      <c r="E498" s="481"/>
      <c r="F498" s="483"/>
      <c r="G498" s="481"/>
      <c r="H498" s="481"/>
      <c r="I498" s="481"/>
      <c r="J498" s="481"/>
      <c r="K498" s="481"/>
      <c r="L498" s="481"/>
      <c r="M498" s="481"/>
      <c r="N498" s="481"/>
      <c r="O498" s="481"/>
      <c r="P498" s="481"/>
      <c r="Q498" s="481"/>
      <c r="R498" s="481"/>
      <c r="S498" s="481"/>
      <c r="T498" s="481"/>
      <c r="U498" s="481"/>
      <c r="V498" s="481"/>
      <c r="W498" s="481"/>
      <c r="X498" s="481"/>
      <c r="Y498" s="481"/>
      <c r="Z498" s="481"/>
      <c r="AA498" s="481"/>
      <c r="AB498" s="481"/>
    </row>
    <row r="499">
      <c r="A499" s="481"/>
      <c r="B499" s="481"/>
      <c r="C499" s="481"/>
      <c r="D499" s="483"/>
      <c r="E499" s="481"/>
      <c r="F499" s="483"/>
      <c r="G499" s="481"/>
      <c r="H499" s="481"/>
      <c r="I499" s="481"/>
      <c r="J499" s="481"/>
      <c r="K499" s="481"/>
      <c r="L499" s="481"/>
      <c r="M499" s="481"/>
      <c r="N499" s="481"/>
      <c r="O499" s="481"/>
      <c r="P499" s="481"/>
      <c r="Q499" s="481"/>
      <c r="R499" s="481"/>
      <c r="S499" s="481"/>
      <c r="T499" s="481"/>
      <c r="U499" s="481"/>
      <c r="V499" s="481"/>
      <c r="W499" s="481"/>
      <c r="X499" s="481"/>
      <c r="Y499" s="481"/>
      <c r="Z499" s="481"/>
      <c r="AA499" s="481"/>
      <c r="AB499" s="481"/>
    </row>
    <row r="500">
      <c r="A500" s="481"/>
      <c r="B500" s="481"/>
      <c r="C500" s="481"/>
      <c r="D500" s="483"/>
      <c r="E500" s="481"/>
      <c r="F500" s="483"/>
      <c r="G500" s="481"/>
      <c r="H500" s="481"/>
      <c r="I500" s="481"/>
      <c r="J500" s="481"/>
      <c r="K500" s="481"/>
      <c r="L500" s="481"/>
      <c r="M500" s="481"/>
      <c r="N500" s="481"/>
      <c r="O500" s="481"/>
      <c r="P500" s="481"/>
      <c r="Q500" s="481"/>
      <c r="R500" s="481"/>
      <c r="S500" s="481"/>
      <c r="T500" s="481"/>
      <c r="U500" s="481"/>
      <c r="V500" s="481"/>
      <c r="W500" s="481"/>
      <c r="X500" s="481"/>
      <c r="Y500" s="481"/>
      <c r="Z500" s="481"/>
      <c r="AA500" s="481"/>
      <c r="AB500" s="481"/>
    </row>
    <row r="501">
      <c r="A501" s="481"/>
      <c r="B501" s="481"/>
      <c r="C501" s="481"/>
      <c r="D501" s="483"/>
      <c r="E501" s="481"/>
      <c r="F501" s="483"/>
      <c r="G501" s="481"/>
      <c r="H501" s="481"/>
      <c r="I501" s="481"/>
      <c r="J501" s="481"/>
      <c r="K501" s="481"/>
      <c r="L501" s="481"/>
      <c r="M501" s="481"/>
      <c r="N501" s="481"/>
      <c r="O501" s="481"/>
      <c r="P501" s="481"/>
      <c r="Q501" s="481"/>
      <c r="R501" s="481"/>
      <c r="S501" s="481"/>
      <c r="T501" s="481"/>
      <c r="U501" s="481"/>
      <c r="V501" s="481"/>
      <c r="W501" s="481"/>
      <c r="X501" s="481"/>
      <c r="Y501" s="481"/>
      <c r="Z501" s="481"/>
      <c r="AA501" s="481"/>
      <c r="AB501" s="481"/>
    </row>
    <row r="502">
      <c r="A502" s="481"/>
      <c r="B502" s="481"/>
      <c r="C502" s="481"/>
      <c r="D502" s="483"/>
      <c r="E502" s="481"/>
      <c r="F502" s="483"/>
      <c r="G502" s="481"/>
      <c r="H502" s="481"/>
      <c r="I502" s="481"/>
      <c r="J502" s="481"/>
      <c r="K502" s="481"/>
      <c r="L502" s="481"/>
      <c r="M502" s="481"/>
      <c r="N502" s="481"/>
      <c r="O502" s="481"/>
      <c r="P502" s="481"/>
      <c r="Q502" s="481"/>
      <c r="R502" s="481"/>
      <c r="S502" s="481"/>
      <c r="T502" s="481"/>
      <c r="U502" s="481"/>
      <c r="V502" s="481"/>
      <c r="W502" s="481"/>
      <c r="X502" s="481"/>
      <c r="Y502" s="481"/>
      <c r="Z502" s="481"/>
      <c r="AA502" s="481"/>
      <c r="AB502" s="481"/>
    </row>
    <row r="503">
      <c r="A503" s="481"/>
      <c r="B503" s="481"/>
      <c r="C503" s="481"/>
      <c r="D503" s="483"/>
      <c r="E503" s="481"/>
      <c r="F503" s="483"/>
      <c r="G503" s="481"/>
      <c r="H503" s="481"/>
      <c r="I503" s="481"/>
      <c r="J503" s="481"/>
      <c r="K503" s="481"/>
      <c r="L503" s="481"/>
      <c r="M503" s="481"/>
      <c r="N503" s="481"/>
      <c r="O503" s="481"/>
      <c r="P503" s="481"/>
      <c r="Q503" s="481"/>
      <c r="R503" s="481"/>
      <c r="S503" s="481"/>
      <c r="T503" s="481"/>
      <c r="U503" s="481"/>
      <c r="V503" s="481"/>
      <c r="W503" s="481"/>
      <c r="X503" s="481"/>
      <c r="Y503" s="481"/>
      <c r="Z503" s="481"/>
      <c r="AA503" s="481"/>
      <c r="AB503" s="481"/>
    </row>
    <row r="504">
      <c r="A504" s="481"/>
      <c r="B504" s="481"/>
      <c r="C504" s="481"/>
      <c r="D504" s="483"/>
      <c r="E504" s="481"/>
      <c r="F504" s="483"/>
      <c r="G504" s="481"/>
      <c r="H504" s="481"/>
      <c r="I504" s="481"/>
      <c r="J504" s="481"/>
      <c r="K504" s="481"/>
      <c r="L504" s="481"/>
      <c r="M504" s="481"/>
      <c r="N504" s="481"/>
      <c r="O504" s="481"/>
      <c r="P504" s="481"/>
      <c r="Q504" s="481"/>
      <c r="R504" s="481"/>
      <c r="S504" s="481"/>
      <c r="T504" s="481"/>
      <c r="U504" s="481"/>
      <c r="V504" s="481"/>
      <c r="W504" s="481"/>
      <c r="X504" s="481"/>
      <c r="Y504" s="481"/>
      <c r="Z504" s="481"/>
      <c r="AA504" s="481"/>
      <c r="AB504" s="481"/>
    </row>
    <row r="505">
      <c r="A505" s="481"/>
      <c r="B505" s="481"/>
      <c r="C505" s="481"/>
      <c r="D505" s="483"/>
      <c r="E505" s="481"/>
      <c r="F505" s="483"/>
      <c r="G505" s="481"/>
      <c r="H505" s="481"/>
      <c r="I505" s="481"/>
      <c r="J505" s="481"/>
      <c r="K505" s="481"/>
      <c r="L505" s="481"/>
      <c r="M505" s="481"/>
      <c r="N505" s="481"/>
      <c r="O505" s="481"/>
      <c r="P505" s="481"/>
      <c r="Q505" s="481"/>
      <c r="R505" s="481"/>
      <c r="S505" s="481"/>
      <c r="T505" s="481"/>
      <c r="U505" s="481"/>
      <c r="V505" s="481"/>
      <c r="W505" s="481"/>
      <c r="X505" s="481"/>
      <c r="Y505" s="481"/>
      <c r="Z505" s="481"/>
      <c r="AA505" s="481"/>
      <c r="AB505" s="481"/>
    </row>
    <row r="506">
      <c r="A506" s="481"/>
      <c r="B506" s="481"/>
      <c r="C506" s="481"/>
      <c r="D506" s="483"/>
      <c r="E506" s="481"/>
      <c r="F506" s="483"/>
      <c r="G506" s="481"/>
      <c r="H506" s="481"/>
      <c r="I506" s="481"/>
      <c r="J506" s="481"/>
      <c r="K506" s="481"/>
      <c r="L506" s="481"/>
      <c r="M506" s="481"/>
      <c r="N506" s="481"/>
      <c r="O506" s="481"/>
      <c r="P506" s="481"/>
      <c r="Q506" s="481"/>
      <c r="R506" s="481"/>
      <c r="S506" s="481"/>
      <c r="T506" s="481"/>
      <c r="U506" s="481"/>
      <c r="V506" s="481"/>
      <c r="W506" s="481"/>
      <c r="X506" s="481"/>
      <c r="Y506" s="481"/>
      <c r="Z506" s="481"/>
      <c r="AA506" s="481"/>
      <c r="AB506" s="481"/>
    </row>
    <row r="507">
      <c r="A507" s="481"/>
      <c r="B507" s="481"/>
      <c r="C507" s="481"/>
      <c r="D507" s="483"/>
      <c r="E507" s="481"/>
      <c r="F507" s="483"/>
      <c r="G507" s="481"/>
      <c r="H507" s="481"/>
      <c r="I507" s="481"/>
      <c r="J507" s="481"/>
      <c r="K507" s="481"/>
      <c r="L507" s="481"/>
      <c r="M507" s="481"/>
      <c r="N507" s="481"/>
      <c r="O507" s="481"/>
      <c r="P507" s="481"/>
      <c r="Q507" s="481"/>
      <c r="R507" s="481"/>
      <c r="S507" s="481"/>
      <c r="T507" s="481"/>
      <c r="U507" s="481"/>
      <c r="V507" s="481"/>
      <c r="W507" s="481"/>
      <c r="X507" s="481"/>
      <c r="Y507" s="481"/>
      <c r="Z507" s="481"/>
      <c r="AA507" s="481"/>
      <c r="AB507" s="481"/>
    </row>
    <row r="508">
      <c r="A508" s="481"/>
      <c r="B508" s="481"/>
      <c r="C508" s="481"/>
      <c r="D508" s="483"/>
      <c r="E508" s="481"/>
      <c r="F508" s="483"/>
      <c r="G508" s="481"/>
      <c r="H508" s="481"/>
      <c r="I508" s="481"/>
      <c r="J508" s="481"/>
      <c r="K508" s="481"/>
      <c r="L508" s="481"/>
      <c r="M508" s="481"/>
      <c r="N508" s="481"/>
      <c r="O508" s="481"/>
      <c r="P508" s="481"/>
      <c r="Q508" s="481"/>
      <c r="R508" s="481"/>
      <c r="S508" s="481"/>
      <c r="T508" s="481"/>
      <c r="U508" s="481"/>
      <c r="V508" s="481"/>
      <c r="W508" s="481"/>
      <c r="X508" s="481"/>
      <c r="Y508" s="481"/>
      <c r="Z508" s="481"/>
      <c r="AA508" s="481"/>
      <c r="AB508" s="481"/>
    </row>
    <row r="509">
      <c r="A509" s="481"/>
      <c r="B509" s="481"/>
      <c r="C509" s="481"/>
      <c r="D509" s="483"/>
      <c r="E509" s="481"/>
      <c r="F509" s="483"/>
      <c r="G509" s="481"/>
      <c r="H509" s="481"/>
      <c r="I509" s="481"/>
      <c r="J509" s="481"/>
      <c r="K509" s="481"/>
      <c r="L509" s="481"/>
      <c r="M509" s="481"/>
      <c r="N509" s="481"/>
      <c r="O509" s="481"/>
      <c r="P509" s="481"/>
      <c r="Q509" s="481"/>
      <c r="R509" s="481"/>
      <c r="S509" s="481"/>
      <c r="T509" s="481"/>
      <c r="U509" s="481"/>
      <c r="V509" s="481"/>
      <c r="W509" s="481"/>
      <c r="X509" s="481"/>
      <c r="Y509" s="481"/>
      <c r="Z509" s="481"/>
      <c r="AA509" s="481"/>
      <c r="AB509" s="481"/>
    </row>
    <row r="510">
      <c r="A510" s="481"/>
      <c r="B510" s="481"/>
      <c r="C510" s="481"/>
      <c r="D510" s="483"/>
      <c r="E510" s="481"/>
      <c r="F510" s="483"/>
      <c r="G510" s="481"/>
      <c r="H510" s="481"/>
      <c r="I510" s="481"/>
      <c r="J510" s="481"/>
      <c r="K510" s="481"/>
      <c r="L510" s="481"/>
      <c r="M510" s="481"/>
      <c r="N510" s="481"/>
      <c r="O510" s="481"/>
      <c r="P510" s="481"/>
      <c r="Q510" s="481"/>
      <c r="R510" s="481"/>
      <c r="S510" s="481"/>
      <c r="T510" s="481"/>
      <c r="U510" s="481"/>
      <c r="V510" s="481"/>
      <c r="W510" s="481"/>
      <c r="X510" s="481"/>
      <c r="Y510" s="481"/>
      <c r="Z510" s="481"/>
      <c r="AA510" s="481"/>
      <c r="AB510" s="481"/>
    </row>
    <row r="511">
      <c r="A511" s="481"/>
      <c r="B511" s="481"/>
      <c r="C511" s="481"/>
      <c r="D511" s="483"/>
      <c r="E511" s="481"/>
      <c r="F511" s="483"/>
      <c r="G511" s="481"/>
      <c r="H511" s="481"/>
      <c r="I511" s="481"/>
      <c r="J511" s="481"/>
      <c r="K511" s="481"/>
      <c r="L511" s="481"/>
      <c r="M511" s="481"/>
      <c r="N511" s="481"/>
      <c r="O511" s="481"/>
      <c r="P511" s="481"/>
      <c r="Q511" s="481"/>
      <c r="R511" s="481"/>
      <c r="S511" s="481"/>
      <c r="T511" s="481"/>
      <c r="U511" s="481"/>
      <c r="V511" s="481"/>
      <c r="W511" s="481"/>
      <c r="X511" s="481"/>
      <c r="Y511" s="481"/>
      <c r="Z511" s="481"/>
      <c r="AA511" s="481"/>
      <c r="AB511" s="481"/>
    </row>
    <row r="512">
      <c r="A512" s="481"/>
      <c r="B512" s="481"/>
      <c r="C512" s="481"/>
      <c r="D512" s="483"/>
      <c r="E512" s="481"/>
      <c r="F512" s="483"/>
      <c r="G512" s="481"/>
      <c r="H512" s="481"/>
      <c r="I512" s="481"/>
      <c r="J512" s="481"/>
      <c r="K512" s="481"/>
      <c r="L512" s="481"/>
      <c r="M512" s="481"/>
      <c r="N512" s="481"/>
      <c r="O512" s="481"/>
      <c r="P512" s="481"/>
      <c r="Q512" s="481"/>
      <c r="R512" s="481"/>
      <c r="S512" s="481"/>
      <c r="T512" s="481"/>
      <c r="U512" s="481"/>
      <c r="V512" s="481"/>
      <c r="W512" s="481"/>
      <c r="X512" s="481"/>
      <c r="Y512" s="481"/>
      <c r="Z512" s="481"/>
      <c r="AA512" s="481"/>
      <c r="AB512" s="481"/>
    </row>
    <row r="513">
      <c r="A513" s="481"/>
      <c r="B513" s="481"/>
      <c r="C513" s="481"/>
      <c r="D513" s="483"/>
      <c r="E513" s="481"/>
      <c r="F513" s="483"/>
      <c r="G513" s="481"/>
      <c r="H513" s="481"/>
      <c r="I513" s="481"/>
      <c r="J513" s="481"/>
      <c r="K513" s="481"/>
      <c r="L513" s="481"/>
      <c r="M513" s="481"/>
      <c r="N513" s="481"/>
      <c r="O513" s="481"/>
      <c r="P513" s="481"/>
      <c r="Q513" s="481"/>
      <c r="R513" s="481"/>
      <c r="S513" s="481"/>
      <c r="T513" s="481"/>
      <c r="U513" s="481"/>
      <c r="V513" s="481"/>
      <c r="W513" s="481"/>
      <c r="X513" s="481"/>
      <c r="Y513" s="481"/>
      <c r="Z513" s="481"/>
      <c r="AA513" s="481"/>
      <c r="AB513" s="481"/>
    </row>
    <row r="514">
      <c r="A514" s="481"/>
      <c r="B514" s="481"/>
      <c r="C514" s="481"/>
      <c r="D514" s="483"/>
      <c r="E514" s="481"/>
      <c r="F514" s="483"/>
      <c r="G514" s="481"/>
      <c r="H514" s="481"/>
      <c r="I514" s="481"/>
      <c r="J514" s="481"/>
      <c r="K514" s="481"/>
      <c r="L514" s="481"/>
      <c r="M514" s="481"/>
      <c r="N514" s="481"/>
      <c r="O514" s="481"/>
      <c r="P514" s="481"/>
      <c r="Q514" s="481"/>
      <c r="R514" s="481"/>
      <c r="S514" s="481"/>
      <c r="T514" s="481"/>
      <c r="U514" s="481"/>
      <c r="V514" s="481"/>
      <c r="W514" s="481"/>
      <c r="X514" s="481"/>
      <c r="Y514" s="481"/>
      <c r="Z514" s="481"/>
      <c r="AA514" s="481"/>
      <c r="AB514" s="481"/>
    </row>
    <row r="515">
      <c r="A515" s="481"/>
      <c r="B515" s="481"/>
      <c r="C515" s="481"/>
      <c r="D515" s="483"/>
      <c r="E515" s="481"/>
      <c r="F515" s="483"/>
      <c r="G515" s="481"/>
      <c r="H515" s="481"/>
      <c r="I515" s="481"/>
      <c r="J515" s="481"/>
      <c r="K515" s="481"/>
      <c r="L515" s="481"/>
      <c r="M515" s="481"/>
      <c r="N515" s="481"/>
      <c r="O515" s="481"/>
      <c r="P515" s="481"/>
      <c r="Q515" s="481"/>
      <c r="R515" s="481"/>
      <c r="S515" s="481"/>
      <c r="T515" s="481"/>
      <c r="U515" s="481"/>
      <c r="V515" s="481"/>
      <c r="W515" s="481"/>
      <c r="X515" s="481"/>
      <c r="Y515" s="481"/>
      <c r="Z515" s="481"/>
      <c r="AA515" s="481"/>
      <c r="AB515" s="481"/>
    </row>
    <row r="516">
      <c r="A516" s="481"/>
      <c r="B516" s="481"/>
      <c r="C516" s="481"/>
      <c r="D516" s="483"/>
      <c r="E516" s="481"/>
      <c r="F516" s="483"/>
      <c r="G516" s="481"/>
      <c r="H516" s="481"/>
      <c r="I516" s="481"/>
      <c r="J516" s="481"/>
      <c r="K516" s="481"/>
      <c r="L516" s="481"/>
      <c r="M516" s="481"/>
      <c r="N516" s="481"/>
      <c r="O516" s="481"/>
      <c r="P516" s="481"/>
      <c r="Q516" s="481"/>
      <c r="R516" s="481"/>
      <c r="S516" s="481"/>
      <c r="T516" s="481"/>
      <c r="U516" s="481"/>
      <c r="V516" s="481"/>
      <c r="W516" s="481"/>
      <c r="X516" s="481"/>
      <c r="Y516" s="481"/>
      <c r="Z516" s="481"/>
      <c r="AA516" s="481"/>
      <c r="AB516" s="481"/>
    </row>
    <row r="517">
      <c r="A517" s="481"/>
      <c r="B517" s="481"/>
      <c r="C517" s="481"/>
      <c r="D517" s="483"/>
      <c r="E517" s="481"/>
      <c r="F517" s="483"/>
      <c r="G517" s="481"/>
      <c r="H517" s="481"/>
      <c r="I517" s="481"/>
      <c r="J517" s="481"/>
      <c r="K517" s="481"/>
      <c r="L517" s="481"/>
      <c r="M517" s="481"/>
      <c r="N517" s="481"/>
      <c r="O517" s="481"/>
      <c r="P517" s="481"/>
      <c r="Q517" s="481"/>
      <c r="R517" s="481"/>
      <c r="S517" s="481"/>
      <c r="T517" s="481"/>
      <c r="U517" s="481"/>
      <c r="V517" s="481"/>
      <c r="W517" s="481"/>
      <c r="X517" s="481"/>
      <c r="Y517" s="481"/>
      <c r="Z517" s="481"/>
      <c r="AA517" s="481"/>
      <c r="AB517" s="481"/>
    </row>
    <row r="518">
      <c r="A518" s="481"/>
      <c r="B518" s="481"/>
      <c r="C518" s="481"/>
      <c r="D518" s="483"/>
      <c r="E518" s="481"/>
      <c r="F518" s="483"/>
      <c r="G518" s="481"/>
      <c r="H518" s="481"/>
      <c r="I518" s="481"/>
      <c r="J518" s="481"/>
      <c r="K518" s="481"/>
      <c r="L518" s="481"/>
      <c r="M518" s="481"/>
      <c r="N518" s="481"/>
      <c r="O518" s="481"/>
      <c r="P518" s="481"/>
      <c r="Q518" s="481"/>
      <c r="R518" s="481"/>
      <c r="S518" s="481"/>
      <c r="T518" s="481"/>
      <c r="U518" s="481"/>
      <c r="V518" s="481"/>
      <c r="W518" s="481"/>
      <c r="X518" s="481"/>
      <c r="Y518" s="481"/>
      <c r="Z518" s="481"/>
      <c r="AA518" s="481"/>
      <c r="AB518" s="481"/>
    </row>
    <row r="519">
      <c r="A519" s="481"/>
      <c r="B519" s="481"/>
      <c r="C519" s="481"/>
      <c r="D519" s="483"/>
      <c r="E519" s="481"/>
      <c r="F519" s="483"/>
      <c r="G519" s="481"/>
      <c r="H519" s="481"/>
      <c r="I519" s="481"/>
      <c r="J519" s="481"/>
      <c r="K519" s="481"/>
      <c r="L519" s="481"/>
      <c r="M519" s="481"/>
      <c r="N519" s="481"/>
      <c r="O519" s="481"/>
      <c r="P519" s="481"/>
      <c r="Q519" s="481"/>
      <c r="R519" s="481"/>
      <c r="S519" s="481"/>
      <c r="T519" s="481"/>
      <c r="U519" s="481"/>
      <c r="V519" s="481"/>
      <c r="W519" s="481"/>
      <c r="X519" s="481"/>
      <c r="Y519" s="481"/>
      <c r="Z519" s="481"/>
      <c r="AA519" s="481"/>
      <c r="AB519" s="481"/>
    </row>
    <row r="520">
      <c r="A520" s="481"/>
      <c r="B520" s="481"/>
      <c r="C520" s="481"/>
      <c r="D520" s="483"/>
      <c r="E520" s="481"/>
      <c r="F520" s="483"/>
      <c r="G520" s="481"/>
      <c r="H520" s="481"/>
      <c r="I520" s="481"/>
      <c r="J520" s="481"/>
      <c r="K520" s="481"/>
      <c r="L520" s="481"/>
      <c r="M520" s="481"/>
      <c r="N520" s="481"/>
      <c r="O520" s="481"/>
      <c r="P520" s="481"/>
      <c r="Q520" s="481"/>
      <c r="R520" s="481"/>
      <c r="S520" s="481"/>
      <c r="T520" s="481"/>
      <c r="U520" s="481"/>
      <c r="V520" s="481"/>
      <c r="W520" s="481"/>
      <c r="X520" s="481"/>
      <c r="Y520" s="481"/>
      <c r="Z520" s="481"/>
      <c r="AA520" s="481"/>
      <c r="AB520" s="481"/>
    </row>
    <row r="521">
      <c r="A521" s="481"/>
      <c r="B521" s="481"/>
      <c r="C521" s="481"/>
      <c r="D521" s="483"/>
      <c r="E521" s="481"/>
      <c r="F521" s="483"/>
      <c r="G521" s="481"/>
      <c r="H521" s="481"/>
      <c r="I521" s="481"/>
      <c r="J521" s="481"/>
      <c r="K521" s="481"/>
      <c r="L521" s="481"/>
      <c r="M521" s="481"/>
      <c r="N521" s="481"/>
      <c r="O521" s="481"/>
      <c r="P521" s="481"/>
      <c r="Q521" s="481"/>
      <c r="R521" s="481"/>
      <c r="S521" s="481"/>
      <c r="T521" s="481"/>
      <c r="U521" s="481"/>
      <c r="V521" s="481"/>
      <c r="W521" s="481"/>
      <c r="X521" s="481"/>
      <c r="Y521" s="481"/>
      <c r="Z521" s="481"/>
      <c r="AA521" s="481"/>
      <c r="AB521" s="481"/>
    </row>
    <row r="522">
      <c r="A522" s="481"/>
      <c r="B522" s="481"/>
      <c r="C522" s="481"/>
      <c r="D522" s="483"/>
      <c r="E522" s="481"/>
      <c r="F522" s="483"/>
      <c r="G522" s="481"/>
      <c r="H522" s="481"/>
      <c r="I522" s="481"/>
      <c r="J522" s="481"/>
      <c r="K522" s="481"/>
      <c r="L522" s="481"/>
      <c r="M522" s="481"/>
      <c r="N522" s="481"/>
      <c r="O522" s="481"/>
      <c r="P522" s="481"/>
      <c r="Q522" s="481"/>
      <c r="R522" s="481"/>
      <c r="S522" s="481"/>
      <c r="T522" s="481"/>
      <c r="U522" s="481"/>
      <c r="V522" s="481"/>
      <c r="W522" s="481"/>
      <c r="X522" s="481"/>
      <c r="Y522" s="481"/>
      <c r="Z522" s="481"/>
      <c r="AA522" s="481"/>
      <c r="AB522" s="481"/>
    </row>
    <row r="523">
      <c r="A523" s="481"/>
      <c r="B523" s="481"/>
      <c r="C523" s="481"/>
      <c r="D523" s="483"/>
      <c r="E523" s="481"/>
      <c r="F523" s="483"/>
      <c r="G523" s="481"/>
      <c r="H523" s="481"/>
      <c r="I523" s="481"/>
      <c r="J523" s="481"/>
      <c r="K523" s="481"/>
      <c r="L523" s="481"/>
      <c r="M523" s="481"/>
      <c r="N523" s="481"/>
      <c r="O523" s="481"/>
      <c r="P523" s="481"/>
      <c r="Q523" s="481"/>
      <c r="R523" s="481"/>
      <c r="S523" s="481"/>
      <c r="T523" s="481"/>
      <c r="U523" s="481"/>
      <c r="V523" s="481"/>
      <c r="W523" s="481"/>
      <c r="X523" s="481"/>
      <c r="Y523" s="481"/>
      <c r="Z523" s="481"/>
      <c r="AA523" s="481"/>
      <c r="AB523" s="481"/>
    </row>
    <row r="524">
      <c r="A524" s="481"/>
      <c r="B524" s="481"/>
      <c r="C524" s="481"/>
      <c r="D524" s="483"/>
      <c r="E524" s="481"/>
      <c r="F524" s="483"/>
      <c r="G524" s="481"/>
      <c r="H524" s="481"/>
      <c r="I524" s="481"/>
      <c r="J524" s="481"/>
      <c r="K524" s="481"/>
      <c r="L524" s="481"/>
      <c r="M524" s="481"/>
      <c r="N524" s="481"/>
      <c r="O524" s="481"/>
      <c r="P524" s="481"/>
      <c r="Q524" s="481"/>
      <c r="R524" s="481"/>
      <c r="S524" s="481"/>
      <c r="T524" s="481"/>
      <c r="U524" s="481"/>
      <c r="V524" s="481"/>
      <c r="W524" s="481"/>
      <c r="X524" s="481"/>
      <c r="Y524" s="481"/>
      <c r="Z524" s="481"/>
      <c r="AA524" s="481"/>
      <c r="AB524" s="481"/>
    </row>
    <row r="525">
      <c r="A525" s="481"/>
      <c r="B525" s="481"/>
      <c r="C525" s="481"/>
      <c r="D525" s="483"/>
      <c r="E525" s="481"/>
      <c r="F525" s="483"/>
      <c r="G525" s="481"/>
      <c r="H525" s="481"/>
      <c r="I525" s="481"/>
      <c r="J525" s="481"/>
      <c r="K525" s="481"/>
      <c r="L525" s="481"/>
      <c r="M525" s="481"/>
      <c r="N525" s="481"/>
      <c r="O525" s="481"/>
      <c r="P525" s="481"/>
      <c r="Q525" s="481"/>
      <c r="R525" s="481"/>
      <c r="S525" s="481"/>
      <c r="T525" s="481"/>
      <c r="U525" s="481"/>
      <c r="V525" s="481"/>
      <c r="W525" s="481"/>
      <c r="X525" s="481"/>
      <c r="Y525" s="481"/>
      <c r="Z525" s="481"/>
      <c r="AA525" s="481"/>
      <c r="AB525" s="481"/>
    </row>
    <row r="526">
      <c r="A526" s="481"/>
      <c r="B526" s="481"/>
      <c r="C526" s="481"/>
      <c r="D526" s="483"/>
      <c r="E526" s="481"/>
      <c r="F526" s="483"/>
      <c r="G526" s="481"/>
      <c r="H526" s="481"/>
      <c r="I526" s="481"/>
      <c r="J526" s="481"/>
      <c r="K526" s="481"/>
      <c r="L526" s="481"/>
      <c r="M526" s="481"/>
      <c r="N526" s="481"/>
      <c r="O526" s="481"/>
      <c r="P526" s="481"/>
      <c r="Q526" s="481"/>
      <c r="R526" s="481"/>
      <c r="S526" s="481"/>
      <c r="T526" s="481"/>
      <c r="U526" s="481"/>
      <c r="V526" s="481"/>
      <c r="W526" s="481"/>
      <c r="X526" s="481"/>
      <c r="Y526" s="481"/>
      <c r="Z526" s="481"/>
      <c r="AA526" s="481"/>
      <c r="AB526" s="481"/>
    </row>
    <row r="527">
      <c r="A527" s="481"/>
      <c r="B527" s="481"/>
      <c r="C527" s="481"/>
      <c r="D527" s="483"/>
      <c r="E527" s="481"/>
      <c r="F527" s="483"/>
      <c r="G527" s="481"/>
      <c r="H527" s="481"/>
      <c r="I527" s="481"/>
      <c r="J527" s="481"/>
      <c r="K527" s="481"/>
      <c r="L527" s="481"/>
      <c r="M527" s="481"/>
      <c r="N527" s="481"/>
      <c r="O527" s="481"/>
      <c r="P527" s="481"/>
      <c r="Q527" s="481"/>
      <c r="R527" s="481"/>
      <c r="S527" s="481"/>
      <c r="T527" s="481"/>
      <c r="U527" s="481"/>
      <c r="V527" s="481"/>
      <c r="W527" s="481"/>
      <c r="X527" s="481"/>
      <c r="Y527" s="481"/>
      <c r="Z527" s="481"/>
      <c r="AA527" s="481"/>
      <c r="AB527" s="481"/>
    </row>
    <row r="528">
      <c r="A528" s="481"/>
      <c r="B528" s="481"/>
      <c r="C528" s="481"/>
      <c r="D528" s="483"/>
      <c r="E528" s="481"/>
      <c r="F528" s="483"/>
      <c r="G528" s="481"/>
      <c r="H528" s="481"/>
      <c r="I528" s="481"/>
      <c r="J528" s="481"/>
      <c r="K528" s="481"/>
      <c r="L528" s="481"/>
      <c r="M528" s="481"/>
      <c r="N528" s="481"/>
      <c r="O528" s="481"/>
      <c r="P528" s="481"/>
      <c r="Q528" s="481"/>
      <c r="R528" s="481"/>
      <c r="S528" s="481"/>
      <c r="T528" s="481"/>
      <c r="U528" s="481"/>
      <c r="V528" s="481"/>
      <c r="W528" s="481"/>
      <c r="X528" s="481"/>
      <c r="Y528" s="481"/>
      <c r="Z528" s="481"/>
      <c r="AA528" s="481"/>
      <c r="AB528" s="481"/>
    </row>
    <row r="529">
      <c r="A529" s="481"/>
      <c r="B529" s="481"/>
      <c r="C529" s="481"/>
      <c r="D529" s="483"/>
      <c r="E529" s="481"/>
      <c r="F529" s="483"/>
      <c r="G529" s="481"/>
      <c r="H529" s="481"/>
      <c r="I529" s="481"/>
      <c r="J529" s="481"/>
      <c r="K529" s="481"/>
      <c r="L529" s="481"/>
      <c r="M529" s="481"/>
      <c r="N529" s="481"/>
      <c r="O529" s="481"/>
      <c r="P529" s="481"/>
      <c r="Q529" s="481"/>
      <c r="R529" s="481"/>
      <c r="S529" s="481"/>
      <c r="T529" s="481"/>
      <c r="U529" s="481"/>
      <c r="V529" s="481"/>
      <c r="W529" s="481"/>
      <c r="X529" s="481"/>
      <c r="Y529" s="481"/>
      <c r="Z529" s="481"/>
      <c r="AA529" s="481"/>
      <c r="AB529" s="481"/>
    </row>
    <row r="530">
      <c r="A530" s="481"/>
      <c r="B530" s="481"/>
      <c r="C530" s="481"/>
      <c r="D530" s="483"/>
      <c r="E530" s="481"/>
      <c r="F530" s="483"/>
      <c r="G530" s="481"/>
      <c r="H530" s="481"/>
      <c r="I530" s="481"/>
      <c r="J530" s="481"/>
      <c r="K530" s="481"/>
      <c r="L530" s="481"/>
      <c r="M530" s="481"/>
      <c r="N530" s="481"/>
      <c r="O530" s="481"/>
      <c r="P530" s="481"/>
      <c r="Q530" s="481"/>
      <c r="R530" s="481"/>
      <c r="S530" s="481"/>
      <c r="T530" s="481"/>
      <c r="U530" s="481"/>
      <c r="V530" s="481"/>
      <c r="W530" s="481"/>
      <c r="X530" s="481"/>
      <c r="Y530" s="481"/>
      <c r="Z530" s="481"/>
      <c r="AA530" s="481"/>
      <c r="AB530" s="481"/>
    </row>
    <row r="531">
      <c r="A531" s="481"/>
      <c r="B531" s="481"/>
      <c r="C531" s="481"/>
      <c r="D531" s="483"/>
      <c r="E531" s="481"/>
      <c r="F531" s="483"/>
      <c r="G531" s="481"/>
      <c r="H531" s="481"/>
      <c r="I531" s="481"/>
      <c r="J531" s="481"/>
      <c r="K531" s="481"/>
      <c r="L531" s="481"/>
      <c r="M531" s="481"/>
      <c r="N531" s="481"/>
      <c r="O531" s="481"/>
      <c r="P531" s="481"/>
      <c r="Q531" s="481"/>
      <c r="R531" s="481"/>
      <c r="S531" s="481"/>
      <c r="T531" s="481"/>
      <c r="U531" s="481"/>
      <c r="V531" s="481"/>
      <c r="W531" s="481"/>
      <c r="X531" s="481"/>
      <c r="Y531" s="481"/>
      <c r="Z531" s="481"/>
      <c r="AA531" s="481"/>
      <c r="AB531" s="481"/>
    </row>
    <row r="532">
      <c r="A532" s="481"/>
      <c r="B532" s="481"/>
      <c r="C532" s="481"/>
      <c r="D532" s="483"/>
      <c r="E532" s="481"/>
      <c r="F532" s="483"/>
      <c r="G532" s="481"/>
      <c r="H532" s="481"/>
      <c r="I532" s="481"/>
      <c r="J532" s="481"/>
      <c r="K532" s="481"/>
      <c r="L532" s="481"/>
      <c r="M532" s="481"/>
      <c r="N532" s="481"/>
      <c r="O532" s="481"/>
      <c r="P532" s="481"/>
      <c r="Q532" s="481"/>
      <c r="R532" s="481"/>
      <c r="S532" s="481"/>
      <c r="T532" s="481"/>
      <c r="U532" s="481"/>
      <c r="V532" s="481"/>
      <c r="W532" s="481"/>
      <c r="X532" s="481"/>
      <c r="Y532" s="481"/>
      <c r="Z532" s="481"/>
      <c r="AA532" s="481"/>
      <c r="AB532" s="481"/>
    </row>
    <row r="533">
      <c r="A533" s="481"/>
      <c r="B533" s="481"/>
      <c r="C533" s="481"/>
      <c r="D533" s="483"/>
      <c r="E533" s="481"/>
      <c r="F533" s="483"/>
      <c r="G533" s="481"/>
      <c r="H533" s="481"/>
      <c r="I533" s="481"/>
      <c r="J533" s="481"/>
      <c r="K533" s="481"/>
      <c r="L533" s="481"/>
      <c r="M533" s="481"/>
      <c r="N533" s="481"/>
      <c r="O533" s="481"/>
      <c r="P533" s="481"/>
      <c r="Q533" s="481"/>
      <c r="R533" s="481"/>
      <c r="S533" s="481"/>
      <c r="T533" s="481"/>
      <c r="U533" s="481"/>
      <c r="V533" s="481"/>
      <c r="W533" s="481"/>
      <c r="X533" s="481"/>
      <c r="Y533" s="481"/>
      <c r="Z533" s="481"/>
      <c r="AA533" s="481"/>
      <c r="AB533" s="481"/>
    </row>
    <row r="534">
      <c r="A534" s="481"/>
      <c r="B534" s="481"/>
      <c r="C534" s="481"/>
      <c r="D534" s="483"/>
      <c r="E534" s="481"/>
      <c r="F534" s="483"/>
      <c r="G534" s="481"/>
      <c r="H534" s="481"/>
      <c r="I534" s="481"/>
      <c r="J534" s="481"/>
      <c r="K534" s="481"/>
      <c r="L534" s="481"/>
      <c r="M534" s="481"/>
      <c r="N534" s="481"/>
      <c r="O534" s="481"/>
      <c r="P534" s="481"/>
      <c r="Q534" s="481"/>
      <c r="R534" s="481"/>
      <c r="S534" s="481"/>
      <c r="T534" s="481"/>
      <c r="U534" s="481"/>
      <c r="V534" s="481"/>
      <c r="W534" s="481"/>
      <c r="X534" s="481"/>
      <c r="Y534" s="481"/>
      <c r="Z534" s="481"/>
      <c r="AA534" s="481"/>
      <c r="AB534" s="481"/>
    </row>
    <row r="535">
      <c r="A535" s="481"/>
      <c r="B535" s="481"/>
      <c r="C535" s="481"/>
      <c r="D535" s="483"/>
      <c r="E535" s="481"/>
      <c r="F535" s="483"/>
      <c r="G535" s="481"/>
      <c r="H535" s="481"/>
      <c r="I535" s="481"/>
      <c r="J535" s="481"/>
      <c r="K535" s="481"/>
      <c r="L535" s="481"/>
      <c r="M535" s="481"/>
      <c r="N535" s="481"/>
      <c r="O535" s="481"/>
      <c r="P535" s="481"/>
      <c r="Q535" s="481"/>
      <c r="R535" s="481"/>
      <c r="S535" s="481"/>
      <c r="T535" s="481"/>
      <c r="U535" s="481"/>
      <c r="V535" s="481"/>
      <c r="W535" s="481"/>
      <c r="X535" s="481"/>
      <c r="Y535" s="481"/>
      <c r="Z535" s="481"/>
      <c r="AA535" s="481"/>
      <c r="AB535" s="481"/>
    </row>
    <row r="536">
      <c r="A536" s="481"/>
      <c r="B536" s="481"/>
      <c r="C536" s="481"/>
      <c r="D536" s="483"/>
      <c r="E536" s="481"/>
      <c r="F536" s="483"/>
      <c r="G536" s="481"/>
      <c r="H536" s="481"/>
      <c r="I536" s="481"/>
      <c r="J536" s="481"/>
      <c r="K536" s="481"/>
      <c r="L536" s="481"/>
      <c r="M536" s="481"/>
      <c r="N536" s="481"/>
      <c r="O536" s="481"/>
      <c r="P536" s="481"/>
      <c r="Q536" s="481"/>
      <c r="R536" s="481"/>
      <c r="S536" s="481"/>
      <c r="T536" s="481"/>
      <c r="U536" s="481"/>
      <c r="V536" s="481"/>
      <c r="W536" s="481"/>
      <c r="X536" s="481"/>
      <c r="Y536" s="481"/>
      <c r="Z536" s="481"/>
      <c r="AA536" s="481"/>
      <c r="AB536" s="481"/>
    </row>
    <row r="537">
      <c r="A537" s="481"/>
      <c r="B537" s="481"/>
      <c r="C537" s="481"/>
      <c r="D537" s="483"/>
      <c r="E537" s="481"/>
      <c r="F537" s="483"/>
      <c r="G537" s="481"/>
      <c r="H537" s="481"/>
      <c r="I537" s="481"/>
      <c r="J537" s="481"/>
      <c r="K537" s="481"/>
      <c r="L537" s="481"/>
      <c r="M537" s="481"/>
      <c r="N537" s="481"/>
      <c r="O537" s="481"/>
      <c r="P537" s="481"/>
      <c r="Q537" s="481"/>
      <c r="R537" s="481"/>
      <c r="S537" s="481"/>
      <c r="T537" s="481"/>
      <c r="U537" s="481"/>
      <c r="V537" s="481"/>
      <c r="W537" s="481"/>
      <c r="X537" s="481"/>
      <c r="Y537" s="481"/>
      <c r="Z537" s="481"/>
      <c r="AA537" s="481"/>
      <c r="AB537" s="481"/>
    </row>
    <row r="538">
      <c r="A538" s="481"/>
      <c r="B538" s="481"/>
      <c r="C538" s="481"/>
      <c r="D538" s="483"/>
      <c r="E538" s="481"/>
      <c r="F538" s="483"/>
      <c r="G538" s="481"/>
      <c r="H538" s="481"/>
      <c r="I538" s="481"/>
      <c r="J538" s="481"/>
      <c r="K538" s="481"/>
      <c r="L538" s="481"/>
      <c r="M538" s="481"/>
      <c r="N538" s="481"/>
      <c r="O538" s="481"/>
      <c r="P538" s="481"/>
      <c r="Q538" s="481"/>
      <c r="R538" s="481"/>
      <c r="S538" s="481"/>
      <c r="T538" s="481"/>
      <c r="U538" s="481"/>
      <c r="V538" s="481"/>
      <c r="W538" s="481"/>
      <c r="X538" s="481"/>
      <c r="Y538" s="481"/>
      <c r="Z538" s="481"/>
      <c r="AA538" s="481"/>
      <c r="AB538" s="481"/>
    </row>
    <row r="539">
      <c r="A539" s="481"/>
      <c r="B539" s="481"/>
      <c r="C539" s="481"/>
      <c r="D539" s="483"/>
      <c r="E539" s="481"/>
      <c r="F539" s="483"/>
      <c r="G539" s="481"/>
      <c r="H539" s="481"/>
      <c r="I539" s="481"/>
      <c r="J539" s="481"/>
      <c r="K539" s="481"/>
      <c r="L539" s="481"/>
      <c r="M539" s="481"/>
      <c r="N539" s="481"/>
      <c r="O539" s="481"/>
      <c r="P539" s="481"/>
      <c r="Q539" s="481"/>
      <c r="R539" s="481"/>
      <c r="S539" s="481"/>
      <c r="T539" s="481"/>
      <c r="U539" s="481"/>
      <c r="V539" s="481"/>
      <c r="W539" s="481"/>
      <c r="X539" s="481"/>
      <c r="Y539" s="481"/>
      <c r="Z539" s="481"/>
      <c r="AA539" s="481"/>
      <c r="AB539" s="481"/>
    </row>
    <row r="540">
      <c r="A540" s="481"/>
      <c r="B540" s="481"/>
      <c r="C540" s="481"/>
      <c r="D540" s="483"/>
      <c r="E540" s="481"/>
      <c r="F540" s="483"/>
      <c r="G540" s="481"/>
      <c r="H540" s="481"/>
      <c r="I540" s="481"/>
      <c r="J540" s="481"/>
      <c r="K540" s="481"/>
      <c r="L540" s="481"/>
      <c r="M540" s="481"/>
      <c r="N540" s="481"/>
      <c r="O540" s="481"/>
      <c r="P540" s="481"/>
      <c r="Q540" s="481"/>
      <c r="R540" s="481"/>
      <c r="S540" s="481"/>
      <c r="T540" s="481"/>
      <c r="U540" s="481"/>
      <c r="V540" s="481"/>
      <c r="W540" s="481"/>
      <c r="X540" s="481"/>
      <c r="Y540" s="481"/>
      <c r="Z540" s="481"/>
      <c r="AA540" s="481"/>
      <c r="AB540" s="481"/>
    </row>
    <row r="541">
      <c r="A541" s="481"/>
      <c r="B541" s="481"/>
      <c r="C541" s="481"/>
      <c r="D541" s="483"/>
      <c r="E541" s="481"/>
      <c r="F541" s="483"/>
      <c r="G541" s="481"/>
      <c r="H541" s="481"/>
      <c r="I541" s="481"/>
      <c r="J541" s="481"/>
      <c r="K541" s="481"/>
      <c r="L541" s="481"/>
      <c r="M541" s="481"/>
      <c r="N541" s="481"/>
      <c r="O541" s="481"/>
      <c r="P541" s="481"/>
      <c r="Q541" s="481"/>
      <c r="R541" s="481"/>
      <c r="S541" s="481"/>
      <c r="T541" s="481"/>
      <c r="U541" s="481"/>
      <c r="V541" s="481"/>
      <c r="W541" s="481"/>
      <c r="X541" s="481"/>
      <c r="Y541" s="481"/>
      <c r="Z541" s="481"/>
      <c r="AA541" s="481"/>
      <c r="AB541" s="481"/>
    </row>
    <row r="542">
      <c r="A542" s="481"/>
      <c r="B542" s="481"/>
      <c r="C542" s="481"/>
      <c r="D542" s="483"/>
      <c r="E542" s="481"/>
      <c r="F542" s="483"/>
      <c r="G542" s="481"/>
      <c r="H542" s="481"/>
      <c r="I542" s="481"/>
      <c r="J542" s="481"/>
      <c r="K542" s="481"/>
      <c r="L542" s="481"/>
      <c r="M542" s="481"/>
      <c r="N542" s="481"/>
      <c r="O542" s="481"/>
      <c r="P542" s="481"/>
      <c r="Q542" s="481"/>
      <c r="R542" s="481"/>
      <c r="S542" s="481"/>
      <c r="T542" s="481"/>
      <c r="U542" s="481"/>
      <c r="V542" s="481"/>
      <c r="W542" s="481"/>
      <c r="X542" s="481"/>
      <c r="Y542" s="481"/>
      <c r="Z542" s="481"/>
      <c r="AA542" s="481"/>
      <c r="AB542" s="481"/>
    </row>
    <row r="543">
      <c r="A543" s="481"/>
      <c r="B543" s="481"/>
      <c r="C543" s="481"/>
      <c r="D543" s="483"/>
      <c r="E543" s="481"/>
      <c r="F543" s="483"/>
      <c r="G543" s="481"/>
      <c r="H543" s="481"/>
      <c r="I543" s="481"/>
      <c r="J543" s="481"/>
      <c r="K543" s="481"/>
      <c r="L543" s="481"/>
      <c r="M543" s="481"/>
      <c r="N543" s="481"/>
      <c r="O543" s="481"/>
      <c r="P543" s="481"/>
      <c r="Q543" s="481"/>
      <c r="R543" s="481"/>
      <c r="S543" s="481"/>
      <c r="T543" s="481"/>
      <c r="U543" s="481"/>
      <c r="V543" s="481"/>
      <c r="W543" s="481"/>
      <c r="X543" s="481"/>
      <c r="Y543" s="481"/>
      <c r="Z543" s="481"/>
      <c r="AA543" s="481"/>
      <c r="AB543" s="481"/>
    </row>
    <row r="544">
      <c r="A544" s="481"/>
      <c r="B544" s="481"/>
      <c r="C544" s="481"/>
      <c r="D544" s="483"/>
      <c r="E544" s="481"/>
      <c r="F544" s="483"/>
      <c r="G544" s="481"/>
      <c r="H544" s="481"/>
      <c r="I544" s="481"/>
      <c r="J544" s="481"/>
      <c r="K544" s="481"/>
      <c r="L544" s="481"/>
      <c r="M544" s="481"/>
      <c r="N544" s="481"/>
      <c r="O544" s="481"/>
      <c r="P544" s="481"/>
      <c r="Q544" s="481"/>
      <c r="R544" s="481"/>
      <c r="S544" s="481"/>
      <c r="T544" s="481"/>
      <c r="U544" s="481"/>
      <c r="V544" s="481"/>
      <c r="W544" s="481"/>
      <c r="X544" s="481"/>
      <c r="Y544" s="481"/>
      <c r="Z544" s="481"/>
      <c r="AA544" s="481"/>
      <c r="AB544" s="481"/>
    </row>
    <row r="545">
      <c r="A545" s="481"/>
      <c r="B545" s="481"/>
      <c r="C545" s="481"/>
      <c r="D545" s="483"/>
      <c r="E545" s="481"/>
      <c r="F545" s="483"/>
      <c r="G545" s="481"/>
      <c r="H545" s="481"/>
      <c r="I545" s="481"/>
      <c r="J545" s="481"/>
      <c r="K545" s="481"/>
      <c r="L545" s="481"/>
      <c r="M545" s="481"/>
      <c r="N545" s="481"/>
      <c r="O545" s="481"/>
      <c r="P545" s="481"/>
      <c r="Q545" s="481"/>
      <c r="R545" s="481"/>
      <c r="S545" s="481"/>
      <c r="T545" s="481"/>
      <c r="U545" s="481"/>
      <c r="V545" s="481"/>
      <c r="W545" s="481"/>
      <c r="X545" s="481"/>
      <c r="Y545" s="481"/>
      <c r="Z545" s="481"/>
      <c r="AA545" s="481"/>
      <c r="AB545" s="481"/>
    </row>
    <row r="546">
      <c r="A546" s="481"/>
      <c r="B546" s="481"/>
      <c r="C546" s="481"/>
      <c r="D546" s="483"/>
      <c r="E546" s="481"/>
      <c r="F546" s="483"/>
      <c r="G546" s="481"/>
      <c r="H546" s="481"/>
      <c r="I546" s="481"/>
      <c r="J546" s="481"/>
      <c r="K546" s="481"/>
      <c r="L546" s="481"/>
      <c r="M546" s="481"/>
      <c r="N546" s="481"/>
      <c r="O546" s="481"/>
      <c r="P546" s="481"/>
      <c r="Q546" s="481"/>
      <c r="R546" s="481"/>
      <c r="S546" s="481"/>
      <c r="T546" s="481"/>
      <c r="U546" s="481"/>
      <c r="V546" s="481"/>
      <c r="W546" s="481"/>
      <c r="X546" s="481"/>
      <c r="Y546" s="481"/>
      <c r="Z546" s="481"/>
      <c r="AA546" s="481"/>
      <c r="AB546" s="481"/>
    </row>
    <row r="547">
      <c r="A547" s="481"/>
      <c r="B547" s="481"/>
      <c r="C547" s="481"/>
      <c r="D547" s="483"/>
      <c r="E547" s="481"/>
      <c r="F547" s="483"/>
      <c r="G547" s="481"/>
      <c r="H547" s="481"/>
      <c r="I547" s="481"/>
      <c r="J547" s="481"/>
      <c r="K547" s="481"/>
      <c r="L547" s="481"/>
      <c r="M547" s="481"/>
      <c r="N547" s="481"/>
      <c r="O547" s="481"/>
      <c r="P547" s="481"/>
      <c r="Q547" s="481"/>
      <c r="R547" s="481"/>
      <c r="S547" s="481"/>
      <c r="T547" s="481"/>
      <c r="U547" s="481"/>
      <c r="V547" s="481"/>
      <c r="W547" s="481"/>
      <c r="X547" s="481"/>
      <c r="Y547" s="481"/>
      <c r="Z547" s="481"/>
      <c r="AA547" s="481"/>
      <c r="AB547" s="481"/>
    </row>
    <row r="548">
      <c r="A548" s="481"/>
      <c r="B548" s="481"/>
      <c r="C548" s="481"/>
      <c r="D548" s="483"/>
      <c r="E548" s="481"/>
      <c r="F548" s="483"/>
      <c r="G548" s="481"/>
      <c r="H548" s="481"/>
      <c r="I548" s="481"/>
      <c r="J548" s="481"/>
      <c r="K548" s="481"/>
      <c r="L548" s="481"/>
      <c r="M548" s="481"/>
      <c r="N548" s="481"/>
      <c r="O548" s="481"/>
      <c r="P548" s="481"/>
      <c r="Q548" s="481"/>
      <c r="R548" s="481"/>
      <c r="S548" s="481"/>
      <c r="T548" s="481"/>
      <c r="U548" s="481"/>
      <c r="V548" s="481"/>
      <c r="W548" s="481"/>
      <c r="X548" s="481"/>
      <c r="Y548" s="481"/>
      <c r="Z548" s="481"/>
      <c r="AA548" s="481"/>
      <c r="AB548" s="481"/>
    </row>
    <row r="549">
      <c r="A549" s="481"/>
      <c r="B549" s="481"/>
      <c r="C549" s="481"/>
      <c r="D549" s="483"/>
      <c r="E549" s="481"/>
      <c r="F549" s="483"/>
      <c r="G549" s="481"/>
      <c r="H549" s="481"/>
      <c r="I549" s="481"/>
      <c r="J549" s="481"/>
      <c r="K549" s="481"/>
      <c r="L549" s="481"/>
      <c r="M549" s="481"/>
      <c r="N549" s="481"/>
      <c r="O549" s="481"/>
      <c r="P549" s="481"/>
      <c r="Q549" s="481"/>
      <c r="R549" s="481"/>
      <c r="S549" s="481"/>
      <c r="T549" s="481"/>
      <c r="U549" s="481"/>
      <c r="V549" s="481"/>
      <c r="W549" s="481"/>
      <c r="X549" s="481"/>
      <c r="Y549" s="481"/>
      <c r="Z549" s="481"/>
      <c r="AA549" s="481"/>
      <c r="AB549" s="481"/>
    </row>
    <row r="550">
      <c r="A550" s="481"/>
      <c r="B550" s="481"/>
      <c r="C550" s="481"/>
      <c r="D550" s="483"/>
      <c r="E550" s="481"/>
      <c r="F550" s="483"/>
      <c r="G550" s="481"/>
      <c r="H550" s="481"/>
      <c r="I550" s="481"/>
      <c r="J550" s="481"/>
      <c r="K550" s="481"/>
      <c r="L550" s="481"/>
      <c r="M550" s="481"/>
      <c r="N550" s="481"/>
      <c r="O550" s="481"/>
      <c r="P550" s="481"/>
      <c r="Q550" s="481"/>
      <c r="R550" s="481"/>
      <c r="S550" s="481"/>
      <c r="T550" s="481"/>
      <c r="U550" s="481"/>
      <c r="V550" s="481"/>
      <c r="W550" s="481"/>
      <c r="X550" s="481"/>
      <c r="Y550" s="481"/>
      <c r="Z550" s="481"/>
      <c r="AA550" s="481"/>
      <c r="AB550" s="481"/>
    </row>
    <row r="551">
      <c r="A551" s="481"/>
      <c r="B551" s="481"/>
      <c r="C551" s="481"/>
      <c r="D551" s="483"/>
      <c r="E551" s="481"/>
      <c r="F551" s="483"/>
      <c r="G551" s="481"/>
      <c r="H551" s="481"/>
      <c r="I551" s="481"/>
      <c r="J551" s="481"/>
      <c r="K551" s="481"/>
      <c r="L551" s="481"/>
      <c r="M551" s="481"/>
      <c r="N551" s="481"/>
      <c r="O551" s="481"/>
      <c r="P551" s="481"/>
      <c r="Q551" s="481"/>
      <c r="R551" s="481"/>
      <c r="S551" s="481"/>
      <c r="T551" s="481"/>
      <c r="U551" s="481"/>
      <c r="V551" s="481"/>
      <c r="W551" s="481"/>
      <c r="X551" s="481"/>
      <c r="Y551" s="481"/>
      <c r="Z551" s="481"/>
      <c r="AA551" s="481"/>
      <c r="AB551" s="481"/>
    </row>
    <row r="552">
      <c r="A552" s="481"/>
      <c r="B552" s="481"/>
      <c r="C552" s="481"/>
      <c r="D552" s="483"/>
      <c r="E552" s="481"/>
      <c r="F552" s="483"/>
      <c r="G552" s="481"/>
      <c r="H552" s="481"/>
      <c r="I552" s="481"/>
      <c r="J552" s="481"/>
      <c r="K552" s="481"/>
      <c r="L552" s="481"/>
      <c r="M552" s="481"/>
      <c r="N552" s="481"/>
      <c r="O552" s="481"/>
      <c r="P552" s="481"/>
      <c r="Q552" s="481"/>
      <c r="R552" s="481"/>
      <c r="S552" s="481"/>
      <c r="T552" s="481"/>
      <c r="U552" s="481"/>
      <c r="V552" s="481"/>
      <c r="W552" s="481"/>
      <c r="X552" s="481"/>
      <c r="Y552" s="481"/>
      <c r="Z552" s="481"/>
      <c r="AA552" s="481"/>
      <c r="AB552" s="481"/>
    </row>
    <row r="553">
      <c r="A553" s="481"/>
      <c r="B553" s="481"/>
      <c r="C553" s="481"/>
      <c r="D553" s="483"/>
      <c r="E553" s="481"/>
      <c r="F553" s="483"/>
      <c r="G553" s="481"/>
      <c r="H553" s="481"/>
      <c r="I553" s="481"/>
      <c r="J553" s="481"/>
      <c r="K553" s="481"/>
      <c r="L553" s="481"/>
      <c r="M553" s="481"/>
      <c r="N553" s="481"/>
      <c r="O553" s="481"/>
      <c r="P553" s="481"/>
      <c r="Q553" s="481"/>
      <c r="R553" s="481"/>
      <c r="S553" s="481"/>
      <c r="T553" s="481"/>
      <c r="U553" s="481"/>
      <c r="V553" s="481"/>
      <c r="W553" s="481"/>
      <c r="X553" s="481"/>
      <c r="Y553" s="481"/>
      <c r="Z553" s="481"/>
      <c r="AA553" s="481"/>
      <c r="AB553" s="481"/>
    </row>
    <row r="554">
      <c r="A554" s="481"/>
      <c r="B554" s="481"/>
      <c r="C554" s="481"/>
      <c r="D554" s="483"/>
      <c r="E554" s="481"/>
      <c r="F554" s="483"/>
      <c r="G554" s="481"/>
      <c r="H554" s="481"/>
      <c r="I554" s="481"/>
      <c r="J554" s="481"/>
      <c r="K554" s="481"/>
      <c r="L554" s="481"/>
      <c r="M554" s="481"/>
      <c r="N554" s="481"/>
      <c r="O554" s="481"/>
      <c r="P554" s="481"/>
      <c r="Q554" s="481"/>
      <c r="R554" s="481"/>
      <c r="S554" s="481"/>
      <c r="T554" s="481"/>
      <c r="U554" s="481"/>
      <c r="V554" s="481"/>
      <c r="W554" s="481"/>
      <c r="X554" s="481"/>
      <c r="Y554" s="481"/>
      <c r="Z554" s="481"/>
      <c r="AA554" s="481"/>
      <c r="AB554" s="481"/>
    </row>
    <row r="555">
      <c r="A555" s="481"/>
      <c r="B555" s="481"/>
      <c r="C555" s="481"/>
      <c r="D555" s="483"/>
      <c r="E555" s="481"/>
      <c r="F555" s="483"/>
      <c r="G555" s="481"/>
      <c r="H555" s="481"/>
      <c r="I555" s="481"/>
      <c r="J555" s="481"/>
      <c r="K555" s="481"/>
      <c r="L555" s="481"/>
      <c r="M555" s="481"/>
      <c r="N555" s="481"/>
      <c r="O555" s="481"/>
      <c r="P555" s="481"/>
      <c r="Q555" s="481"/>
      <c r="R555" s="481"/>
      <c r="S555" s="481"/>
      <c r="T555" s="481"/>
      <c r="U555" s="481"/>
      <c r="V555" s="481"/>
      <c r="W555" s="481"/>
      <c r="X555" s="481"/>
      <c r="Y555" s="481"/>
      <c r="Z555" s="481"/>
      <c r="AA555" s="481"/>
      <c r="AB555" s="481"/>
    </row>
    <row r="556">
      <c r="A556" s="481"/>
      <c r="B556" s="481"/>
      <c r="C556" s="481"/>
      <c r="D556" s="483"/>
      <c r="E556" s="481"/>
      <c r="F556" s="483"/>
      <c r="G556" s="481"/>
      <c r="H556" s="481"/>
      <c r="I556" s="481"/>
      <c r="J556" s="481"/>
      <c r="K556" s="481"/>
      <c r="L556" s="481"/>
      <c r="M556" s="481"/>
      <c r="N556" s="481"/>
      <c r="O556" s="481"/>
      <c r="P556" s="481"/>
      <c r="Q556" s="481"/>
      <c r="R556" s="481"/>
      <c r="S556" s="481"/>
      <c r="T556" s="481"/>
      <c r="U556" s="481"/>
      <c r="V556" s="481"/>
      <c r="W556" s="481"/>
      <c r="X556" s="481"/>
      <c r="Y556" s="481"/>
      <c r="Z556" s="481"/>
      <c r="AA556" s="481"/>
      <c r="AB556" s="481"/>
    </row>
    <row r="557">
      <c r="A557" s="481"/>
      <c r="B557" s="481"/>
      <c r="C557" s="481"/>
      <c r="D557" s="483"/>
      <c r="E557" s="481"/>
      <c r="F557" s="483"/>
      <c r="G557" s="481"/>
      <c r="H557" s="481"/>
      <c r="I557" s="481"/>
      <c r="J557" s="481"/>
      <c r="K557" s="481"/>
      <c r="L557" s="481"/>
      <c r="M557" s="481"/>
      <c r="N557" s="481"/>
      <c r="O557" s="481"/>
      <c r="P557" s="481"/>
      <c r="Q557" s="481"/>
      <c r="R557" s="481"/>
      <c r="S557" s="481"/>
      <c r="T557" s="481"/>
      <c r="U557" s="481"/>
      <c r="V557" s="481"/>
      <c r="W557" s="481"/>
      <c r="X557" s="481"/>
      <c r="Y557" s="481"/>
      <c r="Z557" s="481"/>
      <c r="AA557" s="481"/>
      <c r="AB557" s="481"/>
    </row>
    <row r="558">
      <c r="A558" s="481"/>
      <c r="B558" s="481"/>
      <c r="C558" s="481"/>
      <c r="D558" s="483"/>
      <c r="E558" s="481"/>
      <c r="F558" s="483"/>
      <c r="G558" s="481"/>
      <c r="H558" s="481"/>
      <c r="I558" s="481"/>
      <c r="J558" s="481"/>
      <c r="K558" s="481"/>
      <c r="L558" s="481"/>
      <c r="M558" s="481"/>
      <c r="N558" s="481"/>
      <c r="O558" s="481"/>
      <c r="P558" s="481"/>
      <c r="Q558" s="481"/>
      <c r="R558" s="481"/>
      <c r="S558" s="481"/>
      <c r="T558" s="481"/>
      <c r="U558" s="481"/>
      <c r="V558" s="481"/>
      <c r="W558" s="481"/>
      <c r="X558" s="481"/>
      <c r="Y558" s="481"/>
      <c r="Z558" s="481"/>
      <c r="AA558" s="481"/>
      <c r="AB558" s="481"/>
    </row>
    <row r="559">
      <c r="A559" s="481"/>
      <c r="B559" s="481"/>
      <c r="C559" s="481"/>
      <c r="D559" s="483"/>
      <c r="E559" s="481"/>
      <c r="F559" s="483"/>
      <c r="G559" s="481"/>
      <c r="H559" s="481"/>
      <c r="I559" s="481"/>
      <c r="J559" s="481"/>
      <c r="K559" s="481"/>
      <c r="L559" s="481"/>
      <c r="M559" s="481"/>
      <c r="N559" s="481"/>
      <c r="O559" s="481"/>
      <c r="P559" s="481"/>
      <c r="Q559" s="481"/>
      <c r="R559" s="481"/>
      <c r="S559" s="481"/>
      <c r="T559" s="481"/>
      <c r="U559" s="481"/>
      <c r="V559" s="481"/>
      <c r="W559" s="481"/>
      <c r="X559" s="481"/>
      <c r="Y559" s="481"/>
      <c r="Z559" s="481"/>
      <c r="AA559" s="481"/>
      <c r="AB559" s="481"/>
    </row>
    <row r="560">
      <c r="A560" s="481"/>
      <c r="B560" s="481"/>
      <c r="C560" s="481"/>
      <c r="D560" s="483"/>
      <c r="E560" s="481"/>
      <c r="F560" s="483"/>
      <c r="G560" s="481"/>
      <c r="H560" s="481"/>
      <c r="I560" s="481"/>
      <c r="J560" s="481"/>
      <c r="K560" s="481"/>
      <c r="L560" s="481"/>
      <c r="M560" s="481"/>
      <c r="N560" s="481"/>
      <c r="O560" s="481"/>
      <c r="P560" s="481"/>
      <c r="Q560" s="481"/>
      <c r="R560" s="481"/>
      <c r="S560" s="481"/>
      <c r="T560" s="481"/>
      <c r="U560" s="481"/>
      <c r="V560" s="481"/>
      <c r="W560" s="481"/>
      <c r="X560" s="481"/>
      <c r="Y560" s="481"/>
      <c r="Z560" s="481"/>
      <c r="AA560" s="481"/>
      <c r="AB560" s="481"/>
    </row>
    <row r="561">
      <c r="A561" s="481"/>
      <c r="B561" s="481"/>
      <c r="C561" s="481"/>
      <c r="D561" s="483"/>
      <c r="E561" s="481"/>
      <c r="F561" s="483"/>
      <c r="G561" s="481"/>
      <c r="H561" s="481"/>
      <c r="I561" s="481"/>
      <c r="J561" s="481"/>
      <c r="K561" s="481"/>
      <c r="L561" s="481"/>
      <c r="M561" s="481"/>
      <c r="N561" s="481"/>
      <c r="O561" s="481"/>
      <c r="P561" s="481"/>
      <c r="Q561" s="481"/>
      <c r="R561" s="481"/>
      <c r="S561" s="481"/>
      <c r="T561" s="481"/>
      <c r="U561" s="481"/>
      <c r="V561" s="481"/>
      <c r="W561" s="481"/>
      <c r="X561" s="481"/>
      <c r="Y561" s="481"/>
      <c r="Z561" s="481"/>
      <c r="AA561" s="481"/>
      <c r="AB561" s="481"/>
    </row>
    <row r="562">
      <c r="A562" s="481"/>
      <c r="B562" s="481"/>
      <c r="C562" s="481"/>
      <c r="D562" s="483"/>
      <c r="E562" s="481"/>
      <c r="F562" s="483"/>
      <c r="G562" s="481"/>
      <c r="H562" s="481"/>
      <c r="I562" s="481"/>
      <c r="J562" s="481"/>
      <c r="K562" s="481"/>
      <c r="L562" s="481"/>
      <c r="M562" s="481"/>
      <c r="N562" s="481"/>
      <c r="O562" s="481"/>
      <c r="P562" s="481"/>
      <c r="Q562" s="481"/>
      <c r="R562" s="481"/>
      <c r="S562" s="481"/>
      <c r="T562" s="481"/>
      <c r="U562" s="481"/>
      <c r="V562" s="481"/>
      <c r="W562" s="481"/>
      <c r="X562" s="481"/>
      <c r="Y562" s="481"/>
      <c r="Z562" s="481"/>
      <c r="AA562" s="481"/>
      <c r="AB562" s="481"/>
    </row>
    <row r="563">
      <c r="A563" s="481"/>
      <c r="B563" s="481"/>
      <c r="C563" s="481"/>
      <c r="D563" s="483"/>
      <c r="E563" s="481"/>
      <c r="F563" s="483"/>
      <c r="G563" s="481"/>
      <c r="H563" s="481"/>
      <c r="I563" s="481"/>
      <c r="J563" s="481"/>
      <c r="K563" s="481"/>
      <c r="L563" s="481"/>
      <c r="M563" s="481"/>
      <c r="N563" s="481"/>
      <c r="O563" s="481"/>
      <c r="P563" s="481"/>
      <c r="Q563" s="481"/>
      <c r="R563" s="481"/>
      <c r="S563" s="481"/>
      <c r="T563" s="481"/>
      <c r="U563" s="481"/>
      <c r="V563" s="481"/>
      <c r="W563" s="481"/>
      <c r="X563" s="481"/>
      <c r="Y563" s="481"/>
      <c r="Z563" s="481"/>
      <c r="AA563" s="481"/>
      <c r="AB563" s="481"/>
    </row>
    <row r="564">
      <c r="A564" s="481"/>
      <c r="B564" s="481"/>
      <c r="C564" s="481"/>
      <c r="D564" s="483"/>
      <c r="E564" s="481"/>
      <c r="F564" s="483"/>
      <c r="G564" s="481"/>
      <c r="H564" s="481"/>
      <c r="I564" s="481"/>
      <c r="J564" s="481"/>
      <c r="K564" s="481"/>
      <c r="L564" s="481"/>
      <c r="M564" s="481"/>
      <c r="N564" s="481"/>
      <c r="O564" s="481"/>
      <c r="P564" s="481"/>
      <c r="Q564" s="481"/>
      <c r="R564" s="481"/>
      <c r="S564" s="481"/>
      <c r="T564" s="481"/>
      <c r="U564" s="481"/>
      <c r="V564" s="481"/>
      <c r="W564" s="481"/>
      <c r="X564" s="481"/>
      <c r="Y564" s="481"/>
      <c r="Z564" s="481"/>
      <c r="AA564" s="481"/>
      <c r="AB564" s="481"/>
    </row>
    <row r="565">
      <c r="A565" s="481"/>
      <c r="B565" s="481"/>
      <c r="C565" s="481"/>
      <c r="D565" s="483"/>
      <c r="E565" s="481"/>
      <c r="F565" s="483"/>
      <c r="G565" s="481"/>
      <c r="H565" s="481"/>
      <c r="I565" s="481"/>
      <c r="J565" s="481"/>
      <c r="K565" s="481"/>
      <c r="L565" s="481"/>
      <c r="M565" s="481"/>
      <c r="N565" s="481"/>
      <c r="O565" s="481"/>
      <c r="P565" s="481"/>
      <c r="Q565" s="481"/>
      <c r="R565" s="481"/>
      <c r="S565" s="481"/>
      <c r="T565" s="481"/>
      <c r="U565" s="481"/>
      <c r="V565" s="481"/>
      <c r="W565" s="481"/>
      <c r="X565" s="481"/>
      <c r="Y565" s="481"/>
      <c r="Z565" s="481"/>
      <c r="AA565" s="481"/>
      <c r="AB565" s="481"/>
    </row>
    <row r="566">
      <c r="A566" s="481"/>
      <c r="B566" s="481"/>
      <c r="C566" s="481"/>
      <c r="D566" s="483"/>
      <c r="E566" s="481"/>
      <c r="F566" s="483"/>
      <c r="G566" s="481"/>
      <c r="H566" s="481"/>
      <c r="I566" s="481"/>
      <c r="J566" s="481"/>
      <c r="K566" s="481"/>
      <c r="L566" s="481"/>
      <c r="M566" s="481"/>
      <c r="N566" s="481"/>
      <c r="O566" s="481"/>
      <c r="P566" s="481"/>
      <c r="Q566" s="481"/>
      <c r="R566" s="481"/>
      <c r="S566" s="481"/>
      <c r="T566" s="481"/>
      <c r="U566" s="481"/>
      <c r="V566" s="481"/>
      <c r="W566" s="481"/>
      <c r="X566" s="481"/>
      <c r="Y566" s="481"/>
      <c r="Z566" s="481"/>
      <c r="AA566" s="481"/>
      <c r="AB566" s="481"/>
    </row>
    <row r="567">
      <c r="A567" s="481"/>
      <c r="B567" s="481"/>
      <c r="C567" s="481"/>
      <c r="D567" s="483"/>
      <c r="E567" s="481"/>
      <c r="F567" s="483"/>
      <c r="G567" s="481"/>
      <c r="H567" s="481"/>
      <c r="I567" s="481"/>
      <c r="J567" s="481"/>
      <c r="K567" s="481"/>
      <c r="L567" s="481"/>
      <c r="M567" s="481"/>
      <c r="N567" s="481"/>
      <c r="O567" s="481"/>
      <c r="P567" s="481"/>
      <c r="Q567" s="481"/>
      <c r="R567" s="481"/>
      <c r="S567" s="481"/>
      <c r="T567" s="481"/>
      <c r="U567" s="481"/>
      <c r="V567" s="481"/>
      <c r="W567" s="481"/>
      <c r="X567" s="481"/>
      <c r="Y567" s="481"/>
      <c r="Z567" s="481"/>
      <c r="AA567" s="481"/>
      <c r="AB567" s="481"/>
    </row>
    <row r="568">
      <c r="A568" s="481"/>
      <c r="B568" s="481"/>
      <c r="C568" s="481"/>
      <c r="D568" s="483"/>
      <c r="E568" s="481"/>
      <c r="F568" s="483"/>
      <c r="G568" s="481"/>
      <c r="H568" s="481"/>
      <c r="I568" s="481"/>
      <c r="J568" s="481"/>
      <c r="K568" s="481"/>
      <c r="L568" s="481"/>
      <c r="M568" s="481"/>
      <c r="N568" s="481"/>
      <c r="O568" s="481"/>
      <c r="P568" s="481"/>
      <c r="Q568" s="481"/>
      <c r="R568" s="481"/>
      <c r="S568" s="481"/>
      <c r="T568" s="481"/>
      <c r="U568" s="481"/>
      <c r="V568" s="481"/>
      <c r="W568" s="481"/>
      <c r="X568" s="481"/>
      <c r="Y568" s="481"/>
      <c r="Z568" s="481"/>
      <c r="AA568" s="481"/>
      <c r="AB568" s="481"/>
    </row>
    <row r="569">
      <c r="A569" s="481"/>
      <c r="B569" s="481"/>
      <c r="C569" s="481"/>
      <c r="D569" s="483"/>
      <c r="E569" s="481"/>
      <c r="F569" s="483"/>
      <c r="G569" s="481"/>
      <c r="H569" s="481"/>
      <c r="I569" s="481"/>
      <c r="J569" s="481"/>
      <c r="K569" s="481"/>
      <c r="L569" s="481"/>
      <c r="M569" s="481"/>
      <c r="N569" s="481"/>
      <c r="O569" s="481"/>
      <c r="P569" s="481"/>
      <c r="Q569" s="481"/>
      <c r="R569" s="481"/>
      <c r="S569" s="481"/>
      <c r="T569" s="481"/>
      <c r="U569" s="481"/>
      <c r="V569" s="481"/>
      <c r="W569" s="481"/>
      <c r="X569" s="481"/>
      <c r="Y569" s="481"/>
      <c r="Z569" s="481"/>
      <c r="AA569" s="481"/>
      <c r="AB569" s="481"/>
    </row>
    <row r="570">
      <c r="A570" s="481"/>
      <c r="B570" s="481"/>
      <c r="C570" s="481"/>
      <c r="D570" s="483"/>
      <c r="E570" s="481"/>
      <c r="F570" s="483"/>
      <c r="G570" s="481"/>
      <c r="H570" s="481"/>
      <c r="I570" s="481"/>
      <c r="J570" s="481"/>
      <c r="K570" s="481"/>
      <c r="L570" s="481"/>
      <c r="M570" s="481"/>
      <c r="N570" s="481"/>
      <c r="O570" s="481"/>
      <c r="P570" s="481"/>
      <c r="Q570" s="481"/>
      <c r="R570" s="481"/>
      <c r="S570" s="481"/>
      <c r="T570" s="481"/>
      <c r="U570" s="481"/>
      <c r="V570" s="481"/>
      <c r="W570" s="481"/>
      <c r="X570" s="481"/>
      <c r="Y570" s="481"/>
      <c r="Z570" s="481"/>
      <c r="AA570" s="481"/>
      <c r="AB570" s="481"/>
    </row>
    <row r="571">
      <c r="A571" s="481"/>
      <c r="B571" s="481"/>
      <c r="C571" s="481"/>
      <c r="D571" s="483"/>
      <c r="E571" s="481"/>
      <c r="F571" s="483"/>
      <c r="G571" s="481"/>
      <c r="H571" s="481"/>
      <c r="I571" s="481"/>
      <c r="J571" s="481"/>
      <c r="K571" s="481"/>
      <c r="L571" s="481"/>
      <c r="M571" s="481"/>
      <c r="N571" s="481"/>
      <c r="O571" s="481"/>
      <c r="P571" s="481"/>
      <c r="Q571" s="481"/>
      <c r="R571" s="481"/>
      <c r="S571" s="481"/>
      <c r="T571" s="481"/>
      <c r="U571" s="481"/>
      <c r="V571" s="481"/>
      <c r="W571" s="481"/>
      <c r="X571" s="481"/>
      <c r="Y571" s="481"/>
      <c r="Z571" s="481"/>
      <c r="AA571" s="481"/>
      <c r="AB571" s="481"/>
    </row>
    <row r="572">
      <c r="A572" s="481"/>
      <c r="B572" s="481"/>
      <c r="C572" s="481"/>
      <c r="D572" s="483"/>
      <c r="E572" s="481"/>
      <c r="F572" s="483"/>
      <c r="G572" s="481"/>
      <c r="H572" s="481"/>
      <c r="I572" s="481"/>
      <c r="J572" s="481"/>
      <c r="K572" s="481"/>
      <c r="L572" s="481"/>
      <c r="M572" s="481"/>
      <c r="N572" s="481"/>
      <c r="O572" s="481"/>
      <c r="P572" s="481"/>
      <c r="Q572" s="481"/>
      <c r="R572" s="481"/>
      <c r="S572" s="481"/>
      <c r="T572" s="481"/>
      <c r="U572" s="481"/>
      <c r="V572" s="481"/>
      <c r="W572" s="481"/>
      <c r="X572" s="481"/>
      <c r="Y572" s="481"/>
      <c r="Z572" s="481"/>
      <c r="AA572" s="481"/>
      <c r="AB572" s="481"/>
    </row>
    <row r="573">
      <c r="A573" s="481"/>
      <c r="B573" s="481"/>
      <c r="C573" s="481"/>
      <c r="D573" s="483"/>
      <c r="E573" s="481"/>
      <c r="F573" s="483"/>
      <c r="G573" s="481"/>
      <c r="H573" s="481"/>
      <c r="I573" s="481"/>
      <c r="J573" s="481"/>
      <c r="K573" s="481"/>
      <c r="L573" s="481"/>
      <c r="M573" s="481"/>
      <c r="N573" s="481"/>
      <c r="O573" s="481"/>
      <c r="P573" s="481"/>
      <c r="Q573" s="481"/>
      <c r="R573" s="481"/>
      <c r="S573" s="481"/>
      <c r="T573" s="481"/>
      <c r="U573" s="481"/>
      <c r="V573" s="481"/>
      <c r="W573" s="481"/>
      <c r="X573" s="481"/>
      <c r="Y573" s="481"/>
      <c r="Z573" s="481"/>
      <c r="AA573" s="481"/>
      <c r="AB573" s="481"/>
    </row>
    <row r="574">
      <c r="A574" s="481"/>
      <c r="B574" s="481"/>
      <c r="C574" s="481"/>
      <c r="D574" s="483"/>
      <c r="E574" s="481"/>
      <c r="F574" s="483"/>
      <c r="G574" s="481"/>
      <c r="H574" s="481"/>
      <c r="I574" s="481"/>
      <c r="J574" s="481"/>
      <c r="K574" s="481"/>
      <c r="L574" s="481"/>
      <c r="M574" s="481"/>
      <c r="N574" s="481"/>
      <c r="O574" s="481"/>
      <c r="P574" s="481"/>
      <c r="Q574" s="481"/>
      <c r="R574" s="481"/>
      <c r="S574" s="481"/>
      <c r="T574" s="481"/>
      <c r="U574" s="481"/>
      <c r="V574" s="481"/>
      <c r="W574" s="481"/>
      <c r="X574" s="481"/>
      <c r="Y574" s="481"/>
      <c r="Z574" s="481"/>
      <c r="AA574" s="481"/>
      <c r="AB574" s="481"/>
    </row>
    <row r="575">
      <c r="A575" s="481"/>
      <c r="B575" s="481"/>
      <c r="C575" s="481"/>
      <c r="D575" s="483"/>
      <c r="E575" s="481"/>
      <c r="F575" s="483"/>
      <c r="G575" s="481"/>
      <c r="H575" s="481"/>
      <c r="I575" s="481"/>
      <c r="J575" s="481"/>
      <c r="K575" s="481"/>
      <c r="L575" s="481"/>
      <c r="M575" s="481"/>
      <c r="N575" s="481"/>
      <c r="O575" s="481"/>
      <c r="P575" s="481"/>
      <c r="Q575" s="481"/>
      <c r="R575" s="481"/>
      <c r="S575" s="481"/>
      <c r="T575" s="481"/>
      <c r="U575" s="481"/>
      <c r="V575" s="481"/>
      <c r="W575" s="481"/>
      <c r="X575" s="481"/>
      <c r="Y575" s="481"/>
      <c r="Z575" s="481"/>
      <c r="AA575" s="481"/>
      <c r="AB575" s="481"/>
    </row>
    <row r="576">
      <c r="A576" s="481"/>
      <c r="B576" s="481"/>
      <c r="C576" s="481"/>
      <c r="D576" s="483"/>
      <c r="E576" s="481"/>
      <c r="F576" s="483"/>
      <c r="G576" s="481"/>
      <c r="H576" s="481"/>
      <c r="I576" s="481"/>
      <c r="J576" s="481"/>
      <c r="K576" s="481"/>
      <c r="L576" s="481"/>
      <c r="M576" s="481"/>
      <c r="N576" s="481"/>
      <c r="O576" s="481"/>
      <c r="P576" s="481"/>
      <c r="Q576" s="481"/>
      <c r="R576" s="481"/>
      <c r="S576" s="481"/>
      <c r="T576" s="481"/>
      <c r="U576" s="481"/>
      <c r="V576" s="481"/>
      <c r="W576" s="481"/>
      <c r="X576" s="481"/>
      <c r="Y576" s="481"/>
      <c r="Z576" s="481"/>
      <c r="AA576" s="481"/>
      <c r="AB576" s="481"/>
    </row>
    <row r="577">
      <c r="A577" s="481"/>
      <c r="B577" s="481"/>
      <c r="C577" s="481"/>
      <c r="D577" s="483"/>
      <c r="E577" s="481"/>
      <c r="F577" s="483"/>
      <c r="G577" s="481"/>
      <c r="H577" s="481"/>
      <c r="I577" s="481"/>
      <c r="J577" s="481"/>
      <c r="K577" s="481"/>
      <c r="L577" s="481"/>
      <c r="M577" s="481"/>
      <c r="N577" s="481"/>
      <c r="O577" s="481"/>
      <c r="P577" s="481"/>
      <c r="Q577" s="481"/>
      <c r="R577" s="481"/>
      <c r="S577" s="481"/>
      <c r="T577" s="481"/>
      <c r="U577" s="481"/>
      <c r="V577" s="481"/>
      <c r="W577" s="481"/>
      <c r="X577" s="481"/>
      <c r="Y577" s="481"/>
      <c r="Z577" s="481"/>
      <c r="AA577" s="481"/>
      <c r="AB577" s="481"/>
    </row>
    <row r="578">
      <c r="A578" s="481"/>
      <c r="B578" s="481"/>
      <c r="C578" s="481"/>
      <c r="D578" s="483"/>
      <c r="E578" s="481"/>
      <c r="F578" s="483"/>
      <c r="G578" s="481"/>
      <c r="H578" s="481"/>
      <c r="I578" s="481"/>
      <c r="J578" s="481"/>
      <c r="K578" s="481"/>
      <c r="L578" s="481"/>
      <c r="M578" s="481"/>
      <c r="N578" s="481"/>
      <c r="O578" s="481"/>
      <c r="P578" s="481"/>
      <c r="Q578" s="481"/>
      <c r="R578" s="481"/>
      <c r="S578" s="481"/>
      <c r="T578" s="481"/>
      <c r="U578" s="481"/>
      <c r="V578" s="481"/>
      <c r="W578" s="481"/>
      <c r="X578" s="481"/>
      <c r="Y578" s="481"/>
      <c r="Z578" s="481"/>
      <c r="AA578" s="481"/>
      <c r="AB578" s="481"/>
    </row>
    <row r="579">
      <c r="A579" s="481"/>
      <c r="B579" s="481"/>
      <c r="C579" s="481"/>
      <c r="D579" s="483"/>
      <c r="E579" s="481"/>
      <c r="F579" s="483"/>
      <c r="G579" s="481"/>
      <c r="H579" s="481"/>
      <c r="I579" s="481"/>
      <c r="J579" s="481"/>
      <c r="K579" s="481"/>
      <c r="L579" s="481"/>
      <c r="M579" s="481"/>
      <c r="N579" s="481"/>
      <c r="O579" s="481"/>
      <c r="P579" s="481"/>
      <c r="Q579" s="481"/>
      <c r="R579" s="481"/>
      <c r="S579" s="481"/>
      <c r="T579" s="481"/>
      <c r="U579" s="481"/>
      <c r="V579" s="481"/>
      <c r="W579" s="481"/>
      <c r="X579" s="481"/>
      <c r="Y579" s="481"/>
      <c r="Z579" s="481"/>
      <c r="AA579" s="481"/>
      <c r="AB579" s="481"/>
    </row>
    <row r="580">
      <c r="A580" s="481"/>
      <c r="B580" s="481"/>
      <c r="C580" s="481"/>
      <c r="D580" s="483"/>
      <c r="E580" s="481"/>
      <c r="F580" s="483"/>
      <c r="G580" s="481"/>
      <c r="H580" s="481"/>
      <c r="I580" s="481"/>
      <c r="J580" s="481"/>
      <c r="K580" s="481"/>
      <c r="L580" s="481"/>
      <c r="M580" s="481"/>
      <c r="N580" s="481"/>
      <c r="O580" s="481"/>
      <c r="P580" s="481"/>
      <c r="Q580" s="481"/>
      <c r="R580" s="481"/>
      <c r="S580" s="481"/>
      <c r="T580" s="481"/>
      <c r="U580" s="481"/>
      <c r="V580" s="481"/>
      <c r="W580" s="481"/>
      <c r="X580" s="481"/>
      <c r="Y580" s="481"/>
      <c r="Z580" s="481"/>
      <c r="AA580" s="481"/>
      <c r="AB580" s="481"/>
    </row>
    <row r="581">
      <c r="A581" s="481"/>
      <c r="B581" s="481"/>
      <c r="C581" s="481"/>
      <c r="D581" s="483"/>
      <c r="E581" s="481"/>
      <c r="F581" s="483"/>
      <c r="G581" s="481"/>
      <c r="H581" s="481"/>
      <c r="I581" s="481"/>
      <c r="J581" s="481"/>
      <c r="K581" s="481"/>
      <c r="L581" s="481"/>
      <c r="M581" s="481"/>
      <c r="N581" s="481"/>
      <c r="O581" s="481"/>
      <c r="P581" s="481"/>
      <c r="Q581" s="481"/>
      <c r="R581" s="481"/>
      <c r="S581" s="481"/>
      <c r="T581" s="481"/>
      <c r="U581" s="481"/>
      <c r="V581" s="481"/>
      <c r="W581" s="481"/>
      <c r="X581" s="481"/>
      <c r="Y581" s="481"/>
      <c r="Z581" s="481"/>
      <c r="AA581" s="481"/>
      <c r="AB581" s="481"/>
    </row>
    <row r="582">
      <c r="A582" s="481"/>
      <c r="B582" s="481"/>
      <c r="C582" s="481"/>
      <c r="D582" s="483"/>
      <c r="E582" s="481"/>
      <c r="F582" s="483"/>
      <c r="G582" s="481"/>
      <c r="H582" s="481"/>
      <c r="I582" s="481"/>
      <c r="J582" s="481"/>
      <c r="K582" s="481"/>
      <c r="L582" s="481"/>
      <c r="M582" s="481"/>
      <c r="N582" s="481"/>
      <c r="O582" s="481"/>
      <c r="P582" s="481"/>
      <c r="Q582" s="481"/>
      <c r="R582" s="481"/>
      <c r="S582" s="481"/>
      <c r="T582" s="481"/>
      <c r="U582" s="481"/>
      <c r="V582" s="481"/>
      <c r="W582" s="481"/>
      <c r="X582" s="481"/>
      <c r="Y582" s="481"/>
      <c r="Z582" s="481"/>
      <c r="AA582" s="481"/>
      <c r="AB582" s="481"/>
    </row>
    <row r="583">
      <c r="A583" s="481"/>
      <c r="B583" s="481"/>
      <c r="C583" s="481"/>
      <c r="D583" s="483"/>
      <c r="E583" s="481"/>
      <c r="F583" s="483"/>
      <c r="G583" s="481"/>
      <c r="H583" s="481"/>
      <c r="I583" s="481"/>
      <c r="J583" s="481"/>
      <c r="K583" s="481"/>
      <c r="L583" s="481"/>
      <c r="M583" s="481"/>
      <c r="N583" s="481"/>
      <c r="O583" s="481"/>
      <c r="P583" s="481"/>
      <c r="Q583" s="481"/>
      <c r="R583" s="481"/>
      <c r="S583" s="481"/>
      <c r="T583" s="481"/>
      <c r="U583" s="481"/>
      <c r="V583" s="481"/>
      <c r="W583" s="481"/>
      <c r="X583" s="481"/>
      <c r="Y583" s="481"/>
      <c r="Z583" s="481"/>
      <c r="AA583" s="481"/>
      <c r="AB583" s="481"/>
    </row>
    <row r="584">
      <c r="A584" s="481"/>
      <c r="B584" s="481"/>
      <c r="C584" s="481"/>
      <c r="D584" s="483"/>
      <c r="E584" s="481"/>
      <c r="F584" s="483"/>
      <c r="G584" s="481"/>
      <c r="H584" s="481"/>
      <c r="I584" s="481"/>
      <c r="J584" s="481"/>
      <c r="K584" s="481"/>
      <c r="L584" s="481"/>
      <c r="M584" s="481"/>
      <c r="N584" s="481"/>
      <c r="O584" s="481"/>
      <c r="P584" s="481"/>
      <c r="Q584" s="481"/>
      <c r="R584" s="481"/>
      <c r="S584" s="481"/>
      <c r="T584" s="481"/>
      <c r="U584" s="481"/>
      <c r="V584" s="481"/>
      <c r="W584" s="481"/>
      <c r="X584" s="481"/>
      <c r="Y584" s="481"/>
      <c r="Z584" s="481"/>
      <c r="AA584" s="481"/>
      <c r="AB584" s="481"/>
    </row>
    <row r="585">
      <c r="A585" s="481"/>
      <c r="B585" s="481"/>
      <c r="C585" s="481"/>
      <c r="D585" s="483"/>
      <c r="E585" s="481"/>
      <c r="F585" s="483"/>
      <c r="G585" s="481"/>
      <c r="H585" s="481"/>
      <c r="I585" s="481"/>
      <c r="J585" s="481"/>
      <c r="K585" s="481"/>
      <c r="L585" s="481"/>
      <c r="M585" s="481"/>
      <c r="N585" s="481"/>
      <c r="O585" s="481"/>
      <c r="P585" s="481"/>
      <c r="Q585" s="481"/>
      <c r="R585" s="481"/>
      <c r="S585" s="481"/>
      <c r="T585" s="481"/>
      <c r="U585" s="481"/>
      <c r="V585" s="481"/>
      <c r="W585" s="481"/>
      <c r="X585" s="481"/>
      <c r="Y585" s="481"/>
      <c r="Z585" s="481"/>
      <c r="AA585" s="481"/>
      <c r="AB585" s="481"/>
    </row>
    <row r="586">
      <c r="A586" s="481"/>
      <c r="B586" s="481"/>
      <c r="C586" s="481"/>
      <c r="D586" s="483"/>
      <c r="E586" s="481"/>
      <c r="F586" s="483"/>
      <c r="G586" s="481"/>
      <c r="H586" s="481"/>
      <c r="I586" s="481"/>
      <c r="J586" s="481"/>
      <c r="K586" s="481"/>
      <c r="L586" s="481"/>
      <c r="M586" s="481"/>
      <c r="N586" s="481"/>
      <c r="O586" s="481"/>
      <c r="P586" s="481"/>
      <c r="Q586" s="481"/>
      <c r="R586" s="481"/>
      <c r="S586" s="481"/>
      <c r="T586" s="481"/>
      <c r="U586" s="481"/>
      <c r="V586" s="481"/>
      <c r="W586" s="481"/>
      <c r="X586" s="481"/>
      <c r="Y586" s="481"/>
      <c r="Z586" s="481"/>
      <c r="AA586" s="481"/>
      <c r="AB586" s="481"/>
    </row>
    <row r="587">
      <c r="A587" s="481"/>
      <c r="B587" s="481"/>
      <c r="C587" s="481"/>
      <c r="D587" s="483"/>
      <c r="E587" s="481"/>
      <c r="F587" s="483"/>
      <c r="G587" s="481"/>
      <c r="H587" s="481"/>
      <c r="I587" s="481"/>
      <c r="J587" s="481"/>
      <c r="K587" s="481"/>
      <c r="L587" s="481"/>
      <c r="M587" s="481"/>
      <c r="N587" s="481"/>
      <c r="O587" s="481"/>
      <c r="P587" s="481"/>
      <c r="Q587" s="481"/>
      <c r="R587" s="481"/>
      <c r="S587" s="481"/>
      <c r="T587" s="481"/>
      <c r="U587" s="481"/>
      <c r="V587" s="481"/>
      <c r="W587" s="481"/>
      <c r="X587" s="481"/>
      <c r="Y587" s="481"/>
      <c r="Z587" s="481"/>
      <c r="AA587" s="481"/>
      <c r="AB587" s="481"/>
    </row>
    <row r="588">
      <c r="A588" s="481"/>
      <c r="B588" s="481"/>
      <c r="C588" s="481"/>
      <c r="D588" s="483"/>
      <c r="E588" s="481"/>
      <c r="F588" s="483"/>
      <c r="G588" s="481"/>
      <c r="H588" s="481"/>
      <c r="I588" s="481"/>
      <c r="J588" s="481"/>
      <c r="K588" s="481"/>
      <c r="L588" s="481"/>
      <c r="M588" s="481"/>
      <c r="N588" s="481"/>
      <c r="O588" s="481"/>
      <c r="P588" s="481"/>
      <c r="Q588" s="481"/>
      <c r="R588" s="481"/>
      <c r="S588" s="481"/>
      <c r="T588" s="481"/>
      <c r="U588" s="481"/>
      <c r="V588" s="481"/>
      <c r="W588" s="481"/>
      <c r="X588" s="481"/>
      <c r="Y588" s="481"/>
      <c r="Z588" s="481"/>
      <c r="AA588" s="481"/>
      <c r="AB588" s="481"/>
    </row>
    <row r="589">
      <c r="A589" s="481"/>
      <c r="B589" s="481"/>
      <c r="C589" s="481"/>
      <c r="D589" s="483"/>
      <c r="E589" s="481"/>
      <c r="F589" s="483"/>
      <c r="G589" s="481"/>
      <c r="H589" s="481"/>
      <c r="I589" s="481"/>
      <c r="J589" s="481"/>
      <c r="K589" s="481"/>
      <c r="L589" s="481"/>
      <c r="M589" s="481"/>
      <c r="N589" s="481"/>
      <c r="O589" s="481"/>
      <c r="P589" s="481"/>
      <c r="Q589" s="481"/>
      <c r="R589" s="481"/>
      <c r="S589" s="481"/>
      <c r="T589" s="481"/>
      <c r="U589" s="481"/>
      <c r="V589" s="481"/>
      <c r="W589" s="481"/>
      <c r="X589" s="481"/>
      <c r="Y589" s="481"/>
      <c r="Z589" s="481"/>
      <c r="AA589" s="481"/>
      <c r="AB589" s="481"/>
    </row>
    <row r="590">
      <c r="A590" s="481"/>
      <c r="B590" s="481"/>
      <c r="C590" s="481"/>
      <c r="D590" s="483"/>
      <c r="E590" s="481"/>
      <c r="F590" s="483"/>
      <c r="G590" s="481"/>
      <c r="H590" s="481"/>
      <c r="I590" s="481"/>
      <c r="J590" s="481"/>
      <c r="K590" s="481"/>
      <c r="L590" s="481"/>
      <c r="M590" s="481"/>
      <c r="N590" s="481"/>
      <c r="O590" s="481"/>
      <c r="P590" s="481"/>
      <c r="Q590" s="481"/>
      <c r="R590" s="481"/>
      <c r="S590" s="481"/>
      <c r="T590" s="481"/>
      <c r="U590" s="481"/>
      <c r="V590" s="481"/>
      <c r="W590" s="481"/>
      <c r="X590" s="481"/>
      <c r="Y590" s="481"/>
      <c r="Z590" s="481"/>
      <c r="AA590" s="481"/>
      <c r="AB590" s="481"/>
    </row>
    <row r="591">
      <c r="A591" s="481"/>
      <c r="B591" s="481"/>
      <c r="C591" s="481"/>
      <c r="D591" s="483"/>
      <c r="E591" s="481"/>
      <c r="F591" s="483"/>
      <c r="G591" s="481"/>
      <c r="H591" s="481"/>
      <c r="I591" s="481"/>
      <c r="J591" s="481"/>
      <c r="K591" s="481"/>
      <c r="L591" s="481"/>
      <c r="M591" s="481"/>
      <c r="N591" s="481"/>
      <c r="O591" s="481"/>
      <c r="P591" s="481"/>
      <c r="Q591" s="481"/>
      <c r="R591" s="481"/>
      <c r="S591" s="481"/>
      <c r="T591" s="481"/>
      <c r="U591" s="481"/>
      <c r="V591" s="481"/>
      <c r="W591" s="481"/>
      <c r="X591" s="481"/>
      <c r="Y591" s="481"/>
      <c r="Z591" s="481"/>
      <c r="AA591" s="481"/>
      <c r="AB591" s="481"/>
    </row>
    <row r="592">
      <c r="A592" s="481"/>
      <c r="B592" s="481"/>
      <c r="C592" s="481"/>
      <c r="D592" s="483"/>
      <c r="E592" s="481"/>
      <c r="F592" s="483"/>
      <c r="G592" s="481"/>
      <c r="H592" s="481"/>
      <c r="I592" s="481"/>
      <c r="J592" s="481"/>
      <c r="K592" s="481"/>
      <c r="L592" s="481"/>
      <c r="M592" s="481"/>
      <c r="N592" s="481"/>
      <c r="O592" s="481"/>
      <c r="P592" s="481"/>
      <c r="Q592" s="481"/>
      <c r="R592" s="481"/>
      <c r="S592" s="481"/>
      <c r="T592" s="481"/>
      <c r="U592" s="481"/>
      <c r="V592" s="481"/>
      <c r="W592" s="481"/>
      <c r="X592" s="481"/>
      <c r="Y592" s="481"/>
      <c r="Z592" s="481"/>
      <c r="AA592" s="481"/>
      <c r="AB592" s="481"/>
    </row>
    <row r="593">
      <c r="A593" s="481"/>
      <c r="B593" s="481"/>
      <c r="C593" s="481"/>
      <c r="D593" s="483"/>
      <c r="E593" s="481"/>
      <c r="F593" s="483"/>
      <c r="G593" s="481"/>
      <c r="H593" s="481"/>
      <c r="I593" s="481"/>
      <c r="J593" s="481"/>
      <c r="K593" s="481"/>
      <c r="L593" s="481"/>
      <c r="M593" s="481"/>
      <c r="N593" s="481"/>
      <c r="O593" s="481"/>
      <c r="P593" s="481"/>
      <c r="Q593" s="481"/>
      <c r="R593" s="481"/>
      <c r="S593" s="481"/>
      <c r="T593" s="481"/>
      <c r="U593" s="481"/>
      <c r="V593" s="481"/>
      <c r="W593" s="481"/>
      <c r="X593" s="481"/>
      <c r="Y593" s="481"/>
      <c r="Z593" s="481"/>
      <c r="AA593" s="481"/>
      <c r="AB593" s="481"/>
    </row>
    <row r="594">
      <c r="A594" s="481"/>
      <c r="B594" s="481"/>
      <c r="C594" s="481"/>
      <c r="D594" s="483"/>
      <c r="E594" s="481"/>
      <c r="F594" s="483"/>
      <c r="G594" s="481"/>
      <c r="H594" s="481"/>
      <c r="I594" s="481"/>
      <c r="J594" s="481"/>
      <c r="K594" s="481"/>
      <c r="L594" s="481"/>
      <c r="M594" s="481"/>
      <c r="N594" s="481"/>
      <c r="O594" s="481"/>
      <c r="P594" s="481"/>
      <c r="Q594" s="481"/>
      <c r="R594" s="481"/>
      <c r="S594" s="481"/>
      <c r="T594" s="481"/>
      <c r="U594" s="481"/>
      <c r="V594" s="481"/>
      <c r="W594" s="481"/>
      <c r="X594" s="481"/>
      <c r="Y594" s="481"/>
      <c r="Z594" s="481"/>
      <c r="AA594" s="481"/>
      <c r="AB594" s="481"/>
    </row>
    <row r="595">
      <c r="A595" s="481"/>
      <c r="B595" s="481"/>
      <c r="C595" s="481"/>
      <c r="D595" s="483"/>
      <c r="E595" s="481"/>
      <c r="F595" s="483"/>
      <c r="G595" s="481"/>
      <c r="H595" s="481"/>
      <c r="I595" s="481"/>
      <c r="J595" s="481"/>
      <c r="K595" s="481"/>
      <c r="L595" s="481"/>
      <c r="M595" s="481"/>
      <c r="N595" s="481"/>
      <c r="O595" s="481"/>
      <c r="P595" s="481"/>
      <c r="Q595" s="481"/>
      <c r="R595" s="481"/>
      <c r="S595" s="481"/>
      <c r="T595" s="481"/>
      <c r="U595" s="481"/>
      <c r="V595" s="481"/>
      <c r="W595" s="481"/>
      <c r="X595" s="481"/>
      <c r="Y595" s="481"/>
      <c r="Z595" s="481"/>
      <c r="AA595" s="481"/>
      <c r="AB595" s="481"/>
    </row>
    <row r="596">
      <c r="A596" s="481"/>
      <c r="B596" s="481"/>
      <c r="C596" s="481"/>
      <c r="D596" s="483"/>
      <c r="E596" s="481"/>
      <c r="F596" s="483"/>
      <c r="G596" s="481"/>
      <c r="H596" s="481"/>
      <c r="I596" s="481"/>
      <c r="J596" s="481"/>
      <c r="K596" s="481"/>
      <c r="L596" s="481"/>
      <c r="M596" s="481"/>
      <c r="N596" s="481"/>
      <c r="O596" s="481"/>
      <c r="P596" s="481"/>
      <c r="Q596" s="481"/>
      <c r="R596" s="481"/>
      <c r="S596" s="481"/>
      <c r="T596" s="481"/>
      <c r="U596" s="481"/>
      <c r="V596" s="481"/>
      <c r="W596" s="481"/>
      <c r="X596" s="481"/>
      <c r="Y596" s="481"/>
      <c r="Z596" s="481"/>
      <c r="AA596" s="481"/>
      <c r="AB596" s="481"/>
    </row>
    <row r="597">
      <c r="A597" s="481"/>
      <c r="B597" s="481"/>
      <c r="C597" s="481"/>
      <c r="D597" s="483"/>
      <c r="E597" s="481"/>
      <c r="F597" s="483"/>
      <c r="G597" s="481"/>
      <c r="H597" s="481"/>
      <c r="I597" s="481"/>
      <c r="J597" s="481"/>
      <c r="K597" s="481"/>
      <c r="L597" s="481"/>
      <c r="M597" s="481"/>
      <c r="N597" s="481"/>
      <c r="O597" s="481"/>
      <c r="P597" s="481"/>
      <c r="Q597" s="481"/>
      <c r="R597" s="481"/>
      <c r="S597" s="481"/>
      <c r="T597" s="481"/>
      <c r="U597" s="481"/>
      <c r="V597" s="481"/>
      <c r="W597" s="481"/>
      <c r="X597" s="481"/>
      <c r="Y597" s="481"/>
      <c r="Z597" s="481"/>
      <c r="AA597" s="481"/>
      <c r="AB597" s="481"/>
    </row>
    <row r="598">
      <c r="A598" s="481"/>
      <c r="B598" s="481"/>
      <c r="C598" s="481"/>
      <c r="D598" s="483"/>
      <c r="E598" s="481"/>
      <c r="F598" s="483"/>
      <c r="G598" s="481"/>
      <c r="H598" s="481"/>
      <c r="I598" s="481"/>
      <c r="J598" s="481"/>
      <c r="K598" s="481"/>
      <c r="L598" s="481"/>
      <c r="M598" s="481"/>
      <c r="N598" s="481"/>
      <c r="O598" s="481"/>
      <c r="P598" s="481"/>
      <c r="Q598" s="481"/>
      <c r="R598" s="481"/>
      <c r="S598" s="481"/>
      <c r="T598" s="481"/>
      <c r="U598" s="481"/>
      <c r="V598" s="481"/>
      <c r="W598" s="481"/>
      <c r="X598" s="481"/>
      <c r="Y598" s="481"/>
      <c r="Z598" s="481"/>
      <c r="AA598" s="481"/>
      <c r="AB598" s="481"/>
    </row>
    <row r="599">
      <c r="A599" s="481"/>
      <c r="B599" s="481"/>
      <c r="C599" s="481"/>
      <c r="D599" s="483"/>
      <c r="E599" s="481"/>
      <c r="F599" s="483"/>
      <c r="G599" s="481"/>
      <c r="H599" s="481"/>
      <c r="I599" s="481"/>
      <c r="J599" s="481"/>
      <c r="K599" s="481"/>
      <c r="L599" s="481"/>
      <c r="M599" s="481"/>
      <c r="N599" s="481"/>
      <c r="O599" s="481"/>
      <c r="P599" s="481"/>
      <c r="Q599" s="481"/>
      <c r="R599" s="481"/>
      <c r="S599" s="481"/>
      <c r="T599" s="481"/>
      <c r="U599" s="481"/>
      <c r="V599" s="481"/>
      <c r="W599" s="481"/>
      <c r="X599" s="481"/>
      <c r="Y599" s="481"/>
      <c r="Z599" s="481"/>
      <c r="AA599" s="481"/>
      <c r="AB599" s="481"/>
    </row>
    <row r="600">
      <c r="A600" s="481"/>
      <c r="B600" s="481"/>
      <c r="C600" s="481"/>
      <c r="D600" s="483"/>
      <c r="E600" s="481"/>
      <c r="F600" s="483"/>
      <c r="G600" s="481"/>
      <c r="H600" s="481"/>
      <c r="I600" s="481"/>
      <c r="J600" s="481"/>
      <c r="K600" s="481"/>
      <c r="L600" s="481"/>
      <c r="M600" s="481"/>
      <c r="N600" s="481"/>
      <c r="O600" s="481"/>
      <c r="P600" s="481"/>
      <c r="Q600" s="481"/>
      <c r="R600" s="481"/>
      <c r="S600" s="481"/>
      <c r="T600" s="481"/>
      <c r="U600" s="481"/>
      <c r="V600" s="481"/>
      <c r="W600" s="481"/>
      <c r="X600" s="481"/>
      <c r="Y600" s="481"/>
      <c r="Z600" s="481"/>
      <c r="AA600" s="481"/>
      <c r="AB600" s="481"/>
    </row>
    <row r="601">
      <c r="A601" s="481"/>
      <c r="B601" s="481"/>
      <c r="C601" s="481"/>
      <c r="D601" s="483"/>
      <c r="E601" s="481"/>
      <c r="F601" s="483"/>
      <c r="G601" s="481"/>
      <c r="H601" s="481"/>
      <c r="I601" s="481"/>
      <c r="J601" s="481"/>
      <c r="K601" s="481"/>
      <c r="L601" s="481"/>
      <c r="M601" s="481"/>
      <c r="N601" s="481"/>
      <c r="O601" s="481"/>
      <c r="P601" s="481"/>
      <c r="Q601" s="481"/>
      <c r="R601" s="481"/>
      <c r="S601" s="481"/>
      <c r="T601" s="481"/>
      <c r="U601" s="481"/>
      <c r="V601" s="481"/>
      <c r="W601" s="481"/>
      <c r="X601" s="481"/>
      <c r="Y601" s="481"/>
      <c r="Z601" s="481"/>
      <c r="AA601" s="481"/>
      <c r="AB601" s="481"/>
    </row>
    <row r="602">
      <c r="A602" s="481"/>
      <c r="B602" s="481"/>
      <c r="C602" s="481"/>
      <c r="D602" s="483"/>
      <c r="E602" s="481"/>
      <c r="F602" s="483"/>
      <c r="G602" s="481"/>
      <c r="H602" s="481"/>
      <c r="I602" s="481"/>
      <c r="J602" s="481"/>
      <c r="K602" s="481"/>
      <c r="L602" s="481"/>
      <c r="M602" s="481"/>
      <c r="N602" s="481"/>
      <c r="O602" s="481"/>
      <c r="P602" s="481"/>
      <c r="Q602" s="481"/>
      <c r="R602" s="481"/>
      <c r="S602" s="481"/>
      <c r="T602" s="481"/>
      <c r="U602" s="481"/>
      <c r="V602" s="481"/>
      <c r="W602" s="481"/>
      <c r="X602" s="481"/>
      <c r="Y602" s="481"/>
      <c r="Z602" s="481"/>
      <c r="AA602" s="481"/>
      <c r="AB602" s="481"/>
    </row>
    <row r="603">
      <c r="A603" s="481"/>
      <c r="B603" s="481"/>
      <c r="C603" s="481"/>
      <c r="D603" s="483"/>
      <c r="E603" s="481"/>
      <c r="F603" s="483"/>
      <c r="G603" s="481"/>
      <c r="H603" s="481"/>
      <c r="I603" s="481"/>
      <c r="J603" s="481"/>
      <c r="K603" s="481"/>
      <c r="L603" s="481"/>
      <c r="M603" s="481"/>
      <c r="N603" s="481"/>
      <c r="O603" s="481"/>
      <c r="P603" s="481"/>
      <c r="Q603" s="481"/>
      <c r="R603" s="481"/>
      <c r="S603" s="481"/>
      <c r="T603" s="481"/>
      <c r="U603" s="481"/>
      <c r="V603" s="481"/>
      <c r="W603" s="481"/>
      <c r="X603" s="481"/>
      <c r="Y603" s="481"/>
      <c r="Z603" s="481"/>
      <c r="AA603" s="481"/>
      <c r="AB603" s="481"/>
    </row>
    <row r="604">
      <c r="A604" s="481"/>
      <c r="B604" s="481"/>
      <c r="C604" s="481"/>
      <c r="D604" s="483"/>
      <c r="E604" s="481"/>
      <c r="F604" s="483"/>
      <c r="G604" s="481"/>
      <c r="H604" s="481"/>
      <c r="I604" s="481"/>
      <c r="J604" s="481"/>
      <c r="K604" s="481"/>
      <c r="L604" s="481"/>
      <c r="M604" s="481"/>
      <c r="N604" s="481"/>
      <c r="O604" s="481"/>
      <c r="P604" s="481"/>
      <c r="Q604" s="481"/>
      <c r="R604" s="481"/>
      <c r="S604" s="481"/>
      <c r="T604" s="481"/>
      <c r="U604" s="481"/>
      <c r="V604" s="481"/>
      <c r="W604" s="481"/>
      <c r="X604" s="481"/>
      <c r="Y604" s="481"/>
      <c r="Z604" s="481"/>
      <c r="AA604" s="481"/>
      <c r="AB604" s="481"/>
    </row>
    <row r="605">
      <c r="A605" s="481"/>
      <c r="B605" s="481"/>
      <c r="C605" s="481"/>
      <c r="D605" s="483"/>
      <c r="E605" s="481"/>
      <c r="F605" s="483"/>
      <c r="G605" s="481"/>
      <c r="H605" s="481"/>
      <c r="I605" s="481"/>
      <c r="J605" s="481"/>
      <c r="K605" s="481"/>
      <c r="L605" s="481"/>
      <c r="M605" s="481"/>
      <c r="N605" s="481"/>
      <c r="O605" s="481"/>
      <c r="P605" s="481"/>
      <c r="Q605" s="481"/>
      <c r="R605" s="481"/>
      <c r="S605" s="481"/>
      <c r="T605" s="481"/>
      <c r="U605" s="481"/>
      <c r="V605" s="481"/>
      <c r="W605" s="481"/>
      <c r="X605" s="481"/>
      <c r="Y605" s="481"/>
      <c r="Z605" s="481"/>
      <c r="AA605" s="481"/>
      <c r="AB605" s="481"/>
    </row>
    <row r="606">
      <c r="A606" s="481"/>
      <c r="B606" s="481"/>
      <c r="C606" s="481"/>
      <c r="D606" s="483"/>
      <c r="E606" s="481"/>
      <c r="F606" s="483"/>
      <c r="G606" s="481"/>
      <c r="H606" s="481"/>
      <c r="I606" s="481"/>
      <c r="J606" s="481"/>
      <c r="K606" s="481"/>
      <c r="L606" s="481"/>
      <c r="M606" s="481"/>
      <c r="N606" s="481"/>
      <c r="O606" s="481"/>
      <c r="P606" s="481"/>
      <c r="Q606" s="481"/>
      <c r="R606" s="481"/>
      <c r="S606" s="481"/>
      <c r="T606" s="481"/>
      <c r="U606" s="481"/>
      <c r="V606" s="481"/>
      <c r="W606" s="481"/>
      <c r="X606" s="481"/>
      <c r="Y606" s="481"/>
      <c r="Z606" s="481"/>
      <c r="AA606" s="481"/>
      <c r="AB606" s="481"/>
    </row>
    <row r="607">
      <c r="A607" s="481"/>
      <c r="B607" s="481"/>
      <c r="C607" s="481"/>
      <c r="D607" s="483"/>
      <c r="E607" s="481"/>
      <c r="F607" s="483"/>
      <c r="G607" s="481"/>
      <c r="H607" s="481"/>
      <c r="I607" s="481"/>
      <c r="J607" s="481"/>
      <c r="K607" s="481"/>
      <c r="L607" s="481"/>
      <c r="M607" s="481"/>
      <c r="N607" s="481"/>
      <c r="O607" s="481"/>
      <c r="P607" s="481"/>
      <c r="Q607" s="481"/>
      <c r="R607" s="481"/>
      <c r="S607" s="481"/>
      <c r="T607" s="481"/>
      <c r="U607" s="481"/>
      <c r="V607" s="481"/>
      <c r="W607" s="481"/>
      <c r="X607" s="481"/>
      <c r="Y607" s="481"/>
      <c r="Z607" s="481"/>
      <c r="AA607" s="481"/>
      <c r="AB607" s="481"/>
    </row>
    <row r="608">
      <c r="A608" s="481"/>
      <c r="B608" s="481"/>
      <c r="C608" s="481"/>
      <c r="D608" s="483"/>
      <c r="E608" s="481"/>
      <c r="F608" s="483"/>
      <c r="G608" s="481"/>
      <c r="H608" s="481"/>
      <c r="I608" s="481"/>
      <c r="J608" s="481"/>
      <c r="K608" s="481"/>
      <c r="L608" s="481"/>
      <c r="M608" s="481"/>
      <c r="N608" s="481"/>
      <c r="O608" s="481"/>
      <c r="P608" s="481"/>
      <c r="Q608" s="481"/>
      <c r="R608" s="481"/>
      <c r="S608" s="481"/>
      <c r="T608" s="481"/>
      <c r="U608" s="481"/>
      <c r="V608" s="481"/>
      <c r="W608" s="481"/>
      <c r="X608" s="481"/>
      <c r="Y608" s="481"/>
      <c r="Z608" s="481"/>
      <c r="AA608" s="481"/>
      <c r="AB608" s="481"/>
    </row>
    <row r="609">
      <c r="A609" s="481"/>
      <c r="B609" s="481"/>
      <c r="C609" s="481"/>
      <c r="D609" s="483"/>
      <c r="E609" s="481"/>
      <c r="F609" s="483"/>
      <c r="G609" s="481"/>
      <c r="H609" s="481"/>
      <c r="I609" s="481"/>
      <c r="J609" s="481"/>
      <c r="K609" s="481"/>
      <c r="L609" s="481"/>
      <c r="M609" s="481"/>
      <c r="N609" s="481"/>
      <c r="O609" s="481"/>
      <c r="P609" s="481"/>
      <c r="Q609" s="481"/>
      <c r="R609" s="481"/>
      <c r="S609" s="481"/>
      <c r="T609" s="481"/>
      <c r="U609" s="481"/>
      <c r="V609" s="481"/>
      <c r="W609" s="481"/>
      <c r="X609" s="481"/>
      <c r="Y609" s="481"/>
      <c r="Z609" s="481"/>
      <c r="AA609" s="481"/>
      <c r="AB609" s="481"/>
    </row>
    <row r="610">
      <c r="A610" s="481"/>
      <c r="B610" s="481"/>
      <c r="C610" s="481"/>
      <c r="D610" s="483"/>
      <c r="E610" s="481"/>
      <c r="F610" s="483"/>
      <c r="G610" s="481"/>
      <c r="H610" s="481"/>
      <c r="I610" s="481"/>
      <c r="J610" s="481"/>
      <c r="K610" s="481"/>
      <c r="L610" s="481"/>
      <c r="M610" s="481"/>
      <c r="N610" s="481"/>
      <c r="O610" s="481"/>
      <c r="P610" s="481"/>
      <c r="Q610" s="481"/>
      <c r="R610" s="481"/>
      <c r="S610" s="481"/>
      <c r="T610" s="481"/>
      <c r="U610" s="481"/>
      <c r="V610" s="481"/>
      <c r="W610" s="481"/>
      <c r="X610" s="481"/>
      <c r="Y610" s="481"/>
      <c r="Z610" s="481"/>
      <c r="AA610" s="481"/>
      <c r="AB610" s="481"/>
    </row>
    <row r="611">
      <c r="A611" s="481"/>
      <c r="B611" s="481"/>
      <c r="C611" s="481"/>
      <c r="D611" s="483"/>
      <c r="E611" s="481"/>
      <c r="F611" s="483"/>
      <c r="G611" s="481"/>
      <c r="H611" s="481"/>
      <c r="I611" s="481"/>
      <c r="J611" s="481"/>
      <c r="K611" s="481"/>
      <c r="L611" s="481"/>
      <c r="M611" s="481"/>
      <c r="N611" s="481"/>
      <c r="O611" s="481"/>
      <c r="P611" s="481"/>
      <c r="Q611" s="481"/>
      <c r="R611" s="481"/>
      <c r="S611" s="481"/>
      <c r="T611" s="481"/>
      <c r="U611" s="481"/>
      <c r="V611" s="481"/>
      <c r="W611" s="481"/>
      <c r="X611" s="481"/>
      <c r="Y611" s="481"/>
      <c r="Z611" s="481"/>
      <c r="AA611" s="481"/>
      <c r="AB611" s="481"/>
    </row>
    <row r="612">
      <c r="A612" s="481"/>
      <c r="B612" s="481"/>
      <c r="C612" s="481"/>
      <c r="D612" s="483"/>
      <c r="E612" s="481"/>
      <c r="F612" s="483"/>
      <c r="G612" s="481"/>
      <c r="H612" s="481"/>
      <c r="I612" s="481"/>
      <c r="J612" s="481"/>
      <c r="K612" s="481"/>
      <c r="L612" s="481"/>
      <c r="M612" s="481"/>
      <c r="N612" s="481"/>
      <c r="O612" s="481"/>
      <c r="P612" s="481"/>
      <c r="Q612" s="481"/>
      <c r="R612" s="481"/>
      <c r="S612" s="481"/>
      <c r="T612" s="481"/>
      <c r="U612" s="481"/>
      <c r="V612" s="481"/>
      <c r="W612" s="481"/>
      <c r="X612" s="481"/>
      <c r="Y612" s="481"/>
      <c r="Z612" s="481"/>
      <c r="AA612" s="481"/>
      <c r="AB612" s="481"/>
    </row>
    <row r="613">
      <c r="A613" s="481"/>
      <c r="B613" s="481"/>
      <c r="C613" s="481"/>
      <c r="D613" s="483"/>
      <c r="E613" s="481"/>
      <c r="F613" s="483"/>
      <c r="G613" s="481"/>
      <c r="H613" s="481"/>
      <c r="I613" s="481"/>
      <c r="J613" s="481"/>
      <c r="K613" s="481"/>
      <c r="L613" s="481"/>
      <c r="M613" s="481"/>
      <c r="N613" s="481"/>
      <c r="O613" s="481"/>
      <c r="P613" s="481"/>
      <c r="Q613" s="481"/>
      <c r="R613" s="481"/>
      <c r="S613" s="481"/>
      <c r="T613" s="481"/>
      <c r="U613" s="481"/>
      <c r="V613" s="481"/>
      <c r="W613" s="481"/>
      <c r="X613" s="481"/>
      <c r="Y613" s="481"/>
      <c r="Z613" s="481"/>
      <c r="AA613" s="481"/>
      <c r="AB613" s="481"/>
    </row>
    <row r="614">
      <c r="A614" s="481"/>
      <c r="B614" s="481"/>
      <c r="C614" s="481"/>
      <c r="D614" s="483"/>
      <c r="E614" s="481"/>
      <c r="F614" s="483"/>
      <c r="G614" s="481"/>
      <c r="H614" s="481"/>
      <c r="I614" s="481"/>
      <c r="J614" s="481"/>
      <c r="K614" s="481"/>
      <c r="L614" s="481"/>
      <c r="M614" s="481"/>
      <c r="N614" s="481"/>
      <c r="O614" s="481"/>
      <c r="P614" s="481"/>
      <c r="Q614" s="481"/>
      <c r="R614" s="481"/>
      <c r="S614" s="481"/>
      <c r="T614" s="481"/>
      <c r="U614" s="481"/>
      <c r="V614" s="481"/>
      <c r="W614" s="481"/>
      <c r="X614" s="481"/>
      <c r="Y614" s="481"/>
      <c r="Z614" s="481"/>
      <c r="AA614" s="481"/>
      <c r="AB614" s="481"/>
    </row>
    <row r="615">
      <c r="A615" s="481"/>
      <c r="B615" s="481"/>
      <c r="C615" s="481"/>
      <c r="D615" s="483"/>
      <c r="E615" s="481"/>
      <c r="F615" s="483"/>
      <c r="G615" s="481"/>
      <c r="H615" s="481"/>
      <c r="I615" s="481"/>
      <c r="J615" s="481"/>
      <c r="K615" s="481"/>
      <c r="L615" s="481"/>
      <c r="M615" s="481"/>
      <c r="N615" s="481"/>
      <c r="O615" s="481"/>
      <c r="P615" s="481"/>
      <c r="Q615" s="481"/>
      <c r="R615" s="481"/>
      <c r="S615" s="481"/>
      <c r="T615" s="481"/>
      <c r="U615" s="481"/>
      <c r="V615" s="481"/>
      <c r="W615" s="481"/>
      <c r="X615" s="481"/>
      <c r="Y615" s="481"/>
      <c r="Z615" s="481"/>
      <c r="AA615" s="481"/>
      <c r="AB615" s="481"/>
    </row>
    <row r="616">
      <c r="A616" s="481"/>
      <c r="B616" s="481"/>
      <c r="C616" s="481"/>
      <c r="D616" s="483"/>
      <c r="E616" s="481"/>
      <c r="F616" s="483"/>
      <c r="G616" s="481"/>
      <c r="H616" s="481"/>
      <c r="I616" s="481"/>
      <c r="J616" s="481"/>
      <c r="K616" s="481"/>
      <c r="L616" s="481"/>
      <c r="M616" s="481"/>
      <c r="N616" s="481"/>
      <c r="O616" s="481"/>
      <c r="P616" s="481"/>
      <c r="Q616" s="481"/>
      <c r="R616" s="481"/>
      <c r="S616" s="481"/>
      <c r="T616" s="481"/>
      <c r="U616" s="481"/>
      <c r="V616" s="481"/>
      <c r="W616" s="481"/>
      <c r="X616" s="481"/>
      <c r="Y616" s="481"/>
      <c r="Z616" s="481"/>
      <c r="AA616" s="481"/>
      <c r="AB616" s="481"/>
    </row>
    <row r="617">
      <c r="A617" s="481"/>
      <c r="B617" s="481"/>
      <c r="C617" s="481"/>
      <c r="D617" s="483"/>
      <c r="E617" s="481"/>
      <c r="F617" s="483"/>
      <c r="G617" s="481"/>
      <c r="H617" s="481"/>
      <c r="I617" s="481"/>
      <c r="J617" s="481"/>
      <c r="K617" s="481"/>
      <c r="L617" s="481"/>
      <c r="M617" s="481"/>
      <c r="N617" s="481"/>
      <c r="O617" s="481"/>
      <c r="P617" s="481"/>
      <c r="Q617" s="481"/>
      <c r="R617" s="481"/>
      <c r="S617" s="481"/>
      <c r="T617" s="481"/>
      <c r="U617" s="481"/>
      <c r="V617" s="481"/>
      <c r="W617" s="481"/>
      <c r="X617" s="481"/>
      <c r="Y617" s="481"/>
      <c r="Z617" s="481"/>
      <c r="AA617" s="481"/>
      <c r="AB617" s="481"/>
    </row>
    <row r="618">
      <c r="A618" s="481"/>
      <c r="B618" s="481"/>
      <c r="C618" s="481"/>
      <c r="D618" s="483"/>
      <c r="E618" s="481"/>
      <c r="F618" s="483"/>
      <c r="G618" s="481"/>
      <c r="H618" s="481"/>
      <c r="I618" s="481"/>
      <c r="J618" s="481"/>
      <c r="K618" s="481"/>
      <c r="L618" s="481"/>
      <c r="M618" s="481"/>
      <c r="N618" s="481"/>
      <c r="O618" s="481"/>
      <c r="P618" s="481"/>
      <c r="Q618" s="481"/>
      <c r="R618" s="481"/>
      <c r="S618" s="481"/>
      <c r="T618" s="481"/>
      <c r="U618" s="481"/>
      <c r="V618" s="481"/>
      <c r="W618" s="481"/>
      <c r="X618" s="481"/>
      <c r="Y618" s="481"/>
      <c r="Z618" s="481"/>
      <c r="AA618" s="481"/>
      <c r="AB618" s="481"/>
    </row>
    <row r="619">
      <c r="A619" s="481"/>
      <c r="B619" s="481"/>
      <c r="C619" s="481"/>
      <c r="D619" s="483"/>
      <c r="E619" s="481"/>
      <c r="F619" s="483"/>
      <c r="G619" s="481"/>
      <c r="H619" s="481"/>
      <c r="I619" s="481"/>
      <c r="J619" s="481"/>
      <c r="K619" s="481"/>
      <c r="L619" s="481"/>
      <c r="M619" s="481"/>
      <c r="N619" s="481"/>
      <c r="O619" s="481"/>
      <c r="P619" s="481"/>
      <c r="Q619" s="481"/>
      <c r="R619" s="481"/>
      <c r="S619" s="481"/>
      <c r="T619" s="481"/>
      <c r="U619" s="481"/>
      <c r="V619" s="481"/>
      <c r="W619" s="481"/>
      <c r="X619" s="481"/>
      <c r="Y619" s="481"/>
      <c r="Z619" s="481"/>
      <c r="AA619" s="481"/>
      <c r="AB619" s="481"/>
    </row>
    <row r="620">
      <c r="A620" s="481"/>
      <c r="B620" s="481"/>
      <c r="C620" s="481"/>
      <c r="D620" s="483"/>
      <c r="E620" s="481"/>
      <c r="F620" s="483"/>
      <c r="G620" s="481"/>
      <c r="H620" s="481"/>
      <c r="I620" s="481"/>
      <c r="J620" s="481"/>
      <c r="K620" s="481"/>
      <c r="L620" s="481"/>
      <c r="M620" s="481"/>
      <c r="N620" s="481"/>
      <c r="O620" s="481"/>
      <c r="P620" s="481"/>
      <c r="Q620" s="481"/>
      <c r="R620" s="481"/>
      <c r="S620" s="481"/>
      <c r="T620" s="481"/>
      <c r="U620" s="481"/>
      <c r="V620" s="481"/>
      <c r="W620" s="481"/>
      <c r="X620" s="481"/>
      <c r="Y620" s="481"/>
      <c r="Z620" s="481"/>
      <c r="AA620" s="481"/>
      <c r="AB620" s="481"/>
    </row>
    <row r="621">
      <c r="A621" s="481"/>
      <c r="B621" s="481"/>
      <c r="C621" s="481"/>
      <c r="D621" s="483"/>
      <c r="E621" s="481"/>
      <c r="F621" s="483"/>
      <c r="G621" s="481"/>
      <c r="H621" s="481"/>
      <c r="I621" s="481"/>
      <c r="J621" s="481"/>
      <c r="K621" s="481"/>
      <c r="L621" s="481"/>
      <c r="M621" s="481"/>
      <c r="N621" s="481"/>
      <c r="O621" s="481"/>
      <c r="P621" s="481"/>
      <c r="Q621" s="481"/>
      <c r="R621" s="481"/>
      <c r="S621" s="481"/>
      <c r="T621" s="481"/>
      <c r="U621" s="481"/>
      <c r="V621" s="481"/>
      <c r="W621" s="481"/>
      <c r="X621" s="481"/>
      <c r="Y621" s="481"/>
      <c r="Z621" s="481"/>
      <c r="AA621" s="481"/>
      <c r="AB621" s="481"/>
    </row>
    <row r="622">
      <c r="A622" s="481"/>
      <c r="B622" s="481"/>
      <c r="C622" s="481"/>
      <c r="D622" s="483"/>
      <c r="E622" s="481"/>
      <c r="F622" s="483"/>
      <c r="G622" s="481"/>
      <c r="H622" s="481"/>
      <c r="I622" s="481"/>
      <c r="J622" s="481"/>
      <c r="K622" s="481"/>
      <c r="L622" s="481"/>
      <c r="M622" s="481"/>
      <c r="N622" s="481"/>
      <c r="O622" s="481"/>
      <c r="P622" s="481"/>
      <c r="Q622" s="481"/>
      <c r="R622" s="481"/>
      <c r="S622" s="481"/>
      <c r="T622" s="481"/>
      <c r="U622" s="481"/>
      <c r="V622" s="481"/>
      <c r="W622" s="481"/>
      <c r="X622" s="481"/>
      <c r="Y622" s="481"/>
      <c r="Z622" s="481"/>
      <c r="AA622" s="481"/>
      <c r="AB622" s="481"/>
    </row>
    <row r="623">
      <c r="A623" s="481"/>
      <c r="B623" s="481"/>
      <c r="C623" s="481"/>
      <c r="D623" s="483"/>
      <c r="E623" s="481"/>
      <c r="F623" s="483"/>
      <c r="G623" s="481"/>
      <c r="H623" s="481"/>
      <c r="I623" s="481"/>
      <c r="J623" s="481"/>
      <c r="K623" s="481"/>
      <c r="L623" s="481"/>
      <c r="M623" s="481"/>
      <c r="N623" s="481"/>
      <c r="O623" s="481"/>
      <c r="P623" s="481"/>
      <c r="Q623" s="481"/>
      <c r="R623" s="481"/>
      <c r="S623" s="481"/>
      <c r="T623" s="481"/>
      <c r="U623" s="481"/>
      <c r="V623" s="481"/>
      <c r="W623" s="481"/>
      <c r="X623" s="481"/>
      <c r="Y623" s="481"/>
      <c r="Z623" s="481"/>
      <c r="AA623" s="481"/>
      <c r="AB623" s="481"/>
    </row>
    <row r="624">
      <c r="A624" s="481"/>
      <c r="B624" s="481"/>
      <c r="C624" s="481"/>
      <c r="D624" s="483"/>
      <c r="E624" s="481"/>
      <c r="F624" s="483"/>
      <c r="G624" s="481"/>
      <c r="H624" s="481"/>
      <c r="I624" s="481"/>
      <c r="J624" s="481"/>
      <c r="K624" s="481"/>
      <c r="L624" s="481"/>
      <c r="M624" s="481"/>
      <c r="N624" s="481"/>
      <c r="O624" s="481"/>
      <c r="P624" s="481"/>
      <c r="Q624" s="481"/>
      <c r="R624" s="481"/>
      <c r="S624" s="481"/>
      <c r="T624" s="481"/>
      <c r="U624" s="481"/>
      <c r="V624" s="481"/>
      <c r="W624" s="481"/>
      <c r="X624" s="481"/>
      <c r="Y624" s="481"/>
      <c r="Z624" s="481"/>
      <c r="AA624" s="481"/>
      <c r="AB624" s="481"/>
    </row>
    <row r="625">
      <c r="A625" s="481"/>
      <c r="B625" s="481"/>
      <c r="C625" s="481"/>
      <c r="D625" s="483"/>
      <c r="E625" s="481"/>
      <c r="F625" s="483"/>
      <c r="G625" s="481"/>
      <c r="H625" s="481"/>
      <c r="I625" s="481"/>
      <c r="J625" s="481"/>
      <c r="K625" s="481"/>
      <c r="L625" s="481"/>
      <c r="M625" s="481"/>
      <c r="N625" s="481"/>
      <c r="O625" s="481"/>
      <c r="P625" s="481"/>
      <c r="Q625" s="481"/>
      <c r="R625" s="481"/>
      <c r="S625" s="481"/>
      <c r="T625" s="481"/>
      <c r="U625" s="481"/>
      <c r="V625" s="481"/>
      <c r="W625" s="481"/>
      <c r="X625" s="481"/>
      <c r="Y625" s="481"/>
      <c r="Z625" s="481"/>
      <c r="AA625" s="481"/>
      <c r="AB625" s="481"/>
    </row>
    <row r="626">
      <c r="A626" s="481"/>
      <c r="B626" s="481"/>
      <c r="C626" s="481"/>
      <c r="D626" s="483"/>
      <c r="E626" s="481"/>
      <c r="F626" s="483"/>
      <c r="G626" s="481"/>
      <c r="H626" s="481"/>
      <c r="I626" s="481"/>
      <c r="J626" s="481"/>
      <c r="K626" s="481"/>
      <c r="L626" s="481"/>
      <c r="M626" s="481"/>
      <c r="N626" s="481"/>
      <c r="O626" s="481"/>
      <c r="P626" s="481"/>
      <c r="Q626" s="481"/>
      <c r="R626" s="481"/>
      <c r="S626" s="481"/>
      <c r="T626" s="481"/>
      <c r="U626" s="481"/>
      <c r="V626" s="481"/>
      <c r="W626" s="481"/>
      <c r="X626" s="481"/>
      <c r="Y626" s="481"/>
      <c r="Z626" s="481"/>
      <c r="AA626" s="481"/>
      <c r="AB626" s="481"/>
    </row>
    <row r="627">
      <c r="A627" s="481"/>
      <c r="B627" s="481"/>
      <c r="C627" s="481"/>
      <c r="D627" s="483"/>
      <c r="E627" s="481"/>
      <c r="F627" s="483"/>
      <c r="G627" s="481"/>
      <c r="H627" s="481"/>
      <c r="I627" s="481"/>
      <c r="J627" s="481"/>
      <c r="K627" s="481"/>
      <c r="L627" s="481"/>
      <c r="M627" s="481"/>
      <c r="N627" s="481"/>
      <c r="O627" s="481"/>
      <c r="P627" s="481"/>
      <c r="Q627" s="481"/>
      <c r="R627" s="481"/>
      <c r="S627" s="481"/>
      <c r="T627" s="481"/>
      <c r="U627" s="481"/>
      <c r="V627" s="481"/>
      <c r="W627" s="481"/>
      <c r="X627" s="481"/>
      <c r="Y627" s="481"/>
      <c r="Z627" s="481"/>
      <c r="AA627" s="481"/>
      <c r="AB627" s="481"/>
    </row>
    <row r="628">
      <c r="A628" s="481"/>
      <c r="B628" s="481"/>
      <c r="C628" s="481"/>
      <c r="D628" s="483"/>
      <c r="E628" s="481"/>
      <c r="F628" s="483"/>
      <c r="G628" s="481"/>
      <c r="H628" s="481"/>
      <c r="I628" s="481"/>
      <c r="J628" s="481"/>
      <c r="K628" s="481"/>
      <c r="L628" s="481"/>
      <c r="M628" s="481"/>
      <c r="N628" s="481"/>
      <c r="O628" s="481"/>
      <c r="P628" s="481"/>
      <c r="Q628" s="481"/>
      <c r="R628" s="481"/>
      <c r="S628" s="481"/>
      <c r="T628" s="481"/>
      <c r="U628" s="481"/>
      <c r="V628" s="481"/>
      <c r="W628" s="481"/>
      <c r="X628" s="481"/>
      <c r="Y628" s="481"/>
      <c r="Z628" s="481"/>
      <c r="AA628" s="481"/>
      <c r="AB628" s="481"/>
    </row>
    <row r="629">
      <c r="A629" s="481"/>
      <c r="B629" s="481"/>
      <c r="C629" s="481"/>
      <c r="D629" s="483"/>
      <c r="E629" s="481"/>
      <c r="F629" s="483"/>
      <c r="G629" s="481"/>
      <c r="H629" s="481"/>
      <c r="I629" s="481"/>
      <c r="J629" s="481"/>
      <c r="K629" s="481"/>
      <c r="L629" s="481"/>
      <c r="M629" s="481"/>
      <c r="N629" s="481"/>
      <c r="O629" s="481"/>
      <c r="P629" s="481"/>
      <c r="Q629" s="481"/>
      <c r="R629" s="481"/>
      <c r="S629" s="481"/>
      <c r="T629" s="481"/>
      <c r="U629" s="481"/>
      <c r="V629" s="481"/>
      <c r="W629" s="481"/>
      <c r="X629" s="481"/>
      <c r="Y629" s="481"/>
      <c r="Z629" s="481"/>
      <c r="AA629" s="481"/>
      <c r="AB629" s="481"/>
    </row>
    <row r="630">
      <c r="A630" s="481"/>
      <c r="B630" s="481"/>
      <c r="C630" s="481"/>
      <c r="D630" s="483"/>
      <c r="E630" s="481"/>
      <c r="F630" s="483"/>
      <c r="G630" s="481"/>
      <c r="H630" s="481"/>
      <c r="I630" s="481"/>
      <c r="J630" s="481"/>
      <c r="K630" s="481"/>
      <c r="L630" s="481"/>
      <c r="M630" s="481"/>
      <c r="N630" s="481"/>
      <c r="O630" s="481"/>
      <c r="P630" s="481"/>
      <c r="Q630" s="481"/>
      <c r="R630" s="481"/>
      <c r="S630" s="481"/>
      <c r="T630" s="481"/>
      <c r="U630" s="481"/>
      <c r="V630" s="481"/>
      <c r="W630" s="481"/>
      <c r="X630" s="481"/>
      <c r="Y630" s="481"/>
      <c r="Z630" s="481"/>
      <c r="AA630" s="481"/>
      <c r="AB630" s="481"/>
    </row>
    <row r="631">
      <c r="A631" s="481"/>
      <c r="B631" s="481"/>
      <c r="C631" s="481"/>
      <c r="D631" s="483"/>
      <c r="E631" s="481"/>
      <c r="F631" s="483"/>
      <c r="G631" s="481"/>
      <c r="H631" s="481"/>
      <c r="I631" s="481"/>
      <c r="J631" s="481"/>
      <c r="K631" s="481"/>
      <c r="L631" s="481"/>
      <c r="M631" s="481"/>
      <c r="N631" s="481"/>
      <c r="O631" s="481"/>
      <c r="P631" s="481"/>
      <c r="Q631" s="481"/>
      <c r="R631" s="481"/>
      <c r="S631" s="481"/>
      <c r="T631" s="481"/>
      <c r="U631" s="481"/>
      <c r="V631" s="481"/>
      <c r="W631" s="481"/>
      <c r="X631" s="481"/>
      <c r="Y631" s="481"/>
      <c r="Z631" s="481"/>
      <c r="AA631" s="481"/>
      <c r="AB631" s="481"/>
    </row>
    <row r="632">
      <c r="A632" s="481"/>
      <c r="B632" s="481"/>
      <c r="C632" s="481"/>
      <c r="D632" s="483"/>
      <c r="E632" s="481"/>
      <c r="F632" s="483"/>
      <c r="G632" s="481"/>
      <c r="H632" s="481"/>
      <c r="I632" s="481"/>
      <c r="J632" s="481"/>
      <c r="K632" s="481"/>
      <c r="L632" s="481"/>
      <c r="M632" s="481"/>
      <c r="N632" s="481"/>
      <c r="O632" s="481"/>
      <c r="P632" s="481"/>
      <c r="Q632" s="481"/>
      <c r="R632" s="481"/>
      <c r="S632" s="481"/>
      <c r="T632" s="481"/>
      <c r="U632" s="481"/>
      <c r="V632" s="481"/>
      <c r="W632" s="481"/>
      <c r="X632" s="481"/>
      <c r="Y632" s="481"/>
      <c r="Z632" s="481"/>
      <c r="AA632" s="481"/>
      <c r="AB632" s="481"/>
    </row>
    <row r="633">
      <c r="A633" s="481"/>
      <c r="B633" s="481"/>
      <c r="C633" s="481"/>
      <c r="D633" s="483"/>
      <c r="E633" s="481"/>
      <c r="F633" s="483"/>
      <c r="G633" s="481"/>
      <c r="H633" s="481"/>
      <c r="I633" s="481"/>
      <c r="J633" s="481"/>
      <c r="K633" s="481"/>
      <c r="L633" s="481"/>
      <c r="M633" s="481"/>
      <c r="N633" s="481"/>
      <c r="O633" s="481"/>
      <c r="P633" s="481"/>
      <c r="Q633" s="481"/>
      <c r="R633" s="481"/>
      <c r="S633" s="481"/>
      <c r="T633" s="481"/>
      <c r="U633" s="481"/>
      <c r="V633" s="481"/>
      <c r="W633" s="481"/>
      <c r="X633" s="481"/>
      <c r="Y633" s="481"/>
      <c r="Z633" s="481"/>
      <c r="AA633" s="481"/>
      <c r="AB633" s="481"/>
    </row>
    <row r="634">
      <c r="A634" s="481"/>
      <c r="B634" s="481"/>
      <c r="C634" s="481"/>
      <c r="D634" s="483"/>
      <c r="E634" s="481"/>
      <c r="F634" s="483"/>
      <c r="G634" s="481"/>
      <c r="H634" s="481"/>
      <c r="I634" s="481"/>
      <c r="J634" s="481"/>
      <c r="K634" s="481"/>
      <c r="L634" s="481"/>
      <c r="M634" s="481"/>
      <c r="N634" s="481"/>
      <c r="O634" s="481"/>
      <c r="P634" s="481"/>
      <c r="Q634" s="481"/>
      <c r="R634" s="481"/>
      <c r="S634" s="481"/>
      <c r="T634" s="481"/>
      <c r="U634" s="481"/>
      <c r="V634" s="481"/>
      <c r="W634" s="481"/>
      <c r="X634" s="481"/>
      <c r="Y634" s="481"/>
      <c r="Z634" s="481"/>
      <c r="AA634" s="481"/>
      <c r="AB634" s="481"/>
    </row>
    <row r="635">
      <c r="A635" s="481"/>
      <c r="B635" s="481"/>
      <c r="C635" s="481"/>
      <c r="D635" s="483"/>
      <c r="E635" s="481"/>
      <c r="F635" s="483"/>
      <c r="G635" s="481"/>
      <c r="H635" s="481"/>
      <c r="I635" s="481"/>
      <c r="J635" s="481"/>
      <c r="K635" s="481"/>
      <c r="L635" s="481"/>
      <c r="M635" s="481"/>
      <c r="N635" s="481"/>
      <c r="O635" s="481"/>
      <c r="P635" s="481"/>
      <c r="Q635" s="481"/>
      <c r="R635" s="481"/>
      <c r="S635" s="481"/>
      <c r="T635" s="481"/>
      <c r="U635" s="481"/>
      <c r="V635" s="481"/>
      <c r="W635" s="481"/>
      <c r="X635" s="481"/>
      <c r="Y635" s="481"/>
      <c r="Z635" s="481"/>
      <c r="AA635" s="481"/>
      <c r="AB635" s="481"/>
    </row>
    <row r="636">
      <c r="A636" s="481"/>
      <c r="B636" s="481"/>
      <c r="C636" s="481"/>
      <c r="D636" s="483"/>
      <c r="E636" s="481"/>
      <c r="F636" s="483"/>
      <c r="G636" s="481"/>
      <c r="H636" s="481"/>
      <c r="I636" s="481"/>
      <c r="J636" s="481"/>
      <c r="K636" s="481"/>
      <c r="L636" s="481"/>
      <c r="M636" s="481"/>
      <c r="N636" s="481"/>
      <c r="O636" s="481"/>
      <c r="P636" s="481"/>
      <c r="Q636" s="481"/>
      <c r="R636" s="481"/>
      <c r="S636" s="481"/>
      <c r="T636" s="481"/>
      <c r="U636" s="481"/>
      <c r="V636" s="481"/>
      <c r="W636" s="481"/>
      <c r="X636" s="481"/>
      <c r="Y636" s="481"/>
      <c r="Z636" s="481"/>
      <c r="AA636" s="481"/>
      <c r="AB636" s="481"/>
    </row>
    <row r="637">
      <c r="A637" s="481"/>
      <c r="B637" s="481"/>
      <c r="C637" s="481"/>
      <c r="D637" s="483"/>
      <c r="E637" s="481"/>
      <c r="F637" s="483"/>
      <c r="G637" s="481"/>
      <c r="H637" s="481"/>
      <c r="I637" s="481"/>
      <c r="J637" s="481"/>
      <c r="K637" s="481"/>
      <c r="L637" s="481"/>
      <c r="M637" s="481"/>
      <c r="N637" s="481"/>
      <c r="O637" s="481"/>
      <c r="P637" s="481"/>
      <c r="Q637" s="481"/>
      <c r="R637" s="481"/>
      <c r="S637" s="481"/>
      <c r="T637" s="481"/>
      <c r="U637" s="481"/>
      <c r="V637" s="481"/>
      <c r="W637" s="481"/>
      <c r="X637" s="481"/>
      <c r="Y637" s="481"/>
      <c r="Z637" s="481"/>
      <c r="AA637" s="481"/>
      <c r="AB637" s="481"/>
    </row>
    <row r="638">
      <c r="A638" s="481"/>
      <c r="B638" s="481"/>
      <c r="C638" s="481"/>
      <c r="D638" s="483"/>
      <c r="E638" s="481"/>
      <c r="F638" s="483"/>
      <c r="G638" s="481"/>
      <c r="H638" s="481"/>
      <c r="I638" s="481"/>
      <c r="J638" s="481"/>
      <c r="K638" s="481"/>
      <c r="L638" s="481"/>
      <c r="M638" s="481"/>
      <c r="N638" s="481"/>
      <c r="O638" s="481"/>
      <c r="P638" s="481"/>
      <c r="Q638" s="481"/>
      <c r="R638" s="481"/>
      <c r="S638" s="481"/>
      <c r="T638" s="481"/>
      <c r="U638" s="481"/>
      <c r="V638" s="481"/>
      <c r="W638" s="481"/>
      <c r="X638" s="481"/>
      <c r="Y638" s="481"/>
      <c r="Z638" s="481"/>
      <c r="AA638" s="481"/>
      <c r="AB638" s="481"/>
    </row>
    <row r="639">
      <c r="A639" s="481"/>
      <c r="B639" s="481"/>
      <c r="C639" s="481"/>
      <c r="D639" s="483"/>
      <c r="E639" s="481"/>
      <c r="F639" s="483"/>
      <c r="G639" s="481"/>
      <c r="H639" s="481"/>
      <c r="I639" s="481"/>
      <c r="J639" s="481"/>
      <c r="K639" s="481"/>
      <c r="L639" s="481"/>
      <c r="M639" s="481"/>
      <c r="N639" s="481"/>
      <c r="O639" s="481"/>
      <c r="P639" s="481"/>
      <c r="Q639" s="481"/>
      <c r="R639" s="481"/>
      <c r="S639" s="481"/>
      <c r="T639" s="481"/>
      <c r="U639" s="481"/>
      <c r="V639" s="481"/>
      <c r="W639" s="481"/>
      <c r="X639" s="481"/>
      <c r="Y639" s="481"/>
      <c r="Z639" s="481"/>
      <c r="AA639" s="481"/>
      <c r="AB639" s="481"/>
    </row>
    <row r="640">
      <c r="A640" s="481"/>
      <c r="B640" s="481"/>
      <c r="C640" s="481"/>
      <c r="D640" s="483"/>
      <c r="E640" s="481"/>
      <c r="F640" s="483"/>
      <c r="G640" s="481"/>
      <c r="H640" s="481"/>
      <c r="I640" s="481"/>
      <c r="J640" s="481"/>
      <c r="K640" s="481"/>
      <c r="L640" s="481"/>
      <c r="M640" s="481"/>
      <c r="N640" s="481"/>
      <c r="O640" s="481"/>
      <c r="P640" s="481"/>
      <c r="Q640" s="481"/>
      <c r="R640" s="481"/>
      <c r="S640" s="481"/>
      <c r="T640" s="481"/>
      <c r="U640" s="481"/>
      <c r="V640" s="481"/>
      <c r="W640" s="481"/>
      <c r="X640" s="481"/>
      <c r="Y640" s="481"/>
      <c r="Z640" s="481"/>
      <c r="AA640" s="481"/>
      <c r="AB640" s="481"/>
    </row>
    <row r="641">
      <c r="A641" s="481"/>
      <c r="B641" s="481"/>
      <c r="C641" s="481"/>
      <c r="D641" s="483"/>
      <c r="E641" s="481"/>
      <c r="F641" s="483"/>
      <c r="G641" s="481"/>
      <c r="H641" s="481"/>
      <c r="I641" s="481"/>
      <c r="J641" s="481"/>
      <c r="K641" s="481"/>
      <c r="L641" s="481"/>
      <c r="M641" s="481"/>
      <c r="N641" s="481"/>
      <c r="O641" s="481"/>
      <c r="P641" s="481"/>
      <c r="Q641" s="481"/>
      <c r="R641" s="481"/>
      <c r="S641" s="481"/>
      <c r="T641" s="481"/>
      <c r="U641" s="481"/>
      <c r="V641" s="481"/>
      <c r="W641" s="481"/>
      <c r="X641" s="481"/>
      <c r="Y641" s="481"/>
      <c r="Z641" s="481"/>
      <c r="AA641" s="481"/>
      <c r="AB641" s="481"/>
    </row>
    <row r="642">
      <c r="A642" s="481"/>
      <c r="B642" s="481"/>
      <c r="C642" s="481"/>
      <c r="D642" s="483"/>
      <c r="E642" s="481"/>
      <c r="F642" s="483"/>
      <c r="G642" s="481"/>
      <c r="H642" s="481"/>
      <c r="I642" s="481"/>
      <c r="J642" s="481"/>
      <c r="K642" s="481"/>
      <c r="L642" s="481"/>
      <c r="M642" s="481"/>
      <c r="N642" s="481"/>
      <c r="O642" s="481"/>
      <c r="P642" s="481"/>
      <c r="Q642" s="481"/>
      <c r="R642" s="481"/>
      <c r="S642" s="481"/>
      <c r="T642" s="481"/>
      <c r="U642" s="481"/>
      <c r="V642" s="481"/>
      <c r="W642" s="481"/>
      <c r="X642" s="481"/>
      <c r="Y642" s="481"/>
      <c r="Z642" s="481"/>
      <c r="AA642" s="481"/>
      <c r="AB642" s="481"/>
    </row>
    <row r="643">
      <c r="A643" s="481"/>
      <c r="B643" s="481"/>
      <c r="C643" s="481"/>
      <c r="D643" s="483"/>
      <c r="E643" s="481"/>
      <c r="F643" s="483"/>
      <c r="G643" s="481"/>
      <c r="H643" s="481"/>
      <c r="I643" s="481"/>
      <c r="J643" s="481"/>
      <c r="K643" s="481"/>
      <c r="L643" s="481"/>
      <c r="M643" s="481"/>
      <c r="N643" s="481"/>
      <c r="O643" s="481"/>
      <c r="P643" s="481"/>
      <c r="Q643" s="481"/>
      <c r="R643" s="481"/>
      <c r="S643" s="481"/>
      <c r="T643" s="481"/>
      <c r="U643" s="481"/>
      <c r="V643" s="481"/>
      <c r="W643" s="481"/>
      <c r="X643" s="481"/>
      <c r="Y643" s="481"/>
      <c r="Z643" s="481"/>
      <c r="AA643" s="481"/>
      <c r="AB643" s="481"/>
    </row>
    <row r="644">
      <c r="A644" s="481"/>
      <c r="B644" s="481"/>
      <c r="C644" s="481"/>
      <c r="D644" s="483"/>
      <c r="E644" s="481"/>
      <c r="F644" s="483"/>
      <c r="G644" s="481"/>
      <c r="H644" s="481"/>
      <c r="I644" s="481"/>
      <c r="J644" s="481"/>
      <c r="K644" s="481"/>
      <c r="L644" s="481"/>
      <c r="M644" s="481"/>
      <c r="N644" s="481"/>
      <c r="O644" s="481"/>
      <c r="P644" s="481"/>
      <c r="Q644" s="481"/>
      <c r="R644" s="481"/>
      <c r="S644" s="481"/>
      <c r="T644" s="481"/>
      <c r="U644" s="481"/>
      <c r="V644" s="481"/>
      <c r="W644" s="481"/>
      <c r="X644" s="481"/>
      <c r="Y644" s="481"/>
      <c r="Z644" s="481"/>
      <c r="AA644" s="481"/>
      <c r="AB644" s="481"/>
    </row>
    <row r="645">
      <c r="A645" s="481"/>
      <c r="B645" s="481"/>
      <c r="C645" s="481"/>
      <c r="D645" s="483"/>
      <c r="E645" s="481"/>
      <c r="F645" s="483"/>
      <c r="G645" s="481"/>
      <c r="H645" s="481"/>
      <c r="I645" s="481"/>
      <c r="J645" s="481"/>
      <c r="K645" s="481"/>
      <c r="L645" s="481"/>
      <c r="M645" s="481"/>
      <c r="N645" s="481"/>
      <c r="O645" s="481"/>
      <c r="P645" s="481"/>
      <c r="Q645" s="481"/>
      <c r="R645" s="481"/>
      <c r="S645" s="481"/>
      <c r="T645" s="481"/>
      <c r="U645" s="481"/>
      <c r="V645" s="481"/>
      <c r="W645" s="481"/>
      <c r="X645" s="481"/>
      <c r="Y645" s="481"/>
      <c r="Z645" s="481"/>
      <c r="AA645" s="481"/>
      <c r="AB645" s="481"/>
    </row>
    <row r="646">
      <c r="A646" s="481"/>
      <c r="B646" s="481"/>
      <c r="C646" s="481"/>
      <c r="D646" s="483"/>
      <c r="E646" s="481"/>
      <c r="F646" s="483"/>
      <c r="G646" s="481"/>
      <c r="H646" s="481"/>
      <c r="I646" s="481"/>
      <c r="J646" s="481"/>
      <c r="K646" s="481"/>
      <c r="L646" s="481"/>
      <c r="M646" s="481"/>
      <c r="N646" s="481"/>
      <c r="O646" s="481"/>
      <c r="P646" s="481"/>
      <c r="Q646" s="481"/>
      <c r="R646" s="481"/>
      <c r="S646" s="481"/>
      <c r="T646" s="481"/>
      <c r="U646" s="481"/>
      <c r="V646" s="481"/>
      <c r="W646" s="481"/>
      <c r="X646" s="481"/>
      <c r="Y646" s="481"/>
      <c r="Z646" s="481"/>
      <c r="AA646" s="481"/>
      <c r="AB646" s="481"/>
    </row>
    <row r="647">
      <c r="A647" s="481"/>
      <c r="B647" s="481"/>
      <c r="C647" s="481"/>
      <c r="D647" s="483"/>
      <c r="E647" s="481"/>
      <c r="F647" s="483"/>
      <c r="G647" s="481"/>
      <c r="H647" s="481"/>
      <c r="I647" s="481"/>
      <c r="J647" s="481"/>
      <c r="K647" s="481"/>
      <c r="L647" s="481"/>
      <c r="M647" s="481"/>
      <c r="N647" s="481"/>
      <c r="O647" s="481"/>
      <c r="P647" s="481"/>
      <c r="Q647" s="481"/>
      <c r="R647" s="481"/>
      <c r="S647" s="481"/>
      <c r="T647" s="481"/>
      <c r="U647" s="481"/>
      <c r="V647" s="481"/>
      <c r="W647" s="481"/>
      <c r="X647" s="481"/>
      <c r="Y647" s="481"/>
      <c r="Z647" s="481"/>
      <c r="AA647" s="481"/>
      <c r="AB647" s="481"/>
    </row>
    <row r="648">
      <c r="A648" s="481"/>
      <c r="B648" s="481"/>
      <c r="C648" s="481"/>
      <c r="D648" s="483"/>
      <c r="E648" s="481"/>
      <c r="F648" s="483"/>
      <c r="G648" s="481"/>
      <c r="H648" s="481"/>
      <c r="I648" s="481"/>
      <c r="J648" s="481"/>
      <c r="K648" s="481"/>
      <c r="L648" s="481"/>
      <c r="M648" s="481"/>
      <c r="N648" s="481"/>
      <c r="O648" s="481"/>
      <c r="P648" s="481"/>
      <c r="Q648" s="481"/>
      <c r="R648" s="481"/>
      <c r="S648" s="481"/>
      <c r="T648" s="481"/>
      <c r="U648" s="481"/>
      <c r="V648" s="481"/>
      <c r="W648" s="481"/>
      <c r="X648" s="481"/>
      <c r="Y648" s="481"/>
      <c r="Z648" s="481"/>
      <c r="AA648" s="481"/>
      <c r="AB648" s="481"/>
    </row>
    <row r="649">
      <c r="A649" s="481"/>
      <c r="B649" s="481"/>
      <c r="C649" s="481"/>
      <c r="D649" s="483"/>
      <c r="E649" s="481"/>
      <c r="F649" s="483"/>
      <c r="G649" s="481"/>
      <c r="H649" s="481"/>
      <c r="I649" s="481"/>
      <c r="J649" s="481"/>
      <c r="K649" s="481"/>
      <c r="L649" s="481"/>
      <c r="M649" s="481"/>
      <c r="N649" s="481"/>
      <c r="O649" s="481"/>
      <c r="P649" s="481"/>
      <c r="Q649" s="481"/>
      <c r="R649" s="481"/>
      <c r="S649" s="481"/>
      <c r="T649" s="481"/>
      <c r="U649" s="481"/>
      <c r="V649" s="481"/>
      <c r="W649" s="481"/>
      <c r="X649" s="481"/>
      <c r="Y649" s="481"/>
      <c r="Z649" s="481"/>
      <c r="AA649" s="481"/>
      <c r="AB649" s="481"/>
    </row>
    <row r="650">
      <c r="A650" s="481"/>
      <c r="B650" s="481"/>
      <c r="C650" s="481"/>
      <c r="D650" s="483"/>
      <c r="E650" s="481"/>
      <c r="F650" s="483"/>
      <c r="G650" s="481"/>
      <c r="H650" s="481"/>
      <c r="I650" s="481"/>
      <c r="J650" s="481"/>
      <c r="K650" s="481"/>
      <c r="L650" s="481"/>
      <c r="M650" s="481"/>
      <c r="N650" s="481"/>
      <c r="O650" s="481"/>
      <c r="P650" s="481"/>
      <c r="Q650" s="481"/>
      <c r="R650" s="481"/>
      <c r="S650" s="481"/>
      <c r="T650" s="481"/>
      <c r="U650" s="481"/>
      <c r="V650" s="481"/>
      <c r="W650" s="481"/>
      <c r="X650" s="481"/>
      <c r="Y650" s="481"/>
      <c r="Z650" s="481"/>
      <c r="AA650" s="481"/>
      <c r="AB650" s="481"/>
    </row>
    <row r="651">
      <c r="A651" s="481"/>
      <c r="B651" s="481"/>
      <c r="C651" s="481"/>
      <c r="D651" s="483"/>
      <c r="E651" s="481"/>
      <c r="F651" s="483"/>
      <c r="G651" s="481"/>
      <c r="H651" s="481"/>
      <c r="I651" s="481"/>
      <c r="J651" s="481"/>
      <c r="K651" s="481"/>
      <c r="L651" s="481"/>
      <c r="M651" s="481"/>
      <c r="N651" s="481"/>
      <c r="O651" s="481"/>
      <c r="P651" s="481"/>
      <c r="Q651" s="481"/>
      <c r="R651" s="481"/>
      <c r="S651" s="481"/>
      <c r="T651" s="481"/>
      <c r="U651" s="481"/>
      <c r="V651" s="481"/>
      <c r="W651" s="481"/>
      <c r="X651" s="481"/>
      <c r="Y651" s="481"/>
      <c r="Z651" s="481"/>
      <c r="AA651" s="481"/>
      <c r="AB651" s="481"/>
    </row>
    <row r="652">
      <c r="A652" s="481"/>
      <c r="B652" s="481"/>
      <c r="C652" s="481"/>
      <c r="D652" s="483"/>
      <c r="E652" s="481"/>
      <c r="F652" s="483"/>
      <c r="G652" s="481"/>
      <c r="H652" s="481"/>
      <c r="I652" s="481"/>
      <c r="J652" s="481"/>
      <c r="K652" s="481"/>
      <c r="L652" s="481"/>
      <c r="M652" s="481"/>
      <c r="N652" s="481"/>
      <c r="O652" s="481"/>
      <c r="P652" s="481"/>
      <c r="Q652" s="481"/>
      <c r="R652" s="481"/>
      <c r="S652" s="481"/>
      <c r="T652" s="481"/>
      <c r="U652" s="481"/>
      <c r="V652" s="481"/>
      <c r="W652" s="481"/>
      <c r="X652" s="481"/>
      <c r="Y652" s="481"/>
      <c r="Z652" s="481"/>
      <c r="AA652" s="481"/>
      <c r="AB652" s="481"/>
    </row>
    <row r="653">
      <c r="A653" s="481"/>
      <c r="B653" s="481"/>
      <c r="C653" s="481"/>
      <c r="D653" s="483"/>
      <c r="E653" s="481"/>
      <c r="F653" s="483"/>
      <c r="G653" s="481"/>
      <c r="H653" s="481"/>
      <c r="I653" s="481"/>
      <c r="J653" s="481"/>
      <c r="K653" s="481"/>
      <c r="L653" s="481"/>
      <c r="M653" s="481"/>
      <c r="N653" s="481"/>
      <c r="O653" s="481"/>
      <c r="P653" s="481"/>
      <c r="Q653" s="481"/>
      <c r="R653" s="481"/>
      <c r="S653" s="481"/>
      <c r="T653" s="481"/>
      <c r="U653" s="481"/>
      <c r="V653" s="481"/>
      <c r="W653" s="481"/>
      <c r="X653" s="481"/>
      <c r="Y653" s="481"/>
      <c r="Z653" s="481"/>
      <c r="AA653" s="481"/>
      <c r="AB653" s="481"/>
    </row>
    <row r="654">
      <c r="A654" s="481"/>
      <c r="B654" s="481"/>
      <c r="C654" s="481"/>
      <c r="D654" s="483"/>
      <c r="E654" s="481"/>
      <c r="F654" s="483"/>
      <c r="G654" s="481"/>
      <c r="H654" s="481"/>
      <c r="I654" s="481"/>
      <c r="J654" s="481"/>
      <c r="K654" s="481"/>
      <c r="L654" s="481"/>
      <c r="M654" s="481"/>
      <c r="N654" s="481"/>
      <c r="O654" s="481"/>
      <c r="P654" s="481"/>
      <c r="Q654" s="481"/>
      <c r="R654" s="481"/>
      <c r="S654" s="481"/>
      <c r="T654" s="481"/>
      <c r="U654" s="481"/>
      <c r="V654" s="481"/>
      <c r="W654" s="481"/>
      <c r="X654" s="481"/>
      <c r="Y654" s="481"/>
      <c r="Z654" s="481"/>
      <c r="AA654" s="481"/>
      <c r="AB654" s="481"/>
    </row>
    <row r="655">
      <c r="A655" s="481"/>
      <c r="B655" s="481"/>
      <c r="C655" s="481"/>
      <c r="D655" s="483"/>
      <c r="E655" s="481"/>
      <c r="F655" s="483"/>
      <c r="G655" s="481"/>
      <c r="H655" s="481"/>
      <c r="I655" s="481"/>
      <c r="J655" s="481"/>
      <c r="K655" s="481"/>
      <c r="L655" s="481"/>
      <c r="M655" s="481"/>
      <c r="N655" s="481"/>
      <c r="O655" s="481"/>
      <c r="P655" s="481"/>
      <c r="Q655" s="481"/>
      <c r="R655" s="481"/>
      <c r="S655" s="481"/>
      <c r="T655" s="481"/>
      <c r="U655" s="481"/>
      <c r="V655" s="481"/>
      <c r="W655" s="481"/>
      <c r="X655" s="481"/>
      <c r="Y655" s="481"/>
      <c r="Z655" s="481"/>
      <c r="AA655" s="481"/>
      <c r="AB655" s="481"/>
    </row>
    <row r="656">
      <c r="A656" s="481"/>
      <c r="B656" s="481"/>
      <c r="C656" s="481"/>
      <c r="D656" s="483"/>
      <c r="E656" s="481"/>
      <c r="F656" s="483"/>
      <c r="G656" s="481"/>
      <c r="H656" s="481"/>
      <c r="I656" s="481"/>
      <c r="J656" s="481"/>
      <c r="K656" s="481"/>
      <c r="L656" s="481"/>
      <c r="M656" s="481"/>
      <c r="N656" s="481"/>
      <c r="O656" s="481"/>
      <c r="P656" s="481"/>
      <c r="Q656" s="481"/>
      <c r="R656" s="481"/>
      <c r="S656" s="481"/>
      <c r="T656" s="481"/>
      <c r="U656" s="481"/>
      <c r="V656" s="481"/>
      <c r="W656" s="481"/>
      <c r="X656" s="481"/>
      <c r="Y656" s="481"/>
      <c r="Z656" s="481"/>
      <c r="AA656" s="481"/>
      <c r="AB656" s="481"/>
    </row>
    <row r="657">
      <c r="A657" s="481"/>
      <c r="B657" s="481"/>
      <c r="C657" s="481"/>
      <c r="D657" s="483"/>
      <c r="E657" s="481"/>
      <c r="F657" s="483"/>
      <c r="G657" s="481"/>
      <c r="H657" s="481"/>
      <c r="I657" s="481"/>
      <c r="J657" s="481"/>
      <c r="K657" s="481"/>
      <c r="L657" s="481"/>
      <c r="M657" s="481"/>
      <c r="N657" s="481"/>
      <c r="O657" s="481"/>
      <c r="P657" s="481"/>
      <c r="Q657" s="481"/>
      <c r="R657" s="481"/>
      <c r="S657" s="481"/>
      <c r="T657" s="481"/>
      <c r="U657" s="481"/>
      <c r="V657" s="481"/>
      <c r="W657" s="481"/>
      <c r="X657" s="481"/>
      <c r="Y657" s="481"/>
      <c r="Z657" s="481"/>
      <c r="AA657" s="481"/>
      <c r="AB657" s="481"/>
    </row>
    <row r="658">
      <c r="A658" s="481"/>
      <c r="B658" s="481"/>
      <c r="C658" s="481"/>
      <c r="D658" s="483"/>
      <c r="E658" s="481"/>
      <c r="F658" s="483"/>
      <c r="G658" s="481"/>
      <c r="H658" s="481"/>
      <c r="I658" s="481"/>
      <c r="J658" s="481"/>
      <c r="K658" s="481"/>
      <c r="L658" s="481"/>
      <c r="M658" s="481"/>
      <c r="N658" s="481"/>
      <c r="O658" s="481"/>
      <c r="P658" s="481"/>
      <c r="Q658" s="481"/>
      <c r="R658" s="481"/>
      <c r="S658" s="481"/>
      <c r="T658" s="481"/>
      <c r="U658" s="481"/>
      <c r="V658" s="481"/>
      <c r="W658" s="481"/>
      <c r="X658" s="481"/>
      <c r="Y658" s="481"/>
      <c r="Z658" s="481"/>
      <c r="AA658" s="481"/>
      <c r="AB658" s="481"/>
    </row>
    <row r="659">
      <c r="A659" s="481"/>
      <c r="B659" s="481"/>
      <c r="C659" s="481"/>
      <c r="D659" s="483"/>
      <c r="E659" s="481"/>
      <c r="F659" s="483"/>
      <c r="G659" s="481"/>
      <c r="H659" s="481"/>
      <c r="I659" s="481"/>
      <c r="J659" s="481"/>
      <c r="K659" s="481"/>
      <c r="L659" s="481"/>
      <c r="M659" s="481"/>
      <c r="N659" s="481"/>
      <c r="O659" s="481"/>
      <c r="P659" s="481"/>
      <c r="Q659" s="481"/>
      <c r="R659" s="481"/>
      <c r="S659" s="481"/>
      <c r="T659" s="481"/>
      <c r="U659" s="481"/>
      <c r="V659" s="481"/>
      <c r="W659" s="481"/>
      <c r="X659" s="481"/>
      <c r="Y659" s="481"/>
      <c r="Z659" s="481"/>
      <c r="AA659" s="481"/>
      <c r="AB659" s="481"/>
    </row>
    <row r="660">
      <c r="A660" s="481"/>
      <c r="B660" s="481"/>
      <c r="C660" s="481"/>
      <c r="D660" s="483"/>
      <c r="E660" s="481"/>
      <c r="F660" s="483"/>
      <c r="G660" s="481"/>
      <c r="H660" s="481"/>
      <c r="I660" s="481"/>
      <c r="J660" s="481"/>
      <c r="K660" s="481"/>
      <c r="L660" s="481"/>
      <c r="M660" s="481"/>
      <c r="N660" s="481"/>
      <c r="O660" s="481"/>
      <c r="P660" s="481"/>
      <c r="Q660" s="481"/>
      <c r="R660" s="481"/>
      <c r="S660" s="481"/>
      <c r="T660" s="481"/>
      <c r="U660" s="481"/>
      <c r="V660" s="481"/>
      <c r="W660" s="481"/>
      <c r="X660" s="481"/>
      <c r="Y660" s="481"/>
      <c r="Z660" s="481"/>
      <c r="AA660" s="481"/>
      <c r="AB660" s="481"/>
    </row>
    <row r="661">
      <c r="A661" s="481"/>
      <c r="B661" s="481"/>
      <c r="C661" s="481"/>
      <c r="D661" s="483"/>
      <c r="E661" s="481"/>
      <c r="F661" s="483"/>
      <c r="G661" s="481"/>
      <c r="H661" s="481"/>
      <c r="I661" s="481"/>
      <c r="J661" s="481"/>
      <c r="K661" s="481"/>
      <c r="L661" s="481"/>
      <c r="M661" s="481"/>
      <c r="N661" s="481"/>
      <c r="O661" s="481"/>
      <c r="P661" s="481"/>
      <c r="Q661" s="481"/>
      <c r="R661" s="481"/>
      <c r="S661" s="481"/>
      <c r="T661" s="481"/>
      <c r="U661" s="481"/>
      <c r="V661" s="481"/>
      <c r="W661" s="481"/>
      <c r="X661" s="481"/>
      <c r="Y661" s="481"/>
      <c r="Z661" s="481"/>
      <c r="AA661" s="481"/>
      <c r="AB661" s="481"/>
    </row>
    <row r="662">
      <c r="A662" s="481"/>
      <c r="B662" s="481"/>
      <c r="C662" s="481"/>
      <c r="D662" s="483"/>
      <c r="E662" s="481"/>
      <c r="F662" s="483"/>
      <c r="G662" s="481"/>
      <c r="H662" s="481"/>
      <c r="I662" s="481"/>
      <c r="J662" s="481"/>
      <c r="K662" s="481"/>
      <c r="L662" s="481"/>
      <c r="M662" s="481"/>
      <c r="N662" s="481"/>
      <c r="O662" s="481"/>
      <c r="P662" s="481"/>
      <c r="Q662" s="481"/>
      <c r="R662" s="481"/>
      <c r="S662" s="481"/>
      <c r="T662" s="481"/>
      <c r="U662" s="481"/>
      <c r="V662" s="481"/>
      <c r="W662" s="481"/>
      <c r="X662" s="481"/>
      <c r="Y662" s="481"/>
      <c r="Z662" s="481"/>
      <c r="AA662" s="481"/>
      <c r="AB662" s="481"/>
    </row>
    <row r="663">
      <c r="A663" s="481"/>
      <c r="B663" s="481"/>
      <c r="C663" s="481"/>
      <c r="D663" s="483"/>
      <c r="E663" s="481"/>
      <c r="F663" s="483"/>
      <c r="G663" s="481"/>
      <c r="H663" s="481"/>
      <c r="I663" s="481"/>
      <c r="J663" s="481"/>
      <c r="K663" s="481"/>
      <c r="L663" s="481"/>
      <c r="M663" s="481"/>
      <c r="N663" s="481"/>
      <c r="O663" s="481"/>
      <c r="P663" s="481"/>
      <c r="Q663" s="481"/>
      <c r="R663" s="481"/>
      <c r="S663" s="481"/>
      <c r="T663" s="481"/>
      <c r="U663" s="481"/>
      <c r="V663" s="481"/>
      <c r="W663" s="481"/>
      <c r="X663" s="481"/>
      <c r="Y663" s="481"/>
      <c r="Z663" s="481"/>
      <c r="AA663" s="481"/>
      <c r="AB663" s="481"/>
    </row>
    <row r="664">
      <c r="A664" s="481"/>
      <c r="B664" s="481"/>
      <c r="C664" s="481"/>
      <c r="D664" s="483"/>
      <c r="E664" s="481"/>
      <c r="F664" s="483"/>
      <c r="G664" s="481"/>
      <c r="H664" s="481"/>
      <c r="I664" s="481"/>
      <c r="J664" s="481"/>
      <c r="K664" s="481"/>
      <c r="L664" s="481"/>
      <c r="M664" s="481"/>
      <c r="N664" s="481"/>
      <c r="O664" s="481"/>
      <c r="P664" s="481"/>
      <c r="Q664" s="481"/>
      <c r="R664" s="481"/>
      <c r="S664" s="481"/>
      <c r="T664" s="481"/>
      <c r="U664" s="481"/>
      <c r="V664" s="481"/>
      <c r="W664" s="481"/>
      <c r="X664" s="481"/>
      <c r="Y664" s="481"/>
      <c r="Z664" s="481"/>
      <c r="AA664" s="481"/>
      <c r="AB664" s="481"/>
    </row>
    <row r="665">
      <c r="A665" s="481"/>
      <c r="B665" s="481"/>
      <c r="C665" s="481"/>
      <c r="D665" s="483"/>
      <c r="E665" s="481"/>
      <c r="F665" s="483"/>
      <c r="G665" s="481"/>
      <c r="H665" s="481"/>
      <c r="I665" s="481"/>
      <c r="J665" s="481"/>
      <c r="K665" s="481"/>
      <c r="L665" s="481"/>
      <c r="M665" s="481"/>
      <c r="N665" s="481"/>
      <c r="O665" s="481"/>
      <c r="P665" s="481"/>
      <c r="Q665" s="481"/>
      <c r="R665" s="481"/>
      <c r="S665" s="481"/>
      <c r="T665" s="481"/>
      <c r="U665" s="481"/>
      <c r="V665" s="481"/>
      <c r="W665" s="481"/>
      <c r="X665" s="481"/>
      <c r="Y665" s="481"/>
      <c r="Z665" s="481"/>
      <c r="AA665" s="481"/>
      <c r="AB665" s="481"/>
    </row>
    <row r="666">
      <c r="A666" s="481"/>
      <c r="B666" s="481"/>
      <c r="C666" s="481"/>
      <c r="D666" s="483"/>
      <c r="E666" s="481"/>
      <c r="F666" s="483"/>
      <c r="G666" s="481"/>
      <c r="H666" s="481"/>
      <c r="I666" s="481"/>
      <c r="J666" s="481"/>
      <c r="K666" s="481"/>
      <c r="L666" s="481"/>
      <c r="M666" s="481"/>
      <c r="N666" s="481"/>
      <c r="O666" s="481"/>
      <c r="P666" s="481"/>
      <c r="Q666" s="481"/>
      <c r="R666" s="481"/>
      <c r="S666" s="481"/>
      <c r="T666" s="481"/>
      <c r="U666" s="481"/>
      <c r="V666" s="481"/>
      <c r="W666" s="481"/>
      <c r="X666" s="481"/>
      <c r="Y666" s="481"/>
      <c r="Z666" s="481"/>
      <c r="AA666" s="481"/>
      <c r="AB666" s="481"/>
    </row>
    <row r="667">
      <c r="A667" s="481"/>
      <c r="B667" s="481"/>
      <c r="C667" s="481"/>
      <c r="D667" s="483"/>
      <c r="E667" s="481"/>
      <c r="F667" s="483"/>
      <c r="G667" s="481"/>
      <c r="H667" s="481"/>
      <c r="I667" s="481"/>
      <c r="J667" s="481"/>
      <c r="K667" s="481"/>
      <c r="L667" s="481"/>
      <c r="M667" s="481"/>
      <c r="N667" s="481"/>
      <c r="O667" s="481"/>
      <c r="P667" s="481"/>
      <c r="Q667" s="481"/>
      <c r="R667" s="481"/>
      <c r="S667" s="481"/>
      <c r="T667" s="481"/>
      <c r="U667" s="481"/>
      <c r="V667" s="481"/>
      <c r="W667" s="481"/>
      <c r="X667" s="481"/>
      <c r="Y667" s="481"/>
      <c r="Z667" s="481"/>
      <c r="AA667" s="481"/>
      <c r="AB667" s="481"/>
    </row>
    <row r="668">
      <c r="A668" s="481"/>
      <c r="B668" s="481"/>
      <c r="C668" s="481"/>
      <c r="D668" s="483"/>
      <c r="E668" s="481"/>
      <c r="F668" s="483"/>
      <c r="G668" s="481"/>
      <c r="H668" s="481"/>
      <c r="I668" s="481"/>
      <c r="J668" s="481"/>
      <c r="K668" s="481"/>
      <c r="L668" s="481"/>
      <c r="M668" s="481"/>
      <c r="N668" s="481"/>
      <c r="O668" s="481"/>
      <c r="P668" s="481"/>
      <c r="Q668" s="481"/>
      <c r="R668" s="481"/>
      <c r="S668" s="481"/>
      <c r="T668" s="481"/>
      <c r="U668" s="481"/>
      <c r="V668" s="481"/>
      <c r="W668" s="481"/>
      <c r="X668" s="481"/>
      <c r="Y668" s="481"/>
      <c r="Z668" s="481"/>
      <c r="AA668" s="481"/>
      <c r="AB668" s="481"/>
    </row>
    <row r="669">
      <c r="A669" s="481"/>
      <c r="B669" s="481"/>
      <c r="C669" s="481"/>
      <c r="D669" s="483"/>
      <c r="E669" s="481"/>
      <c r="F669" s="483"/>
      <c r="G669" s="481"/>
      <c r="H669" s="481"/>
      <c r="I669" s="481"/>
      <c r="J669" s="481"/>
      <c r="K669" s="481"/>
      <c r="L669" s="481"/>
      <c r="M669" s="481"/>
      <c r="N669" s="481"/>
      <c r="O669" s="481"/>
      <c r="P669" s="481"/>
      <c r="Q669" s="481"/>
      <c r="R669" s="481"/>
      <c r="S669" s="481"/>
      <c r="T669" s="481"/>
      <c r="U669" s="481"/>
      <c r="V669" s="481"/>
      <c r="W669" s="481"/>
      <c r="X669" s="481"/>
      <c r="Y669" s="481"/>
      <c r="Z669" s="481"/>
      <c r="AA669" s="481"/>
      <c r="AB669" s="481"/>
    </row>
    <row r="670">
      <c r="A670" s="481"/>
      <c r="B670" s="481"/>
      <c r="C670" s="481"/>
      <c r="D670" s="483"/>
      <c r="E670" s="481"/>
      <c r="F670" s="483"/>
      <c r="G670" s="481"/>
      <c r="H670" s="481"/>
      <c r="I670" s="481"/>
      <c r="J670" s="481"/>
      <c r="K670" s="481"/>
      <c r="L670" s="481"/>
      <c r="M670" s="481"/>
      <c r="N670" s="481"/>
      <c r="O670" s="481"/>
      <c r="P670" s="481"/>
      <c r="Q670" s="481"/>
      <c r="R670" s="481"/>
      <c r="S670" s="481"/>
      <c r="T670" s="481"/>
      <c r="U670" s="481"/>
      <c r="V670" s="481"/>
      <c r="W670" s="481"/>
      <c r="X670" s="481"/>
      <c r="Y670" s="481"/>
      <c r="Z670" s="481"/>
      <c r="AA670" s="481"/>
      <c r="AB670" s="481"/>
    </row>
    <row r="671">
      <c r="A671" s="481"/>
      <c r="B671" s="481"/>
      <c r="C671" s="481"/>
      <c r="D671" s="483"/>
      <c r="E671" s="481"/>
      <c r="F671" s="483"/>
      <c r="G671" s="481"/>
      <c r="H671" s="481"/>
      <c r="I671" s="481"/>
      <c r="J671" s="481"/>
      <c r="K671" s="481"/>
      <c r="L671" s="481"/>
      <c r="M671" s="481"/>
      <c r="N671" s="481"/>
      <c r="O671" s="481"/>
      <c r="P671" s="481"/>
      <c r="Q671" s="481"/>
      <c r="R671" s="481"/>
      <c r="S671" s="481"/>
      <c r="T671" s="481"/>
      <c r="U671" s="481"/>
      <c r="V671" s="481"/>
      <c r="W671" s="481"/>
      <c r="X671" s="481"/>
      <c r="Y671" s="481"/>
      <c r="Z671" s="481"/>
      <c r="AA671" s="481"/>
      <c r="AB671" s="481"/>
    </row>
    <row r="672">
      <c r="A672" s="481"/>
      <c r="B672" s="481"/>
      <c r="C672" s="481"/>
      <c r="D672" s="483"/>
      <c r="E672" s="481"/>
      <c r="F672" s="483"/>
      <c r="G672" s="481"/>
      <c r="H672" s="481"/>
      <c r="I672" s="481"/>
      <c r="J672" s="481"/>
      <c r="K672" s="481"/>
      <c r="L672" s="481"/>
      <c r="M672" s="481"/>
      <c r="N672" s="481"/>
      <c r="O672" s="481"/>
      <c r="P672" s="481"/>
      <c r="Q672" s="481"/>
      <c r="R672" s="481"/>
      <c r="S672" s="481"/>
      <c r="T672" s="481"/>
      <c r="U672" s="481"/>
      <c r="V672" s="481"/>
      <c r="W672" s="481"/>
      <c r="X672" s="481"/>
      <c r="Y672" s="481"/>
      <c r="Z672" s="481"/>
      <c r="AA672" s="481"/>
      <c r="AB672" s="481"/>
    </row>
    <row r="673">
      <c r="A673" s="481"/>
      <c r="B673" s="481"/>
      <c r="C673" s="481"/>
      <c r="D673" s="483"/>
      <c r="E673" s="481"/>
      <c r="F673" s="483"/>
      <c r="G673" s="481"/>
      <c r="H673" s="481"/>
      <c r="I673" s="481"/>
      <c r="J673" s="481"/>
      <c r="K673" s="481"/>
      <c r="L673" s="481"/>
      <c r="M673" s="481"/>
      <c r="N673" s="481"/>
      <c r="O673" s="481"/>
      <c r="P673" s="481"/>
      <c r="Q673" s="481"/>
      <c r="R673" s="481"/>
      <c r="S673" s="481"/>
      <c r="T673" s="481"/>
      <c r="U673" s="481"/>
      <c r="V673" s="481"/>
      <c r="W673" s="481"/>
      <c r="X673" s="481"/>
      <c r="Y673" s="481"/>
      <c r="Z673" s="481"/>
      <c r="AA673" s="481"/>
      <c r="AB673" s="481"/>
    </row>
    <row r="674">
      <c r="A674" s="481"/>
      <c r="B674" s="481"/>
      <c r="C674" s="481"/>
      <c r="D674" s="483"/>
      <c r="E674" s="481"/>
      <c r="F674" s="483"/>
      <c r="G674" s="481"/>
      <c r="H674" s="481"/>
      <c r="I674" s="481"/>
      <c r="J674" s="481"/>
      <c r="K674" s="481"/>
      <c r="L674" s="481"/>
      <c r="M674" s="481"/>
      <c r="N674" s="481"/>
      <c r="O674" s="481"/>
      <c r="P674" s="481"/>
      <c r="Q674" s="481"/>
      <c r="R674" s="481"/>
      <c r="S674" s="481"/>
      <c r="T674" s="481"/>
      <c r="U674" s="481"/>
      <c r="V674" s="481"/>
      <c r="W674" s="481"/>
      <c r="X674" s="481"/>
      <c r="Y674" s="481"/>
      <c r="Z674" s="481"/>
      <c r="AA674" s="481"/>
      <c r="AB674" s="481"/>
    </row>
    <row r="675">
      <c r="A675" s="481"/>
      <c r="B675" s="481"/>
      <c r="C675" s="481"/>
      <c r="D675" s="483"/>
      <c r="E675" s="481"/>
      <c r="F675" s="483"/>
      <c r="G675" s="481"/>
      <c r="H675" s="481"/>
      <c r="I675" s="481"/>
      <c r="J675" s="481"/>
      <c r="K675" s="481"/>
      <c r="L675" s="481"/>
      <c r="M675" s="481"/>
      <c r="N675" s="481"/>
      <c r="O675" s="481"/>
      <c r="P675" s="481"/>
      <c r="Q675" s="481"/>
      <c r="R675" s="481"/>
      <c r="S675" s="481"/>
      <c r="T675" s="481"/>
      <c r="U675" s="481"/>
      <c r="V675" s="481"/>
      <c r="W675" s="481"/>
      <c r="X675" s="481"/>
      <c r="Y675" s="481"/>
      <c r="Z675" s="481"/>
      <c r="AA675" s="481"/>
      <c r="AB675" s="481"/>
    </row>
    <row r="676">
      <c r="A676" s="481"/>
      <c r="B676" s="481"/>
      <c r="C676" s="481"/>
      <c r="D676" s="483"/>
      <c r="E676" s="481"/>
      <c r="F676" s="483"/>
      <c r="G676" s="481"/>
      <c r="H676" s="481"/>
      <c r="I676" s="481"/>
      <c r="J676" s="481"/>
      <c r="K676" s="481"/>
      <c r="L676" s="481"/>
      <c r="M676" s="481"/>
      <c r="N676" s="481"/>
      <c r="O676" s="481"/>
      <c r="P676" s="481"/>
      <c r="Q676" s="481"/>
      <c r="R676" s="481"/>
      <c r="S676" s="481"/>
      <c r="T676" s="481"/>
      <c r="U676" s="481"/>
      <c r="V676" s="481"/>
      <c r="W676" s="481"/>
      <c r="X676" s="481"/>
      <c r="Y676" s="481"/>
      <c r="Z676" s="481"/>
      <c r="AA676" s="481"/>
      <c r="AB676" s="481"/>
    </row>
    <row r="677">
      <c r="A677" s="481"/>
      <c r="B677" s="481"/>
      <c r="C677" s="481"/>
      <c r="D677" s="483"/>
      <c r="E677" s="481"/>
      <c r="F677" s="483"/>
      <c r="G677" s="481"/>
      <c r="H677" s="481"/>
      <c r="I677" s="481"/>
      <c r="J677" s="481"/>
      <c r="K677" s="481"/>
      <c r="L677" s="481"/>
      <c r="M677" s="481"/>
      <c r="N677" s="481"/>
      <c r="O677" s="481"/>
      <c r="P677" s="481"/>
      <c r="Q677" s="481"/>
      <c r="R677" s="481"/>
      <c r="S677" s="481"/>
      <c r="T677" s="481"/>
      <c r="U677" s="481"/>
      <c r="V677" s="481"/>
      <c r="W677" s="481"/>
      <c r="X677" s="481"/>
      <c r="Y677" s="481"/>
      <c r="Z677" s="481"/>
      <c r="AA677" s="481"/>
      <c r="AB677" s="481"/>
    </row>
    <row r="678">
      <c r="A678" s="481"/>
      <c r="B678" s="481"/>
      <c r="C678" s="481"/>
      <c r="D678" s="483"/>
      <c r="E678" s="481"/>
      <c r="F678" s="483"/>
      <c r="G678" s="481"/>
      <c r="H678" s="481"/>
      <c r="I678" s="481"/>
      <c r="J678" s="481"/>
      <c r="K678" s="481"/>
      <c r="L678" s="481"/>
      <c r="M678" s="481"/>
      <c r="N678" s="481"/>
      <c r="O678" s="481"/>
      <c r="P678" s="481"/>
      <c r="Q678" s="481"/>
      <c r="R678" s="481"/>
      <c r="S678" s="481"/>
      <c r="T678" s="481"/>
      <c r="U678" s="481"/>
      <c r="V678" s="481"/>
      <c r="W678" s="481"/>
      <c r="X678" s="481"/>
      <c r="Y678" s="481"/>
      <c r="Z678" s="481"/>
      <c r="AA678" s="481"/>
      <c r="AB678" s="481"/>
    </row>
    <row r="679">
      <c r="A679" s="481"/>
      <c r="B679" s="481"/>
      <c r="C679" s="481"/>
      <c r="D679" s="483"/>
      <c r="E679" s="481"/>
      <c r="F679" s="483"/>
      <c r="G679" s="481"/>
      <c r="H679" s="481"/>
      <c r="I679" s="481"/>
      <c r="J679" s="481"/>
      <c r="K679" s="481"/>
      <c r="L679" s="481"/>
      <c r="M679" s="481"/>
      <c r="N679" s="481"/>
      <c r="O679" s="481"/>
      <c r="P679" s="481"/>
      <c r="Q679" s="481"/>
      <c r="R679" s="481"/>
      <c r="S679" s="481"/>
      <c r="T679" s="481"/>
      <c r="U679" s="481"/>
      <c r="V679" s="481"/>
      <c r="W679" s="481"/>
      <c r="X679" s="481"/>
      <c r="Y679" s="481"/>
      <c r="Z679" s="481"/>
      <c r="AA679" s="481"/>
      <c r="AB679" s="481"/>
    </row>
    <row r="680">
      <c r="A680" s="481"/>
      <c r="B680" s="481"/>
      <c r="C680" s="481"/>
      <c r="D680" s="483"/>
      <c r="E680" s="481"/>
      <c r="F680" s="483"/>
      <c r="G680" s="481"/>
      <c r="H680" s="481"/>
      <c r="I680" s="481"/>
      <c r="J680" s="481"/>
      <c r="K680" s="481"/>
      <c r="L680" s="481"/>
      <c r="M680" s="481"/>
      <c r="N680" s="481"/>
      <c r="O680" s="481"/>
      <c r="P680" s="481"/>
      <c r="Q680" s="481"/>
      <c r="R680" s="481"/>
      <c r="S680" s="481"/>
      <c r="T680" s="481"/>
      <c r="U680" s="481"/>
      <c r="V680" s="481"/>
      <c r="W680" s="481"/>
      <c r="X680" s="481"/>
      <c r="Y680" s="481"/>
      <c r="Z680" s="481"/>
      <c r="AA680" s="481"/>
      <c r="AB680" s="481"/>
    </row>
    <row r="681">
      <c r="A681" s="481"/>
      <c r="B681" s="481"/>
      <c r="C681" s="481"/>
      <c r="D681" s="483"/>
      <c r="E681" s="481"/>
      <c r="F681" s="483"/>
      <c r="G681" s="481"/>
      <c r="H681" s="481"/>
      <c r="I681" s="481"/>
      <c r="J681" s="481"/>
      <c r="K681" s="481"/>
      <c r="L681" s="481"/>
      <c r="M681" s="481"/>
      <c r="N681" s="481"/>
      <c r="O681" s="481"/>
      <c r="P681" s="481"/>
      <c r="Q681" s="481"/>
      <c r="R681" s="481"/>
      <c r="S681" s="481"/>
      <c r="T681" s="481"/>
      <c r="U681" s="481"/>
      <c r="V681" s="481"/>
      <c r="W681" s="481"/>
      <c r="X681" s="481"/>
      <c r="Y681" s="481"/>
      <c r="Z681" s="481"/>
      <c r="AA681" s="481"/>
      <c r="AB681" s="481"/>
    </row>
    <row r="682">
      <c r="A682" s="481"/>
      <c r="B682" s="481"/>
      <c r="C682" s="481"/>
      <c r="D682" s="483"/>
      <c r="E682" s="481"/>
      <c r="F682" s="483"/>
      <c r="G682" s="481"/>
      <c r="H682" s="481"/>
      <c r="I682" s="481"/>
      <c r="J682" s="481"/>
      <c r="K682" s="481"/>
      <c r="L682" s="481"/>
      <c r="M682" s="481"/>
      <c r="N682" s="481"/>
      <c r="O682" s="481"/>
      <c r="P682" s="481"/>
      <c r="Q682" s="481"/>
      <c r="R682" s="481"/>
      <c r="S682" s="481"/>
      <c r="T682" s="481"/>
      <c r="U682" s="481"/>
      <c r="V682" s="481"/>
      <c r="W682" s="481"/>
      <c r="X682" s="481"/>
      <c r="Y682" s="481"/>
      <c r="Z682" s="481"/>
      <c r="AA682" s="481"/>
      <c r="AB682" s="481"/>
    </row>
    <row r="683">
      <c r="A683" s="481"/>
      <c r="B683" s="481"/>
      <c r="C683" s="481"/>
      <c r="D683" s="483"/>
      <c r="E683" s="481"/>
      <c r="F683" s="483"/>
      <c r="G683" s="481"/>
      <c r="H683" s="481"/>
      <c r="I683" s="481"/>
      <c r="J683" s="481"/>
      <c r="K683" s="481"/>
      <c r="L683" s="481"/>
      <c r="M683" s="481"/>
      <c r="N683" s="481"/>
      <c r="O683" s="481"/>
      <c r="P683" s="481"/>
      <c r="Q683" s="481"/>
      <c r="R683" s="481"/>
      <c r="S683" s="481"/>
      <c r="T683" s="481"/>
      <c r="U683" s="481"/>
      <c r="V683" s="481"/>
      <c r="W683" s="481"/>
      <c r="X683" s="481"/>
      <c r="Y683" s="481"/>
      <c r="Z683" s="481"/>
      <c r="AA683" s="481"/>
      <c r="AB683" s="481"/>
    </row>
    <row r="684">
      <c r="A684" s="481"/>
      <c r="B684" s="481"/>
      <c r="C684" s="481"/>
      <c r="D684" s="483"/>
      <c r="E684" s="481"/>
      <c r="F684" s="483"/>
      <c r="G684" s="481"/>
      <c r="H684" s="481"/>
      <c r="I684" s="481"/>
      <c r="J684" s="481"/>
      <c r="K684" s="481"/>
      <c r="L684" s="481"/>
      <c r="M684" s="481"/>
      <c r="N684" s="481"/>
      <c r="O684" s="481"/>
      <c r="P684" s="481"/>
      <c r="Q684" s="481"/>
      <c r="R684" s="481"/>
      <c r="S684" s="481"/>
      <c r="T684" s="481"/>
      <c r="U684" s="481"/>
      <c r="V684" s="481"/>
      <c r="W684" s="481"/>
      <c r="X684" s="481"/>
      <c r="Y684" s="481"/>
      <c r="Z684" s="481"/>
      <c r="AA684" s="481"/>
      <c r="AB684" s="481"/>
    </row>
    <row r="685">
      <c r="A685" s="481"/>
      <c r="B685" s="481"/>
      <c r="C685" s="481"/>
      <c r="D685" s="483"/>
      <c r="E685" s="481"/>
      <c r="F685" s="483"/>
      <c r="G685" s="481"/>
      <c r="H685" s="481"/>
      <c r="I685" s="481"/>
      <c r="J685" s="481"/>
      <c r="K685" s="481"/>
      <c r="L685" s="481"/>
      <c r="M685" s="481"/>
      <c r="N685" s="481"/>
      <c r="O685" s="481"/>
      <c r="P685" s="481"/>
      <c r="Q685" s="481"/>
      <c r="R685" s="481"/>
      <c r="S685" s="481"/>
      <c r="T685" s="481"/>
      <c r="U685" s="481"/>
      <c r="V685" s="481"/>
      <c r="W685" s="481"/>
      <c r="X685" s="481"/>
      <c r="Y685" s="481"/>
      <c r="Z685" s="481"/>
      <c r="AA685" s="481"/>
      <c r="AB685" s="481"/>
    </row>
    <row r="686">
      <c r="A686" s="481"/>
      <c r="B686" s="481"/>
      <c r="C686" s="481"/>
      <c r="D686" s="483"/>
      <c r="E686" s="481"/>
      <c r="F686" s="483"/>
      <c r="G686" s="481"/>
      <c r="H686" s="481"/>
      <c r="I686" s="481"/>
      <c r="J686" s="481"/>
      <c r="K686" s="481"/>
      <c r="L686" s="481"/>
      <c r="M686" s="481"/>
      <c r="N686" s="481"/>
      <c r="O686" s="481"/>
      <c r="P686" s="481"/>
      <c r="Q686" s="481"/>
      <c r="R686" s="481"/>
      <c r="S686" s="481"/>
      <c r="T686" s="481"/>
      <c r="U686" s="481"/>
      <c r="V686" s="481"/>
      <c r="W686" s="481"/>
      <c r="X686" s="481"/>
      <c r="Y686" s="481"/>
      <c r="Z686" s="481"/>
      <c r="AA686" s="481"/>
      <c r="AB686" s="481"/>
    </row>
    <row r="687">
      <c r="A687" s="481"/>
      <c r="B687" s="481"/>
      <c r="C687" s="481"/>
      <c r="D687" s="483"/>
      <c r="E687" s="481"/>
      <c r="F687" s="483"/>
      <c r="G687" s="481"/>
      <c r="H687" s="481"/>
      <c r="I687" s="481"/>
      <c r="J687" s="481"/>
      <c r="K687" s="481"/>
      <c r="L687" s="481"/>
      <c r="M687" s="481"/>
      <c r="N687" s="481"/>
      <c r="O687" s="481"/>
      <c r="P687" s="481"/>
      <c r="Q687" s="481"/>
      <c r="R687" s="481"/>
      <c r="S687" s="481"/>
      <c r="T687" s="481"/>
      <c r="U687" s="481"/>
      <c r="V687" s="481"/>
      <c r="W687" s="481"/>
      <c r="X687" s="481"/>
      <c r="Y687" s="481"/>
      <c r="Z687" s="481"/>
      <c r="AA687" s="481"/>
      <c r="AB687" s="481"/>
    </row>
    <row r="688">
      <c r="A688" s="481"/>
      <c r="B688" s="481"/>
      <c r="C688" s="481"/>
      <c r="D688" s="483"/>
      <c r="E688" s="481"/>
      <c r="F688" s="483"/>
      <c r="G688" s="481"/>
      <c r="H688" s="481"/>
      <c r="I688" s="481"/>
      <c r="J688" s="481"/>
      <c r="K688" s="481"/>
      <c r="L688" s="481"/>
      <c r="M688" s="481"/>
      <c r="N688" s="481"/>
      <c r="O688" s="481"/>
      <c r="P688" s="481"/>
      <c r="Q688" s="481"/>
      <c r="R688" s="481"/>
      <c r="S688" s="481"/>
      <c r="T688" s="481"/>
      <c r="U688" s="481"/>
      <c r="V688" s="481"/>
      <c r="W688" s="481"/>
      <c r="X688" s="481"/>
      <c r="Y688" s="481"/>
      <c r="Z688" s="481"/>
      <c r="AA688" s="481"/>
      <c r="AB688" s="481"/>
    </row>
    <row r="689">
      <c r="A689" s="481"/>
      <c r="B689" s="481"/>
      <c r="C689" s="481"/>
      <c r="D689" s="483"/>
      <c r="E689" s="481"/>
      <c r="F689" s="483"/>
      <c r="G689" s="481"/>
      <c r="H689" s="481"/>
      <c r="I689" s="481"/>
      <c r="J689" s="481"/>
      <c r="K689" s="481"/>
      <c r="L689" s="481"/>
      <c r="M689" s="481"/>
      <c r="N689" s="481"/>
      <c r="O689" s="481"/>
      <c r="P689" s="481"/>
      <c r="Q689" s="481"/>
      <c r="R689" s="481"/>
      <c r="S689" s="481"/>
      <c r="T689" s="481"/>
      <c r="U689" s="481"/>
      <c r="V689" s="481"/>
      <c r="W689" s="481"/>
      <c r="X689" s="481"/>
      <c r="Y689" s="481"/>
      <c r="Z689" s="481"/>
      <c r="AA689" s="481"/>
      <c r="AB689" s="481"/>
    </row>
    <row r="690">
      <c r="A690" s="481"/>
      <c r="B690" s="481"/>
      <c r="C690" s="481"/>
      <c r="D690" s="483"/>
      <c r="E690" s="481"/>
      <c r="F690" s="483"/>
      <c r="G690" s="481"/>
      <c r="H690" s="481"/>
      <c r="I690" s="481"/>
      <c r="J690" s="481"/>
      <c r="K690" s="481"/>
      <c r="L690" s="481"/>
      <c r="M690" s="481"/>
      <c r="N690" s="481"/>
      <c r="O690" s="481"/>
      <c r="P690" s="481"/>
      <c r="Q690" s="481"/>
      <c r="R690" s="481"/>
      <c r="S690" s="481"/>
      <c r="T690" s="481"/>
      <c r="U690" s="481"/>
      <c r="V690" s="481"/>
      <c r="W690" s="481"/>
      <c r="X690" s="481"/>
      <c r="Y690" s="481"/>
      <c r="Z690" s="481"/>
      <c r="AA690" s="481"/>
      <c r="AB690" s="481"/>
    </row>
    <row r="691">
      <c r="A691" s="481"/>
      <c r="B691" s="481"/>
      <c r="C691" s="481"/>
      <c r="D691" s="483"/>
      <c r="E691" s="481"/>
      <c r="F691" s="483"/>
      <c r="G691" s="481"/>
      <c r="H691" s="481"/>
      <c r="I691" s="481"/>
      <c r="J691" s="481"/>
      <c r="K691" s="481"/>
      <c r="L691" s="481"/>
      <c r="M691" s="481"/>
      <c r="N691" s="481"/>
      <c r="O691" s="481"/>
      <c r="P691" s="481"/>
      <c r="Q691" s="481"/>
      <c r="R691" s="481"/>
      <c r="S691" s="481"/>
      <c r="T691" s="481"/>
      <c r="U691" s="481"/>
      <c r="V691" s="481"/>
      <c r="W691" s="481"/>
      <c r="X691" s="481"/>
      <c r="Y691" s="481"/>
      <c r="Z691" s="481"/>
      <c r="AA691" s="481"/>
      <c r="AB691" s="481"/>
    </row>
    <row r="692">
      <c r="A692" s="481"/>
      <c r="B692" s="481"/>
      <c r="C692" s="481"/>
      <c r="D692" s="483"/>
      <c r="E692" s="481"/>
      <c r="F692" s="483"/>
      <c r="G692" s="481"/>
      <c r="H692" s="481"/>
      <c r="I692" s="481"/>
      <c r="J692" s="481"/>
      <c r="K692" s="481"/>
      <c r="L692" s="481"/>
      <c r="M692" s="481"/>
      <c r="N692" s="481"/>
      <c r="O692" s="481"/>
      <c r="P692" s="481"/>
      <c r="Q692" s="481"/>
      <c r="R692" s="481"/>
      <c r="S692" s="481"/>
      <c r="T692" s="481"/>
      <c r="U692" s="481"/>
      <c r="V692" s="481"/>
      <c r="W692" s="481"/>
      <c r="X692" s="481"/>
      <c r="Y692" s="481"/>
      <c r="Z692" s="481"/>
      <c r="AA692" s="481"/>
      <c r="AB692" s="481"/>
    </row>
    <row r="693">
      <c r="A693" s="481"/>
      <c r="B693" s="481"/>
      <c r="C693" s="481"/>
      <c r="D693" s="483"/>
      <c r="E693" s="481"/>
      <c r="F693" s="483"/>
      <c r="G693" s="481"/>
      <c r="H693" s="481"/>
      <c r="I693" s="481"/>
      <c r="J693" s="481"/>
      <c r="K693" s="481"/>
      <c r="L693" s="481"/>
      <c r="M693" s="481"/>
      <c r="N693" s="481"/>
      <c r="O693" s="481"/>
      <c r="P693" s="481"/>
      <c r="Q693" s="481"/>
      <c r="R693" s="481"/>
      <c r="S693" s="481"/>
      <c r="T693" s="481"/>
      <c r="U693" s="481"/>
      <c r="V693" s="481"/>
      <c r="W693" s="481"/>
      <c r="X693" s="481"/>
      <c r="Y693" s="481"/>
      <c r="Z693" s="481"/>
      <c r="AA693" s="481"/>
      <c r="AB693" s="481"/>
    </row>
    <row r="694">
      <c r="A694" s="481"/>
      <c r="B694" s="481"/>
      <c r="C694" s="481"/>
      <c r="D694" s="483"/>
      <c r="E694" s="481"/>
      <c r="F694" s="483"/>
      <c r="G694" s="481"/>
      <c r="H694" s="481"/>
      <c r="I694" s="481"/>
      <c r="J694" s="481"/>
      <c r="K694" s="481"/>
      <c r="L694" s="481"/>
      <c r="M694" s="481"/>
      <c r="N694" s="481"/>
      <c r="O694" s="481"/>
      <c r="P694" s="481"/>
      <c r="Q694" s="481"/>
      <c r="R694" s="481"/>
      <c r="S694" s="481"/>
      <c r="T694" s="481"/>
      <c r="U694" s="481"/>
      <c r="V694" s="481"/>
      <c r="W694" s="481"/>
      <c r="X694" s="481"/>
      <c r="Y694" s="481"/>
      <c r="Z694" s="481"/>
      <c r="AA694" s="481"/>
      <c r="AB694" s="481"/>
    </row>
    <row r="695">
      <c r="A695" s="481"/>
      <c r="B695" s="481"/>
      <c r="C695" s="481"/>
      <c r="D695" s="483"/>
      <c r="E695" s="481"/>
      <c r="F695" s="483"/>
      <c r="G695" s="481"/>
      <c r="H695" s="481"/>
      <c r="I695" s="481"/>
      <c r="J695" s="481"/>
      <c r="K695" s="481"/>
      <c r="L695" s="481"/>
      <c r="M695" s="481"/>
      <c r="N695" s="481"/>
      <c r="O695" s="481"/>
      <c r="P695" s="481"/>
      <c r="Q695" s="481"/>
      <c r="R695" s="481"/>
      <c r="S695" s="481"/>
      <c r="T695" s="481"/>
      <c r="U695" s="481"/>
      <c r="V695" s="481"/>
      <c r="W695" s="481"/>
      <c r="X695" s="481"/>
      <c r="Y695" s="481"/>
      <c r="Z695" s="481"/>
      <c r="AA695" s="481"/>
      <c r="AB695" s="481"/>
    </row>
    <row r="696">
      <c r="A696" s="481"/>
      <c r="B696" s="481"/>
      <c r="C696" s="481"/>
      <c r="D696" s="483"/>
      <c r="E696" s="481"/>
      <c r="F696" s="483"/>
      <c r="G696" s="481"/>
      <c r="H696" s="481"/>
      <c r="I696" s="481"/>
      <c r="J696" s="481"/>
      <c r="K696" s="481"/>
      <c r="L696" s="481"/>
      <c r="M696" s="481"/>
      <c r="N696" s="481"/>
      <c r="O696" s="481"/>
      <c r="P696" s="481"/>
      <c r="Q696" s="481"/>
      <c r="R696" s="481"/>
      <c r="S696" s="481"/>
      <c r="T696" s="481"/>
      <c r="U696" s="481"/>
      <c r="V696" s="481"/>
      <c r="W696" s="481"/>
      <c r="X696" s="481"/>
      <c r="Y696" s="481"/>
      <c r="Z696" s="481"/>
      <c r="AA696" s="481"/>
      <c r="AB696" s="481"/>
    </row>
    <row r="697">
      <c r="A697" s="481"/>
      <c r="B697" s="481"/>
      <c r="C697" s="481"/>
      <c r="D697" s="483"/>
      <c r="E697" s="481"/>
      <c r="F697" s="483"/>
      <c r="G697" s="481"/>
      <c r="H697" s="481"/>
      <c r="I697" s="481"/>
      <c r="J697" s="481"/>
      <c r="K697" s="481"/>
      <c r="L697" s="481"/>
      <c r="M697" s="481"/>
      <c r="N697" s="481"/>
      <c r="O697" s="481"/>
      <c r="P697" s="481"/>
      <c r="Q697" s="481"/>
      <c r="R697" s="481"/>
      <c r="S697" s="481"/>
      <c r="T697" s="481"/>
      <c r="U697" s="481"/>
      <c r="V697" s="481"/>
      <c r="W697" s="481"/>
      <c r="X697" s="481"/>
      <c r="Y697" s="481"/>
      <c r="Z697" s="481"/>
      <c r="AA697" s="481"/>
      <c r="AB697" s="481"/>
    </row>
    <row r="698">
      <c r="A698" s="481"/>
      <c r="B698" s="481"/>
      <c r="C698" s="481"/>
      <c r="D698" s="483"/>
      <c r="E698" s="481"/>
      <c r="F698" s="483"/>
      <c r="G698" s="481"/>
      <c r="H698" s="481"/>
      <c r="I698" s="481"/>
      <c r="J698" s="481"/>
      <c r="K698" s="481"/>
      <c r="L698" s="481"/>
      <c r="M698" s="481"/>
      <c r="N698" s="481"/>
      <c r="O698" s="481"/>
      <c r="P698" s="481"/>
      <c r="Q698" s="481"/>
      <c r="R698" s="481"/>
      <c r="S698" s="481"/>
      <c r="T698" s="481"/>
      <c r="U698" s="481"/>
      <c r="V698" s="481"/>
      <c r="W698" s="481"/>
      <c r="X698" s="481"/>
      <c r="Y698" s="481"/>
      <c r="Z698" s="481"/>
      <c r="AA698" s="481"/>
      <c r="AB698" s="481"/>
    </row>
    <row r="699">
      <c r="A699" s="481"/>
      <c r="B699" s="481"/>
      <c r="C699" s="481"/>
      <c r="D699" s="483"/>
      <c r="E699" s="481"/>
      <c r="F699" s="483"/>
      <c r="G699" s="481"/>
      <c r="H699" s="481"/>
      <c r="I699" s="481"/>
      <c r="J699" s="481"/>
      <c r="K699" s="481"/>
      <c r="L699" s="481"/>
      <c r="M699" s="481"/>
      <c r="N699" s="481"/>
      <c r="O699" s="481"/>
      <c r="P699" s="481"/>
      <c r="Q699" s="481"/>
      <c r="R699" s="481"/>
      <c r="S699" s="481"/>
      <c r="T699" s="481"/>
      <c r="U699" s="481"/>
      <c r="V699" s="481"/>
      <c r="W699" s="481"/>
      <c r="X699" s="481"/>
      <c r="Y699" s="481"/>
      <c r="Z699" s="481"/>
      <c r="AA699" s="481"/>
      <c r="AB699" s="481"/>
    </row>
    <row r="700">
      <c r="A700" s="481"/>
      <c r="B700" s="481"/>
      <c r="C700" s="481"/>
      <c r="D700" s="483"/>
      <c r="E700" s="481"/>
      <c r="F700" s="483"/>
      <c r="G700" s="481"/>
      <c r="H700" s="481"/>
      <c r="I700" s="481"/>
      <c r="J700" s="481"/>
      <c r="K700" s="481"/>
      <c r="L700" s="481"/>
      <c r="M700" s="481"/>
      <c r="N700" s="481"/>
      <c r="O700" s="481"/>
      <c r="P700" s="481"/>
      <c r="Q700" s="481"/>
      <c r="R700" s="481"/>
      <c r="S700" s="481"/>
      <c r="T700" s="481"/>
      <c r="U700" s="481"/>
      <c r="V700" s="481"/>
      <c r="W700" s="481"/>
      <c r="X700" s="481"/>
      <c r="Y700" s="481"/>
      <c r="Z700" s="481"/>
      <c r="AA700" s="481"/>
      <c r="AB700" s="481"/>
    </row>
    <row r="701">
      <c r="A701" s="481"/>
      <c r="B701" s="481"/>
      <c r="C701" s="481"/>
      <c r="D701" s="483"/>
      <c r="E701" s="481"/>
      <c r="F701" s="483"/>
      <c r="G701" s="481"/>
      <c r="H701" s="481"/>
      <c r="I701" s="481"/>
      <c r="J701" s="481"/>
      <c r="K701" s="481"/>
      <c r="L701" s="481"/>
      <c r="M701" s="481"/>
      <c r="N701" s="481"/>
      <c r="O701" s="481"/>
      <c r="P701" s="481"/>
      <c r="Q701" s="481"/>
      <c r="R701" s="481"/>
      <c r="S701" s="481"/>
      <c r="T701" s="481"/>
      <c r="U701" s="481"/>
      <c r="V701" s="481"/>
      <c r="W701" s="481"/>
      <c r="X701" s="481"/>
      <c r="Y701" s="481"/>
      <c r="Z701" s="481"/>
      <c r="AA701" s="481"/>
      <c r="AB701" s="481"/>
    </row>
    <row r="702">
      <c r="A702" s="481"/>
      <c r="B702" s="481"/>
      <c r="C702" s="481"/>
      <c r="D702" s="483"/>
      <c r="E702" s="481"/>
      <c r="F702" s="483"/>
      <c r="G702" s="481"/>
      <c r="H702" s="481"/>
      <c r="I702" s="481"/>
      <c r="J702" s="481"/>
      <c r="K702" s="481"/>
      <c r="L702" s="481"/>
      <c r="M702" s="481"/>
      <c r="N702" s="481"/>
      <c r="O702" s="481"/>
      <c r="P702" s="481"/>
      <c r="Q702" s="481"/>
      <c r="R702" s="481"/>
      <c r="S702" s="481"/>
      <c r="T702" s="481"/>
      <c r="U702" s="481"/>
      <c r="V702" s="481"/>
      <c r="W702" s="481"/>
      <c r="X702" s="481"/>
      <c r="Y702" s="481"/>
      <c r="Z702" s="481"/>
      <c r="AA702" s="481"/>
      <c r="AB702" s="481"/>
    </row>
    <row r="703">
      <c r="A703" s="481"/>
      <c r="B703" s="481"/>
      <c r="C703" s="481"/>
      <c r="D703" s="483"/>
      <c r="E703" s="481"/>
      <c r="F703" s="483"/>
      <c r="G703" s="481"/>
      <c r="H703" s="481"/>
      <c r="I703" s="481"/>
      <c r="J703" s="481"/>
      <c r="K703" s="481"/>
      <c r="L703" s="481"/>
      <c r="M703" s="481"/>
      <c r="N703" s="481"/>
      <c r="O703" s="481"/>
      <c r="P703" s="481"/>
      <c r="Q703" s="481"/>
      <c r="R703" s="481"/>
      <c r="S703" s="481"/>
      <c r="T703" s="481"/>
      <c r="U703" s="481"/>
      <c r="V703" s="481"/>
      <c r="W703" s="481"/>
      <c r="X703" s="481"/>
      <c r="Y703" s="481"/>
      <c r="Z703" s="481"/>
      <c r="AA703" s="481"/>
      <c r="AB703" s="481"/>
    </row>
    <row r="704">
      <c r="A704" s="481"/>
      <c r="B704" s="481"/>
      <c r="C704" s="481"/>
      <c r="D704" s="483"/>
      <c r="E704" s="481"/>
      <c r="F704" s="483"/>
      <c r="G704" s="481"/>
      <c r="H704" s="481"/>
      <c r="I704" s="481"/>
      <c r="J704" s="481"/>
      <c r="K704" s="481"/>
      <c r="L704" s="481"/>
      <c r="M704" s="481"/>
      <c r="N704" s="481"/>
      <c r="O704" s="481"/>
      <c r="P704" s="481"/>
      <c r="Q704" s="481"/>
      <c r="R704" s="481"/>
      <c r="S704" s="481"/>
      <c r="T704" s="481"/>
      <c r="U704" s="481"/>
      <c r="V704" s="481"/>
      <c r="W704" s="481"/>
      <c r="X704" s="481"/>
      <c r="Y704" s="481"/>
      <c r="Z704" s="481"/>
      <c r="AA704" s="481"/>
      <c r="AB704" s="481"/>
    </row>
    <row r="705">
      <c r="A705" s="481"/>
      <c r="B705" s="481"/>
      <c r="C705" s="481"/>
      <c r="D705" s="483"/>
      <c r="E705" s="481"/>
      <c r="F705" s="483"/>
      <c r="G705" s="481"/>
      <c r="H705" s="481"/>
      <c r="I705" s="481"/>
      <c r="J705" s="481"/>
      <c r="K705" s="481"/>
      <c r="L705" s="481"/>
      <c r="M705" s="481"/>
      <c r="N705" s="481"/>
      <c r="O705" s="481"/>
      <c r="P705" s="481"/>
      <c r="Q705" s="481"/>
      <c r="R705" s="481"/>
      <c r="S705" s="481"/>
      <c r="T705" s="481"/>
      <c r="U705" s="481"/>
      <c r="V705" s="481"/>
      <c r="W705" s="481"/>
      <c r="X705" s="481"/>
      <c r="Y705" s="481"/>
      <c r="Z705" s="481"/>
      <c r="AA705" s="481"/>
      <c r="AB705" s="481"/>
    </row>
    <row r="706">
      <c r="A706" s="481"/>
      <c r="B706" s="481"/>
      <c r="C706" s="481"/>
      <c r="D706" s="483"/>
      <c r="E706" s="481"/>
      <c r="F706" s="483"/>
      <c r="G706" s="481"/>
      <c r="H706" s="481"/>
      <c r="I706" s="481"/>
      <c r="J706" s="481"/>
      <c r="K706" s="481"/>
      <c r="L706" s="481"/>
      <c r="M706" s="481"/>
      <c r="N706" s="481"/>
      <c r="O706" s="481"/>
      <c r="P706" s="481"/>
      <c r="Q706" s="481"/>
      <c r="R706" s="481"/>
      <c r="S706" s="481"/>
      <c r="T706" s="481"/>
      <c r="U706" s="481"/>
      <c r="V706" s="481"/>
      <c r="W706" s="481"/>
      <c r="X706" s="481"/>
      <c r="Y706" s="481"/>
      <c r="Z706" s="481"/>
      <c r="AA706" s="481"/>
      <c r="AB706" s="481"/>
    </row>
    <row r="707">
      <c r="A707" s="481"/>
      <c r="B707" s="481"/>
      <c r="C707" s="481"/>
      <c r="D707" s="483"/>
      <c r="E707" s="481"/>
      <c r="F707" s="483"/>
      <c r="G707" s="481"/>
      <c r="H707" s="481"/>
      <c r="I707" s="481"/>
      <c r="J707" s="481"/>
      <c r="K707" s="481"/>
      <c r="L707" s="481"/>
      <c r="M707" s="481"/>
      <c r="N707" s="481"/>
      <c r="O707" s="481"/>
      <c r="P707" s="481"/>
      <c r="Q707" s="481"/>
      <c r="R707" s="481"/>
      <c r="S707" s="481"/>
      <c r="T707" s="481"/>
      <c r="U707" s="481"/>
      <c r="V707" s="481"/>
      <c r="W707" s="481"/>
      <c r="X707" s="481"/>
      <c r="Y707" s="481"/>
      <c r="Z707" s="481"/>
      <c r="AA707" s="481"/>
      <c r="AB707" s="481"/>
    </row>
    <row r="708">
      <c r="A708" s="481"/>
      <c r="B708" s="481"/>
      <c r="C708" s="481"/>
      <c r="D708" s="483"/>
      <c r="E708" s="481"/>
      <c r="F708" s="483"/>
      <c r="G708" s="481"/>
      <c r="H708" s="481"/>
      <c r="I708" s="481"/>
      <c r="J708" s="481"/>
      <c r="K708" s="481"/>
      <c r="L708" s="481"/>
      <c r="M708" s="481"/>
      <c r="N708" s="481"/>
      <c r="O708" s="481"/>
      <c r="P708" s="481"/>
      <c r="Q708" s="481"/>
      <c r="R708" s="481"/>
      <c r="S708" s="481"/>
      <c r="T708" s="481"/>
      <c r="U708" s="481"/>
      <c r="V708" s="481"/>
      <c r="W708" s="481"/>
      <c r="X708" s="481"/>
      <c r="Y708" s="481"/>
      <c r="Z708" s="481"/>
      <c r="AA708" s="481"/>
      <c r="AB708" s="481"/>
    </row>
    <row r="709">
      <c r="A709" s="481"/>
      <c r="B709" s="481"/>
      <c r="C709" s="481"/>
      <c r="D709" s="483"/>
      <c r="E709" s="481"/>
      <c r="F709" s="483"/>
      <c r="G709" s="481"/>
      <c r="H709" s="481"/>
      <c r="I709" s="481"/>
      <c r="J709" s="481"/>
      <c r="K709" s="481"/>
      <c r="L709" s="481"/>
      <c r="M709" s="481"/>
      <c r="N709" s="481"/>
      <c r="O709" s="481"/>
      <c r="P709" s="481"/>
      <c r="Q709" s="481"/>
      <c r="R709" s="481"/>
      <c r="S709" s="481"/>
      <c r="T709" s="481"/>
      <c r="U709" s="481"/>
      <c r="V709" s="481"/>
      <c r="W709" s="481"/>
      <c r="X709" s="481"/>
      <c r="Y709" s="481"/>
      <c r="Z709" s="481"/>
      <c r="AA709" s="481"/>
      <c r="AB709" s="481"/>
    </row>
    <row r="710">
      <c r="A710" s="481"/>
      <c r="B710" s="481"/>
      <c r="C710" s="481"/>
      <c r="D710" s="483"/>
      <c r="E710" s="481"/>
      <c r="F710" s="483"/>
      <c r="G710" s="481"/>
      <c r="H710" s="481"/>
      <c r="I710" s="481"/>
      <c r="J710" s="481"/>
      <c r="K710" s="481"/>
      <c r="L710" s="481"/>
      <c r="M710" s="481"/>
      <c r="N710" s="481"/>
      <c r="O710" s="481"/>
      <c r="P710" s="481"/>
      <c r="Q710" s="481"/>
      <c r="R710" s="481"/>
      <c r="S710" s="481"/>
      <c r="T710" s="481"/>
      <c r="U710" s="481"/>
      <c r="V710" s="481"/>
      <c r="W710" s="481"/>
      <c r="X710" s="481"/>
      <c r="Y710" s="481"/>
      <c r="Z710" s="481"/>
      <c r="AA710" s="481"/>
      <c r="AB710" s="481"/>
    </row>
    <row r="711">
      <c r="A711" s="481"/>
      <c r="B711" s="481"/>
      <c r="C711" s="481"/>
      <c r="D711" s="483"/>
      <c r="E711" s="481"/>
      <c r="F711" s="483"/>
      <c r="G711" s="481"/>
      <c r="H711" s="481"/>
      <c r="I711" s="481"/>
      <c r="J711" s="481"/>
      <c r="K711" s="481"/>
      <c r="L711" s="481"/>
      <c r="M711" s="481"/>
      <c r="N711" s="481"/>
      <c r="O711" s="481"/>
      <c r="P711" s="481"/>
      <c r="Q711" s="481"/>
      <c r="R711" s="481"/>
      <c r="S711" s="481"/>
      <c r="T711" s="481"/>
      <c r="U711" s="481"/>
      <c r="V711" s="481"/>
      <c r="W711" s="481"/>
      <c r="X711" s="481"/>
      <c r="Y711" s="481"/>
      <c r="Z711" s="481"/>
      <c r="AA711" s="481"/>
      <c r="AB711" s="481"/>
    </row>
    <row r="712">
      <c r="A712" s="481"/>
      <c r="B712" s="481"/>
      <c r="C712" s="481"/>
      <c r="D712" s="483"/>
      <c r="E712" s="481"/>
      <c r="F712" s="483"/>
      <c r="G712" s="481"/>
      <c r="H712" s="481"/>
      <c r="I712" s="481"/>
      <c r="J712" s="481"/>
      <c r="K712" s="481"/>
      <c r="L712" s="481"/>
      <c r="M712" s="481"/>
      <c r="N712" s="481"/>
      <c r="O712" s="481"/>
      <c r="P712" s="481"/>
      <c r="Q712" s="481"/>
      <c r="R712" s="481"/>
      <c r="S712" s="481"/>
      <c r="T712" s="481"/>
      <c r="U712" s="481"/>
      <c r="V712" s="481"/>
      <c r="W712" s="481"/>
      <c r="X712" s="481"/>
      <c r="Y712" s="481"/>
      <c r="Z712" s="481"/>
      <c r="AA712" s="481"/>
      <c r="AB712" s="481"/>
    </row>
    <row r="713">
      <c r="A713" s="481"/>
      <c r="B713" s="481"/>
      <c r="C713" s="481"/>
      <c r="D713" s="483"/>
      <c r="E713" s="481"/>
      <c r="F713" s="483"/>
      <c r="G713" s="481"/>
      <c r="H713" s="481"/>
      <c r="I713" s="481"/>
      <c r="J713" s="481"/>
      <c r="K713" s="481"/>
      <c r="L713" s="481"/>
      <c r="M713" s="481"/>
      <c r="N713" s="481"/>
      <c r="O713" s="481"/>
      <c r="P713" s="481"/>
      <c r="Q713" s="481"/>
      <c r="R713" s="481"/>
      <c r="S713" s="481"/>
      <c r="T713" s="481"/>
      <c r="U713" s="481"/>
      <c r="V713" s="481"/>
      <c r="W713" s="481"/>
      <c r="X713" s="481"/>
      <c r="Y713" s="481"/>
      <c r="Z713" s="481"/>
      <c r="AA713" s="481"/>
      <c r="AB713" s="481"/>
    </row>
    <row r="714">
      <c r="A714" s="481"/>
      <c r="B714" s="481"/>
      <c r="C714" s="481"/>
      <c r="D714" s="483"/>
      <c r="E714" s="481"/>
      <c r="F714" s="483"/>
      <c r="G714" s="481"/>
      <c r="H714" s="481"/>
      <c r="I714" s="481"/>
      <c r="J714" s="481"/>
      <c r="K714" s="481"/>
      <c r="L714" s="481"/>
      <c r="M714" s="481"/>
      <c r="N714" s="481"/>
      <c r="O714" s="481"/>
      <c r="P714" s="481"/>
      <c r="Q714" s="481"/>
      <c r="R714" s="481"/>
      <c r="S714" s="481"/>
      <c r="T714" s="481"/>
      <c r="U714" s="481"/>
      <c r="V714" s="481"/>
      <c r="W714" s="481"/>
      <c r="X714" s="481"/>
      <c r="Y714" s="481"/>
      <c r="Z714" s="481"/>
      <c r="AA714" s="481"/>
      <c r="AB714" s="481"/>
    </row>
    <row r="715">
      <c r="A715" s="481"/>
      <c r="B715" s="481"/>
      <c r="C715" s="481"/>
      <c r="D715" s="483"/>
      <c r="E715" s="481"/>
      <c r="F715" s="483"/>
      <c r="G715" s="481"/>
      <c r="H715" s="481"/>
      <c r="I715" s="481"/>
      <c r="J715" s="481"/>
      <c r="K715" s="481"/>
      <c r="L715" s="481"/>
      <c r="M715" s="481"/>
      <c r="N715" s="481"/>
      <c r="O715" s="481"/>
      <c r="P715" s="481"/>
      <c r="Q715" s="481"/>
      <c r="R715" s="481"/>
      <c r="S715" s="481"/>
      <c r="T715" s="481"/>
      <c r="U715" s="481"/>
      <c r="V715" s="481"/>
      <c r="W715" s="481"/>
      <c r="X715" s="481"/>
      <c r="Y715" s="481"/>
      <c r="Z715" s="481"/>
      <c r="AA715" s="481"/>
      <c r="AB715" s="481"/>
    </row>
    <row r="716">
      <c r="A716" s="481"/>
      <c r="B716" s="481"/>
      <c r="C716" s="481"/>
      <c r="D716" s="483"/>
      <c r="E716" s="481"/>
      <c r="F716" s="483"/>
      <c r="G716" s="481"/>
      <c r="H716" s="481"/>
      <c r="I716" s="481"/>
      <c r="J716" s="481"/>
      <c r="K716" s="481"/>
      <c r="L716" s="481"/>
      <c r="M716" s="481"/>
      <c r="N716" s="481"/>
      <c r="O716" s="481"/>
      <c r="P716" s="481"/>
      <c r="Q716" s="481"/>
      <c r="R716" s="481"/>
      <c r="S716" s="481"/>
      <c r="T716" s="481"/>
      <c r="U716" s="481"/>
      <c r="V716" s="481"/>
      <c r="W716" s="481"/>
      <c r="X716" s="481"/>
      <c r="Y716" s="481"/>
      <c r="Z716" s="481"/>
      <c r="AA716" s="481"/>
      <c r="AB716" s="481"/>
    </row>
    <row r="717">
      <c r="A717" s="481"/>
      <c r="B717" s="481"/>
      <c r="C717" s="481"/>
      <c r="D717" s="483"/>
      <c r="E717" s="481"/>
      <c r="F717" s="483"/>
      <c r="G717" s="481"/>
      <c r="H717" s="481"/>
      <c r="I717" s="481"/>
      <c r="J717" s="481"/>
      <c r="K717" s="481"/>
      <c r="L717" s="481"/>
      <c r="M717" s="481"/>
      <c r="N717" s="481"/>
      <c r="O717" s="481"/>
      <c r="P717" s="481"/>
      <c r="Q717" s="481"/>
      <c r="R717" s="481"/>
      <c r="S717" s="481"/>
      <c r="T717" s="481"/>
      <c r="U717" s="481"/>
      <c r="V717" s="481"/>
      <c r="W717" s="481"/>
      <c r="X717" s="481"/>
      <c r="Y717" s="481"/>
      <c r="Z717" s="481"/>
      <c r="AA717" s="481"/>
      <c r="AB717" s="481"/>
    </row>
    <row r="718">
      <c r="A718" s="481"/>
      <c r="B718" s="481"/>
      <c r="C718" s="481"/>
      <c r="D718" s="483"/>
      <c r="E718" s="481"/>
      <c r="F718" s="483"/>
      <c r="G718" s="481"/>
      <c r="H718" s="481"/>
      <c r="I718" s="481"/>
      <c r="J718" s="481"/>
      <c r="K718" s="481"/>
      <c r="L718" s="481"/>
      <c r="M718" s="481"/>
      <c r="N718" s="481"/>
      <c r="O718" s="481"/>
      <c r="P718" s="481"/>
      <c r="Q718" s="481"/>
      <c r="R718" s="481"/>
      <c r="S718" s="481"/>
      <c r="T718" s="481"/>
      <c r="U718" s="481"/>
      <c r="V718" s="481"/>
      <c r="W718" s="481"/>
      <c r="X718" s="481"/>
      <c r="Y718" s="481"/>
      <c r="Z718" s="481"/>
      <c r="AA718" s="481"/>
      <c r="AB718" s="481"/>
    </row>
    <row r="719">
      <c r="A719" s="481"/>
      <c r="B719" s="481"/>
      <c r="C719" s="481"/>
      <c r="D719" s="483"/>
      <c r="E719" s="481"/>
      <c r="F719" s="483"/>
      <c r="G719" s="481"/>
      <c r="H719" s="481"/>
      <c r="I719" s="481"/>
      <c r="J719" s="481"/>
      <c r="K719" s="481"/>
      <c r="L719" s="481"/>
      <c r="M719" s="481"/>
      <c r="N719" s="481"/>
      <c r="O719" s="481"/>
      <c r="P719" s="481"/>
      <c r="Q719" s="481"/>
      <c r="R719" s="481"/>
      <c r="S719" s="481"/>
      <c r="T719" s="481"/>
      <c r="U719" s="481"/>
      <c r="V719" s="481"/>
      <c r="W719" s="481"/>
      <c r="X719" s="481"/>
      <c r="Y719" s="481"/>
      <c r="Z719" s="481"/>
      <c r="AA719" s="481"/>
      <c r="AB719" s="481"/>
    </row>
    <row r="720">
      <c r="A720" s="481"/>
      <c r="B720" s="481"/>
      <c r="C720" s="481"/>
      <c r="D720" s="483"/>
      <c r="E720" s="481"/>
      <c r="F720" s="483"/>
      <c r="G720" s="481"/>
      <c r="H720" s="481"/>
      <c r="I720" s="481"/>
      <c r="J720" s="481"/>
      <c r="K720" s="481"/>
      <c r="L720" s="481"/>
      <c r="M720" s="481"/>
      <c r="N720" s="481"/>
      <c r="O720" s="481"/>
      <c r="P720" s="481"/>
      <c r="Q720" s="481"/>
      <c r="R720" s="481"/>
      <c r="S720" s="481"/>
      <c r="T720" s="481"/>
      <c r="U720" s="481"/>
      <c r="V720" s="481"/>
      <c r="W720" s="481"/>
      <c r="X720" s="481"/>
      <c r="Y720" s="481"/>
      <c r="Z720" s="481"/>
      <c r="AA720" s="481"/>
      <c r="AB720" s="481"/>
    </row>
    <row r="721">
      <c r="A721" s="481"/>
      <c r="B721" s="481"/>
      <c r="C721" s="481"/>
      <c r="D721" s="483"/>
      <c r="E721" s="481"/>
      <c r="F721" s="483"/>
      <c r="G721" s="481"/>
      <c r="H721" s="481"/>
      <c r="I721" s="481"/>
      <c r="J721" s="481"/>
      <c r="K721" s="481"/>
      <c r="L721" s="481"/>
      <c r="M721" s="481"/>
      <c r="N721" s="481"/>
      <c r="O721" s="481"/>
      <c r="P721" s="481"/>
      <c r="Q721" s="481"/>
      <c r="R721" s="481"/>
      <c r="S721" s="481"/>
      <c r="T721" s="481"/>
      <c r="U721" s="481"/>
      <c r="V721" s="481"/>
      <c r="W721" s="481"/>
      <c r="X721" s="481"/>
      <c r="Y721" s="481"/>
      <c r="Z721" s="481"/>
      <c r="AA721" s="481"/>
      <c r="AB721" s="481"/>
    </row>
    <row r="722">
      <c r="A722" s="481"/>
      <c r="B722" s="481"/>
      <c r="C722" s="481"/>
      <c r="D722" s="483"/>
      <c r="E722" s="481"/>
      <c r="F722" s="483"/>
      <c r="G722" s="481"/>
      <c r="H722" s="481"/>
      <c r="I722" s="481"/>
      <c r="J722" s="481"/>
      <c r="K722" s="481"/>
      <c r="L722" s="481"/>
      <c r="M722" s="481"/>
      <c r="N722" s="481"/>
      <c r="O722" s="481"/>
      <c r="P722" s="481"/>
      <c r="Q722" s="481"/>
      <c r="R722" s="481"/>
      <c r="S722" s="481"/>
      <c r="T722" s="481"/>
      <c r="U722" s="481"/>
      <c r="V722" s="481"/>
      <c r="W722" s="481"/>
      <c r="X722" s="481"/>
      <c r="Y722" s="481"/>
      <c r="Z722" s="481"/>
      <c r="AA722" s="481"/>
      <c r="AB722" s="481"/>
    </row>
    <row r="723">
      <c r="A723" s="481"/>
      <c r="B723" s="481"/>
      <c r="C723" s="481"/>
      <c r="D723" s="483"/>
      <c r="E723" s="481"/>
      <c r="F723" s="483"/>
      <c r="G723" s="481"/>
      <c r="H723" s="481"/>
      <c r="I723" s="481"/>
      <c r="J723" s="481"/>
      <c r="K723" s="481"/>
      <c r="L723" s="481"/>
      <c r="M723" s="481"/>
      <c r="N723" s="481"/>
      <c r="O723" s="481"/>
      <c r="P723" s="481"/>
      <c r="Q723" s="481"/>
      <c r="R723" s="481"/>
      <c r="S723" s="481"/>
      <c r="T723" s="481"/>
      <c r="U723" s="481"/>
      <c r="V723" s="481"/>
      <c r="W723" s="481"/>
      <c r="X723" s="481"/>
      <c r="Y723" s="481"/>
      <c r="Z723" s="481"/>
      <c r="AA723" s="481"/>
      <c r="AB723" s="481"/>
    </row>
    <row r="724">
      <c r="A724" s="481"/>
      <c r="B724" s="481"/>
      <c r="C724" s="481"/>
      <c r="D724" s="483"/>
      <c r="E724" s="481"/>
      <c r="F724" s="483"/>
      <c r="G724" s="481"/>
      <c r="H724" s="481"/>
      <c r="I724" s="481"/>
      <c r="J724" s="481"/>
      <c r="K724" s="481"/>
      <c r="L724" s="481"/>
      <c r="M724" s="481"/>
      <c r="N724" s="481"/>
      <c r="O724" s="481"/>
      <c r="P724" s="481"/>
      <c r="Q724" s="481"/>
      <c r="R724" s="481"/>
      <c r="S724" s="481"/>
      <c r="T724" s="481"/>
      <c r="U724" s="481"/>
      <c r="V724" s="481"/>
      <c r="W724" s="481"/>
      <c r="X724" s="481"/>
      <c r="Y724" s="481"/>
      <c r="Z724" s="481"/>
      <c r="AA724" s="481"/>
      <c r="AB724" s="481"/>
    </row>
    <row r="725">
      <c r="A725" s="481"/>
      <c r="B725" s="481"/>
      <c r="C725" s="481"/>
      <c r="D725" s="483"/>
      <c r="E725" s="481"/>
      <c r="F725" s="483"/>
      <c r="G725" s="481"/>
      <c r="H725" s="481"/>
      <c r="I725" s="481"/>
      <c r="J725" s="481"/>
      <c r="K725" s="481"/>
      <c r="L725" s="481"/>
      <c r="M725" s="481"/>
      <c r="N725" s="481"/>
      <c r="O725" s="481"/>
      <c r="P725" s="481"/>
      <c r="Q725" s="481"/>
      <c r="R725" s="481"/>
      <c r="S725" s="481"/>
      <c r="T725" s="481"/>
      <c r="U725" s="481"/>
      <c r="V725" s="481"/>
      <c r="W725" s="481"/>
      <c r="X725" s="481"/>
      <c r="Y725" s="481"/>
      <c r="Z725" s="481"/>
      <c r="AA725" s="481"/>
      <c r="AB725" s="481"/>
    </row>
    <row r="726">
      <c r="A726" s="481"/>
      <c r="B726" s="481"/>
      <c r="C726" s="481"/>
      <c r="D726" s="483"/>
      <c r="E726" s="481"/>
      <c r="F726" s="483"/>
      <c r="G726" s="481"/>
      <c r="H726" s="481"/>
      <c r="I726" s="481"/>
      <c r="J726" s="481"/>
      <c r="K726" s="481"/>
      <c r="L726" s="481"/>
      <c r="M726" s="481"/>
      <c r="N726" s="481"/>
      <c r="O726" s="481"/>
      <c r="P726" s="481"/>
      <c r="Q726" s="481"/>
      <c r="R726" s="481"/>
      <c r="S726" s="481"/>
      <c r="T726" s="481"/>
      <c r="U726" s="481"/>
      <c r="V726" s="481"/>
      <c r="W726" s="481"/>
      <c r="X726" s="481"/>
      <c r="Y726" s="481"/>
      <c r="Z726" s="481"/>
      <c r="AA726" s="481"/>
      <c r="AB726" s="481"/>
    </row>
    <row r="727">
      <c r="A727" s="481"/>
      <c r="B727" s="481"/>
      <c r="C727" s="481"/>
      <c r="D727" s="483"/>
      <c r="E727" s="481"/>
      <c r="F727" s="483"/>
      <c r="G727" s="481"/>
      <c r="H727" s="481"/>
      <c r="I727" s="481"/>
      <c r="J727" s="481"/>
      <c r="K727" s="481"/>
      <c r="L727" s="481"/>
      <c r="M727" s="481"/>
      <c r="N727" s="481"/>
      <c r="O727" s="481"/>
      <c r="P727" s="481"/>
      <c r="Q727" s="481"/>
      <c r="R727" s="481"/>
      <c r="S727" s="481"/>
      <c r="T727" s="481"/>
      <c r="U727" s="481"/>
      <c r="V727" s="481"/>
      <c r="W727" s="481"/>
      <c r="X727" s="481"/>
      <c r="Y727" s="481"/>
      <c r="Z727" s="481"/>
      <c r="AA727" s="481"/>
      <c r="AB727" s="481"/>
    </row>
    <row r="728">
      <c r="A728" s="481"/>
      <c r="B728" s="481"/>
      <c r="C728" s="481"/>
      <c r="D728" s="483"/>
      <c r="E728" s="481"/>
      <c r="F728" s="483"/>
      <c r="G728" s="481"/>
      <c r="H728" s="481"/>
      <c r="I728" s="481"/>
      <c r="J728" s="481"/>
      <c r="K728" s="481"/>
      <c r="L728" s="481"/>
      <c r="M728" s="481"/>
      <c r="N728" s="481"/>
      <c r="O728" s="481"/>
      <c r="P728" s="481"/>
      <c r="Q728" s="481"/>
      <c r="R728" s="481"/>
      <c r="S728" s="481"/>
      <c r="T728" s="481"/>
      <c r="U728" s="481"/>
      <c r="V728" s="481"/>
      <c r="W728" s="481"/>
      <c r="X728" s="481"/>
      <c r="Y728" s="481"/>
      <c r="Z728" s="481"/>
      <c r="AA728" s="481"/>
      <c r="AB728" s="481"/>
    </row>
    <row r="729">
      <c r="A729" s="481"/>
      <c r="B729" s="481"/>
      <c r="C729" s="481"/>
      <c r="D729" s="483"/>
      <c r="E729" s="481"/>
      <c r="F729" s="483"/>
      <c r="G729" s="481"/>
      <c r="H729" s="481"/>
      <c r="I729" s="481"/>
      <c r="J729" s="481"/>
      <c r="K729" s="481"/>
      <c r="L729" s="481"/>
      <c r="M729" s="481"/>
      <c r="N729" s="481"/>
      <c r="O729" s="481"/>
      <c r="P729" s="481"/>
      <c r="Q729" s="481"/>
      <c r="R729" s="481"/>
      <c r="S729" s="481"/>
      <c r="T729" s="481"/>
      <c r="U729" s="481"/>
      <c r="V729" s="481"/>
      <c r="W729" s="481"/>
      <c r="X729" s="481"/>
      <c r="Y729" s="481"/>
      <c r="Z729" s="481"/>
      <c r="AA729" s="481"/>
      <c r="AB729" s="481"/>
    </row>
    <row r="730">
      <c r="A730" s="481"/>
      <c r="B730" s="481"/>
      <c r="C730" s="481"/>
      <c r="D730" s="483"/>
      <c r="E730" s="481"/>
      <c r="F730" s="483"/>
      <c r="G730" s="481"/>
      <c r="H730" s="481"/>
      <c r="I730" s="481"/>
      <c r="J730" s="481"/>
      <c r="K730" s="481"/>
      <c r="L730" s="481"/>
      <c r="M730" s="481"/>
      <c r="N730" s="481"/>
      <c r="O730" s="481"/>
      <c r="P730" s="481"/>
      <c r="Q730" s="481"/>
      <c r="R730" s="481"/>
      <c r="S730" s="481"/>
      <c r="T730" s="481"/>
      <c r="U730" s="481"/>
      <c r="V730" s="481"/>
      <c r="W730" s="481"/>
      <c r="X730" s="481"/>
      <c r="Y730" s="481"/>
      <c r="Z730" s="481"/>
      <c r="AA730" s="481"/>
      <c r="AB730" s="481"/>
    </row>
    <row r="731">
      <c r="A731" s="481"/>
      <c r="B731" s="481"/>
      <c r="C731" s="481"/>
      <c r="D731" s="483"/>
      <c r="E731" s="481"/>
      <c r="F731" s="483"/>
      <c r="G731" s="481"/>
      <c r="H731" s="481"/>
      <c r="I731" s="481"/>
      <c r="J731" s="481"/>
      <c r="K731" s="481"/>
      <c r="L731" s="481"/>
      <c r="M731" s="481"/>
      <c r="N731" s="481"/>
      <c r="O731" s="481"/>
      <c r="P731" s="481"/>
      <c r="Q731" s="481"/>
      <c r="R731" s="481"/>
      <c r="S731" s="481"/>
      <c r="T731" s="481"/>
      <c r="U731" s="481"/>
      <c r="V731" s="481"/>
      <c r="W731" s="481"/>
      <c r="X731" s="481"/>
      <c r="Y731" s="481"/>
      <c r="Z731" s="481"/>
      <c r="AA731" s="481"/>
      <c r="AB731" s="481"/>
    </row>
    <row r="732">
      <c r="A732" s="481"/>
      <c r="B732" s="481"/>
      <c r="C732" s="481"/>
      <c r="D732" s="483"/>
      <c r="E732" s="481"/>
      <c r="F732" s="483"/>
      <c r="G732" s="481"/>
      <c r="H732" s="481"/>
      <c r="I732" s="481"/>
      <c r="J732" s="481"/>
      <c r="K732" s="481"/>
      <c r="L732" s="481"/>
      <c r="M732" s="481"/>
      <c r="N732" s="481"/>
      <c r="O732" s="481"/>
      <c r="P732" s="481"/>
      <c r="Q732" s="481"/>
      <c r="R732" s="481"/>
      <c r="S732" s="481"/>
      <c r="T732" s="481"/>
      <c r="U732" s="481"/>
      <c r="V732" s="481"/>
      <c r="W732" s="481"/>
      <c r="X732" s="481"/>
      <c r="Y732" s="481"/>
      <c r="Z732" s="481"/>
      <c r="AA732" s="481"/>
      <c r="AB732" s="481"/>
    </row>
    <row r="733">
      <c r="A733" s="481"/>
      <c r="B733" s="481"/>
      <c r="C733" s="481"/>
      <c r="D733" s="483"/>
      <c r="E733" s="481"/>
      <c r="F733" s="483"/>
      <c r="G733" s="481"/>
      <c r="H733" s="481"/>
      <c r="I733" s="481"/>
      <c r="J733" s="481"/>
      <c r="K733" s="481"/>
      <c r="L733" s="481"/>
      <c r="M733" s="481"/>
      <c r="N733" s="481"/>
      <c r="O733" s="481"/>
      <c r="P733" s="481"/>
      <c r="Q733" s="481"/>
      <c r="R733" s="481"/>
      <c r="S733" s="481"/>
      <c r="T733" s="481"/>
      <c r="U733" s="481"/>
      <c r="V733" s="481"/>
      <c r="W733" s="481"/>
      <c r="X733" s="481"/>
      <c r="Y733" s="481"/>
      <c r="Z733" s="481"/>
      <c r="AA733" s="481"/>
      <c r="AB733" s="481"/>
    </row>
    <row r="734">
      <c r="A734" s="481"/>
      <c r="B734" s="481"/>
      <c r="C734" s="481"/>
      <c r="D734" s="483"/>
      <c r="E734" s="481"/>
      <c r="F734" s="483"/>
      <c r="G734" s="481"/>
      <c r="H734" s="481"/>
      <c r="I734" s="481"/>
      <c r="J734" s="481"/>
      <c r="K734" s="481"/>
      <c r="L734" s="481"/>
      <c r="M734" s="481"/>
      <c r="N734" s="481"/>
      <c r="O734" s="481"/>
      <c r="P734" s="481"/>
      <c r="Q734" s="481"/>
      <c r="R734" s="481"/>
      <c r="S734" s="481"/>
      <c r="T734" s="481"/>
      <c r="U734" s="481"/>
      <c r="V734" s="481"/>
      <c r="W734" s="481"/>
      <c r="X734" s="481"/>
      <c r="Y734" s="481"/>
      <c r="Z734" s="481"/>
      <c r="AA734" s="481"/>
      <c r="AB734" s="481"/>
    </row>
    <row r="735">
      <c r="A735" s="481"/>
      <c r="B735" s="481"/>
      <c r="C735" s="481"/>
      <c r="D735" s="483"/>
      <c r="E735" s="481"/>
      <c r="F735" s="483"/>
      <c r="G735" s="481"/>
      <c r="H735" s="481"/>
      <c r="I735" s="481"/>
      <c r="J735" s="481"/>
      <c r="K735" s="481"/>
      <c r="L735" s="481"/>
      <c r="M735" s="481"/>
      <c r="N735" s="481"/>
      <c r="O735" s="481"/>
      <c r="P735" s="481"/>
      <c r="Q735" s="481"/>
      <c r="R735" s="481"/>
      <c r="S735" s="481"/>
      <c r="T735" s="481"/>
      <c r="U735" s="481"/>
      <c r="V735" s="481"/>
      <c r="W735" s="481"/>
      <c r="X735" s="481"/>
      <c r="Y735" s="481"/>
      <c r="Z735" s="481"/>
      <c r="AA735" s="481"/>
      <c r="AB735" s="481"/>
    </row>
    <row r="736">
      <c r="A736" s="481"/>
      <c r="B736" s="481"/>
      <c r="C736" s="481"/>
      <c r="D736" s="483"/>
      <c r="E736" s="481"/>
      <c r="F736" s="483"/>
      <c r="G736" s="481"/>
      <c r="H736" s="481"/>
      <c r="I736" s="481"/>
      <c r="J736" s="481"/>
      <c r="K736" s="481"/>
      <c r="L736" s="481"/>
      <c r="M736" s="481"/>
      <c r="N736" s="481"/>
      <c r="O736" s="481"/>
      <c r="P736" s="481"/>
      <c r="Q736" s="481"/>
      <c r="R736" s="481"/>
      <c r="S736" s="481"/>
      <c r="T736" s="481"/>
      <c r="U736" s="481"/>
      <c r="V736" s="481"/>
      <c r="W736" s="481"/>
      <c r="X736" s="481"/>
      <c r="Y736" s="481"/>
      <c r="Z736" s="481"/>
      <c r="AA736" s="481"/>
      <c r="AB736" s="481"/>
    </row>
    <row r="737">
      <c r="A737" s="481"/>
      <c r="B737" s="481"/>
      <c r="C737" s="481"/>
      <c r="D737" s="483"/>
      <c r="E737" s="481"/>
      <c r="F737" s="483"/>
      <c r="G737" s="481"/>
      <c r="H737" s="481"/>
      <c r="I737" s="481"/>
      <c r="J737" s="481"/>
      <c r="K737" s="481"/>
      <c r="L737" s="481"/>
      <c r="M737" s="481"/>
      <c r="N737" s="481"/>
      <c r="O737" s="481"/>
      <c r="P737" s="481"/>
      <c r="Q737" s="481"/>
      <c r="R737" s="481"/>
      <c r="S737" s="481"/>
      <c r="T737" s="481"/>
      <c r="U737" s="481"/>
      <c r="V737" s="481"/>
      <c r="W737" s="481"/>
      <c r="X737" s="481"/>
      <c r="Y737" s="481"/>
      <c r="Z737" s="481"/>
      <c r="AA737" s="481"/>
      <c r="AB737" s="481"/>
    </row>
    <row r="738">
      <c r="A738" s="481"/>
      <c r="B738" s="481"/>
      <c r="C738" s="481"/>
      <c r="D738" s="483"/>
      <c r="E738" s="481"/>
      <c r="F738" s="483"/>
      <c r="G738" s="481"/>
      <c r="H738" s="481"/>
      <c r="I738" s="481"/>
      <c r="J738" s="481"/>
      <c r="K738" s="481"/>
      <c r="L738" s="481"/>
      <c r="M738" s="481"/>
      <c r="N738" s="481"/>
      <c r="O738" s="481"/>
      <c r="P738" s="481"/>
      <c r="Q738" s="481"/>
      <c r="R738" s="481"/>
      <c r="S738" s="481"/>
      <c r="T738" s="481"/>
      <c r="U738" s="481"/>
      <c r="V738" s="481"/>
      <c r="W738" s="481"/>
      <c r="X738" s="481"/>
      <c r="Y738" s="481"/>
      <c r="Z738" s="481"/>
      <c r="AA738" s="481"/>
      <c r="AB738" s="481"/>
    </row>
    <row r="739">
      <c r="A739" s="481"/>
      <c r="B739" s="481"/>
      <c r="C739" s="481"/>
      <c r="D739" s="483"/>
      <c r="E739" s="481"/>
      <c r="F739" s="483"/>
      <c r="G739" s="481"/>
      <c r="H739" s="481"/>
      <c r="I739" s="481"/>
      <c r="J739" s="481"/>
      <c r="K739" s="481"/>
      <c r="L739" s="481"/>
      <c r="M739" s="481"/>
      <c r="N739" s="481"/>
      <c r="O739" s="481"/>
      <c r="P739" s="481"/>
      <c r="Q739" s="481"/>
      <c r="R739" s="481"/>
      <c r="S739" s="481"/>
      <c r="T739" s="481"/>
      <c r="U739" s="481"/>
      <c r="V739" s="481"/>
      <c r="W739" s="481"/>
      <c r="X739" s="481"/>
      <c r="Y739" s="481"/>
      <c r="Z739" s="481"/>
      <c r="AA739" s="481"/>
      <c r="AB739" s="481"/>
    </row>
    <row r="740">
      <c r="A740" s="481"/>
      <c r="B740" s="481"/>
      <c r="C740" s="481"/>
      <c r="D740" s="483"/>
      <c r="E740" s="481"/>
      <c r="F740" s="483"/>
      <c r="G740" s="481"/>
      <c r="H740" s="481"/>
      <c r="I740" s="481"/>
      <c r="J740" s="481"/>
      <c r="K740" s="481"/>
      <c r="L740" s="481"/>
      <c r="M740" s="481"/>
      <c r="N740" s="481"/>
      <c r="O740" s="481"/>
      <c r="P740" s="481"/>
      <c r="Q740" s="481"/>
      <c r="R740" s="481"/>
      <c r="S740" s="481"/>
      <c r="T740" s="481"/>
      <c r="U740" s="481"/>
      <c r="V740" s="481"/>
      <c r="W740" s="481"/>
      <c r="X740" s="481"/>
      <c r="Y740" s="481"/>
      <c r="Z740" s="481"/>
      <c r="AA740" s="481"/>
      <c r="AB740" s="481"/>
    </row>
    <row r="741">
      <c r="A741" s="481"/>
      <c r="B741" s="481"/>
      <c r="C741" s="481"/>
      <c r="D741" s="483"/>
      <c r="E741" s="481"/>
      <c r="F741" s="483"/>
      <c r="G741" s="481"/>
      <c r="H741" s="481"/>
      <c r="I741" s="481"/>
      <c r="J741" s="481"/>
      <c r="K741" s="481"/>
      <c r="L741" s="481"/>
      <c r="M741" s="481"/>
      <c r="N741" s="481"/>
      <c r="O741" s="481"/>
      <c r="P741" s="481"/>
      <c r="Q741" s="481"/>
      <c r="R741" s="481"/>
      <c r="S741" s="481"/>
      <c r="T741" s="481"/>
      <c r="U741" s="481"/>
      <c r="V741" s="481"/>
      <c r="W741" s="481"/>
      <c r="X741" s="481"/>
      <c r="Y741" s="481"/>
      <c r="Z741" s="481"/>
      <c r="AA741" s="481"/>
      <c r="AB741" s="481"/>
    </row>
    <row r="742">
      <c r="A742" s="481"/>
      <c r="B742" s="481"/>
      <c r="C742" s="481"/>
      <c r="D742" s="483"/>
      <c r="E742" s="481"/>
      <c r="F742" s="483"/>
      <c r="G742" s="481"/>
      <c r="H742" s="481"/>
      <c r="I742" s="481"/>
      <c r="J742" s="481"/>
      <c r="K742" s="481"/>
      <c r="L742" s="481"/>
      <c r="M742" s="481"/>
      <c r="N742" s="481"/>
      <c r="O742" s="481"/>
      <c r="P742" s="481"/>
      <c r="Q742" s="481"/>
      <c r="R742" s="481"/>
      <c r="S742" s="481"/>
      <c r="T742" s="481"/>
      <c r="U742" s="481"/>
      <c r="V742" s="481"/>
      <c r="W742" s="481"/>
      <c r="X742" s="481"/>
      <c r="Y742" s="481"/>
      <c r="Z742" s="481"/>
      <c r="AA742" s="481"/>
      <c r="AB742" s="481"/>
    </row>
    <row r="743">
      <c r="A743" s="481"/>
      <c r="B743" s="481"/>
      <c r="C743" s="481"/>
      <c r="D743" s="483"/>
      <c r="E743" s="481"/>
      <c r="F743" s="483"/>
      <c r="G743" s="481"/>
      <c r="H743" s="481"/>
      <c r="I743" s="481"/>
      <c r="J743" s="481"/>
      <c r="K743" s="481"/>
      <c r="L743" s="481"/>
      <c r="M743" s="481"/>
      <c r="N743" s="481"/>
      <c r="O743" s="481"/>
      <c r="P743" s="481"/>
      <c r="Q743" s="481"/>
      <c r="R743" s="481"/>
      <c r="S743" s="481"/>
      <c r="T743" s="481"/>
      <c r="U743" s="481"/>
      <c r="V743" s="481"/>
      <c r="W743" s="481"/>
      <c r="X743" s="481"/>
      <c r="Y743" s="481"/>
      <c r="Z743" s="481"/>
      <c r="AA743" s="481"/>
      <c r="AB743" s="481"/>
    </row>
    <row r="744">
      <c r="A744" s="481"/>
      <c r="B744" s="481"/>
      <c r="C744" s="481"/>
      <c r="D744" s="483"/>
      <c r="E744" s="481"/>
      <c r="F744" s="483"/>
      <c r="G744" s="481"/>
      <c r="H744" s="481"/>
      <c r="I744" s="481"/>
      <c r="J744" s="481"/>
      <c r="K744" s="481"/>
      <c r="L744" s="481"/>
      <c r="M744" s="481"/>
      <c r="N744" s="481"/>
      <c r="O744" s="481"/>
      <c r="P744" s="481"/>
      <c r="Q744" s="481"/>
      <c r="R744" s="481"/>
      <c r="S744" s="481"/>
      <c r="T744" s="481"/>
      <c r="U744" s="481"/>
      <c r="V744" s="481"/>
      <c r="W744" s="481"/>
      <c r="X744" s="481"/>
      <c r="Y744" s="481"/>
      <c r="Z744" s="481"/>
      <c r="AA744" s="481"/>
      <c r="AB744" s="481"/>
    </row>
    <row r="745">
      <c r="A745" s="481"/>
      <c r="B745" s="481"/>
      <c r="C745" s="481"/>
      <c r="D745" s="483"/>
      <c r="E745" s="481"/>
      <c r="F745" s="483"/>
      <c r="G745" s="481"/>
      <c r="H745" s="481"/>
      <c r="I745" s="481"/>
      <c r="J745" s="481"/>
      <c r="K745" s="481"/>
      <c r="L745" s="481"/>
      <c r="M745" s="481"/>
      <c r="N745" s="481"/>
      <c r="O745" s="481"/>
      <c r="P745" s="481"/>
      <c r="Q745" s="481"/>
      <c r="R745" s="481"/>
      <c r="S745" s="481"/>
      <c r="T745" s="481"/>
      <c r="U745" s="481"/>
      <c r="V745" s="481"/>
      <c r="W745" s="481"/>
      <c r="X745" s="481"/>
      <c r="Y745" s="481"/>
      <c r="Z745" s="481"/>
      <c r="AA745" s="481"/>
      <c r="AB745" s="481"/>
    </row>
    <row r="746">
      <c r="A746" s="481"/>
      <c r="B746" s="481"/>
      <c r="C746" s="481"/>
      <c r="D746" s="483"/>
      <c r="E746" s="481"/>
      <c r="F746" s="483"/>
      <c r="G746" s="481"/>
      <c r="H746" s="481"/>
      <c r="I746" s="481"/>
      <c r="J746" s="481"/>
      <c r="K746" s="481"/>
      <c r="L746" s="481"/>
      <c r="M746" s="481"/>
      <c r="N746" s="481"/>
      <c r="O746" s="481"/>
      <c r="P746" s="481"/>
      <c r="Q746" s="481"/>
      <c r="R746" s="481"/>
      <c r="S746" s="481"/>
      <c r="T746" s="481"/>
      <c r="U746" s="481"/>
      <c r="V746" s="481"/>
      <c r="W746" s="481"/>
      <c r="X746" s="481"/>
      <c r="Y746" s="481"/>
      <c r="Z746" s="481"/>
      <c r="AA746" s="481"/>
      <c r="AB746" s="481"/>
    </row>
    <row r="747">
      <c r="A747" s="481"/>
      <c r="B747" s="481"/>
      <c r="C747" s="481"/>
      <c r="D747" s="483"/>
      <c r="E747" s="481"/>
      <c r="F747" s="483"/>
      <c r="G747" s="481"/>
      <c r="H747" s="481"/>
      <c r="I747" s="481"/>
      <c r="J747" s="481"/>
      <c r="K747" s="481"/>
      <c r="L747" s="481"/>
      <c r="M747" s="481"/>
      <c r="N747" s="481"/>
      <c r="O747" s="481"/>
      <c r="P747" s="481"/>
      <c r="Q747" s="481"/>
      <c r="R747" s="481"/>
      <c r="S747" s="481"/>
      <c r="T747" s="481"/>
      <c r="U747" s="481"/>
      <c r="V747" s="481"/>
      <c r="W747" s="481"/>
      <c r="X747" s="481"/>
      <c r="Y747" s="481"/>
      <c r="Z747" s="481"/>
      <c r="AA747" s="481"/>
      <c r="AB747" s="481"/>
    </row>
    <row r="748">
      <c r="A748" s="481"/>
      <c r="B748" s="481"/>
      <c r="C748" s="481"/>
      <c r="D748" s="483"/>
      <c r="E748" s="481"/>
      <c r="F748" s="483"/>
      <c r="G748" s="481"/>
      <c r="H748" s="481"/>
      <c r="I748" s="481"/>
      <c r="J748" s="481"/>
      <c r="K748" s="481"/>
      <c r="L748" s="481"/>
      <c r="M748" s="481"/>
      <c r="N748" s="481"/>
      <c r="O748" s="481"/>
      <c r="P748" s="481"/>
      <c r="Q748" s="481"/>
      <c r="R748" s="481"/>
      <c r="S748" s="481"/>
      <c r="T748" s="481"/>
      <c r="U748" s="481"/>
      <c r="V748" s="481"/>
      <c r="W748" s="481"/>
      <c r="X748" s="481"/>
      <c r="Y748" s="481"/>
      <c r="Z748" s="481"/>
      <c r="AA748" s="481"/>
      <c r="AB748" s="481"/>
    </row>
    <row r="749">
      <c r="A749" s="481"/>
      <c r="B749" s="481"/>
      <c r="C749" s="481"/>
      <c r="D749" s="483"/>
      <c r="E749" s="481"/>
      <c r="F749" s="483"/>
      <c r="G749" s="481"/>
      <c r="H749" s="481"/>
      <c r="I749" s="481"/>
      <c r="J749" s="481"/>
      <c r="K749" s="481"/>
      <c r="L749" s="481"/>
      <c r="M749" s="481"/>
      <c r="N749" s="481"/>
      <c r="O749" s="481"/>
      <c r="P749" s="481"/>
      <c r="Q749" s="481"/>
      <c r="R749" s="481"/>
      <c r="S749" s="481"/>
      <c r="T749" s="481"/>
      <c r="U749" s="481"/>
      <c r="V749" s="481"/>
      <c r="W749" s="481"/>
      <c r="X749" s="481"/>
      <c r="Y749" s="481"/>
      <c r="Z749" s="481"/>
      <c r="AA749" s="481"/>
      <c r="AB749" s="481"/>
    </row>
    <row r="750">
      <c r="A750" s="481"/>
      <c r="B750" s="481"/>
      <c r="C750" s="481"/>
      <c r="D750" s="483"/>
      <c r="E750" s="481"/>
      <c r="F750" s="483"/>
      <c r="G750" s="481"/>
      <c r="H750" s="481"/>
      <c r="I750" s="481"/>
      <c r="J750" s="481"/>
      <c r="K750" s="481"/>
      <c r="L750" s="481"/>
      <c r="M750" s="481"/>
      <c r="N750" s="481"/>
      <c r="O750" s="481"/>
      <c r="P750" s="481"/>
      <c r="Q750" s="481"/>
      <c r="R750" s="481"/>
      <c r="S750" s="481"/>
      <c r="T750" s="481"/>
      <c r="U750" s="481"/>
      <c r="V750" s="481"/>
      <c r="W750" s="481"/>
      <c r="X750" s="481"/>
      <c r="Y750" s="481"/>
      <c r="Z750" s="481"/>
      <c r="AA750" s="481"/>
      <c r="AB750" s="481"/>
    </row>
    <row r="751">
      <c r="A751" s="481"/>
      <c r="B751" s="481"/>
      <c r="C751" s="481"/>
      <c r="D751" s="483"/>
      <c r="E751" s="481"/>
      <c r="F751" s="483"/>
      <c r="G751" s="481"/>
      <c r="H751" s="481"/>
      <c r="I751" s="481"/>
      <c r="J751" s="481"/>
      <c r="K751" s="481"/>
      <c r="L751" s="481"/>
      <c r="M751" s="481"/>
      <c r="N751" s="481"/>
      <c r="O751" s="481"/>
      <c r="P751" s="481"/>
      <c r="Q751" s="481"/>
      <c r="R751" s="481"/>
      <c r="S751" s="481"/>
      <c r="T751" s="481"/>
      <c r="U751" s="481"/>
      <c r="V751" s="481"/>
      <c r="W751" s="481"/>
      <c r="X751" s="481"/>
      <c r="Y751" s="481"/>
      <c r="Z751" s="481"/>
      <c r="AA751" s="481"/>
      <c r="AB751" s="481"/>
    </row>
    <row r="752">
      <c r="A752" s="481"/>
      <c r="B752" s="481"/>
      <c r="C752" s="481"/>
      <c r="D752" s="483"/>
      <c r="E752" s="481"/>
      <c r="F752" s="483"/>
      <c r="G752" s="481"/>
      <c r="H752" s="481"/>
      <c r="I752" s="481"/>
      <c r="J752" s="481"/>
      <c r="K752" s="481"/>
      <c r="L752" s="481"/>
      <c r="M752" s="481"/>
      <c r="N752" s="481"/>
      <c r="O752" s="481"/>
      <c r="P752" s="481"/>
      <c r="Q752" s="481"/>
      <c r="R752" s="481"/>
      <c r="S752" s="481"/>
      <c r="T752" s="481"/>
      <c r="U752" s="481"/>
      <c r="V752" s="481"/>
      <c r="W752" s="481"/>
      <c r="X752" s="481"/>
      <c r="Y752" s="481"/>
      <c r="Z752" s="481"/>
      <c r="AA752" s="481"/>
      <c r="AB752" s="481"/>
    </row>
    <row r="753">
      <c r="A753" s="481"/>
      <c r="B753" s="481"/>
      <c r="C753" s="481"/>
      <c r="D753" s="483"/>
      <c r="E753" s="481"/>
      <c r="F753" s="483"/>
      <c r="G753" s="481"/>
      <c r="H753" s="481"/>
      <c r="I753" s="481"/>
      <c r="J753" s="481"/>
      <c r="K753" s="481"/>
      <c r="L753" s="481"/>
      <c r="M753" s="481"/>
      <c r="N753" s="481"/>
      <c r="O753" s="481"/>
      <c r="P753" s="481"/>
      <c r="Q753" s="481"/>
      <c r="R753" s="481"/>
      <c r="S753" s="481"/>
      <c r="T753" s="481"/>
      <c r="U753" s="481"/>
      <c r="V753" s="481"/>
      <c r="W753" s="481"/>
      <c r="X753" s="481"/>
      <c r="Y753" s="481"/>
      <c r="Z753" s="481"/>
      <c r="AA753" s="481"/>
      <c r="AB753" s="481"/>
    </row>
    <row r="754">
      <c r="A754" s="481"/>
      <c r="B754" s="481"/>
      <c r="C754" s="481"/>
      <c r="D754" s="483"/>
      <c r="E754" s="481"/>
      <c r="F754" s="483"/>
      <c r="G754" s="481"/>
      <c r="H754" s="481"/>
      <c r="I754" s="481"/>
      <c r="J754" s="481"/>
      <c r="K754" s="481"/>
      <c r="L754" s="481"/>
      <c r="M754" s="481"/>
      <c r="N754" s="481"/>
      <c r="O754" s="481"/>
      <c r="P754" s="481"/>
      <c r="Q754" s="481"/>
      <c r="R754" s="481"/>
      <c r="S754" s="481"/>
      <c r="T754" s="481"/>
      <c r="U754" s="481"/>
      <c r="V754" s="481"/>
      <c r="W754" s="481"/>
      <c r="X754" s="481"/>
      <c r="Y754" s="481"/>
      <c r="Z754" s="481"/>
      <c r="AA754" s="481"/>
      <c r="AB754" s="481"/>
    </row>
    <row r="755">
      <c r="A755" s="481"/>
      <c r="B755" s="481"/>
      <c r="C755" s="481"/>
      <c r="D755" s="483"/>
      <c r="E755" s="481"/>
      <c r="F755" s="483"/>
      <c r="G755" s="481"/>
      <c r="H755" s="481"/>
      <c r="I755" s="481"/>
      <c r="J755" s="481"/>
      <c r="K755" s="481"/>
      <c r="L755" s="481"/>
      <c r="M755" s="481"/>
      <c r="N755" s="481"/>
      <c r="O755" s="481"/>
      <c r="P755" s="481"/>
      <c r="Q755" s="481"/>
      <c r="R755" s="481"/>
      <c r="S755" s="481"/>
      <c r="T755" s="481"/>
      <c r="U755" s="481"/>
      <c r="V755" s="481"/>
      <c r="W755" s="481"/>
      <c r="X755" s="481"/>
      <c r="Y755" s="481"/>
      <c r="Z755" s="481"/>
      <c r="AA755" s="481"/>
      <c r="AB755" s="481"/>
    </row>
    <row r="756">
      <c r="A756" s="481"/>
      <c r="B756" s="481"/>
      <c r="C756" s="481"/>
      <c r="D756" s="483"/>
      <c r="E756" s="481"/>
      <c r="F756" s="483"/>
      <c r="G756" s="481"/>
      <c r="H756" s="481"/>
      <c r="I756" s="481"/>
      <c r="J756" s="481"/>
      <c r="K756" s="481"/>
      <c r="L756" s="481"/>
      <c r="M756" s="481"/>
      <c r="N756" s="481"/>
      <c r="O756" s="481"/>
      <c r="P756" s="481"/>
      <c r="Q756" s="481"/>
      <c r="R756" s="481"/>
      <c r="S756" s="481"/>
      <c r="T756" s="481"/>
      <c r="U756" s="481"/>
      <c r="V756" s="481"/>
      <c r="W756" s="481"/>
      <c r="X756" s="481"/>
      <c r="Y756" s="481"/>
      <c r="Z756" s="481"/>
      <c r="AA756" s="481"/>
      <c r="AB756" s="481"/>
    </row>
    <row r="757">
      <c r="A757" s="481"/>
      <c r="B757" s="481"/>
      <c r="C757" s="481"/>
      <c r="D757" s="483"/>
      <c r="E757" s="481"/>
      <c r="F757" s="483"/>
      <c r="G757" s="481"/>
      <c r="H757" s="481"/>
      <c r="I757" s="481"/>
      <c r="J757" s="481"/>
      <c r="K757" s="481"/>
      <c r="L757" s="481"/>
      <c r="M757" s="481"/>
      <c r="N757" s="481"/>
      <c r="O757" s="481"/>
      <c r="P757" s="481"/>
      <c r="Q757" s="481"/>
      <c r="R757" s="481"/>
      <c r="S757" s="481"/>
      <c r="T757" s="481"/>
      <c r="U757" s="481"/>
      <c r="V757" s="481"/>
      <c r="W757" s="481"/>
      <c r="X757" s="481"/>
      <c r="Y757" s="481"/>
      <c r="Z757" s="481"/>
      <c r="AA757" s="481"/>
      <c r="AB757" s="481"/>
    </row>
    <row r="758">
      <c r="A758" s="481"/>
      <c r="B758" s="481"/>
      <c r="C758" s="481"/>
      <c r="D758" s="483"/>
      <c r="E758" s="481"/>
      <c r="F758" s="483"/>
      <c r="G758" s="481"/>
      <c r="H758" s="481"/>
      <c r="I758" s="481"/>
      <c r="J758" s="481"/>
      <c r="K758" s="481"/>
      <c r="L758" s="481"/>
      <c r="M758" s="481"/>
      <c r="N758" s="481"/>
      <c r="O758" s="481"/>
      <c r="P758" s="481"/>
      <c r="Q758" s="481"/>
      <c r="R758" s="481"/>
      <c r="S758" s="481"/>
      <c r="T758" s="481"/>
      <c r="U758" s="481"/>
      <c r="V758" s="481"/>
      <c r="W758" s="481"/>
      <c r="X758" s="481"/>
      <c r="Y758" s="481"/>
      <c r="Z758" s="481"/>
      <c r="AA758" s="481"/>
      <c r="AB758" s="481"/>
    </row>
    <row r="759">
      <c r="A759" s="481"/>
      <c r="B759" s="481"/>
      <c r="C759" s="481"/>
      <c r="D759" s="483"/>
      <c r="E759" s="481"/>
      <c r="F759" s="483"/>
      <c r="G759" s="481"/>
      <c r="H759" s="481"/>
      <c r="I759" s="481"/>
      <c r="J759" s="481"/>
      <c r="K759" s="481"/>
      <c r="L759" s="481"/>
      <c r="M759" s="481"/>
      <c r="N759" s="481"/>
      <c r="O759" s="481"/>
      <c r="P759" s="481"/>
      <c r="Q759" s="481"/>
      <c r="R759" s="481"/>
      <c r="S759" s="481"/>
      <c r="T759" s="481"/>
      <c r="U759" s="481"/>
      <c r="V759" s="481"/>
      <c r="W759" s="481"/>
      <c r="X759" s="481"/>
      <c r="Y759" s="481"/>
      <c r="Z759" s="481"/>
      <c r="AA759" s="481"/>
      <c r="AB759" s="481"/>
    </row>
    <row r="760">
      <c r="A760" s="481"/>
      <c r="B760" s="481"/>
      <c r="C760" s="481"/>
      <c r="D760" s="483"/>
      <c r="E760" s="481"/>
      <c r="F760" s="483"/>
      <c r="G760" s="481"/>
      <c r="H760" s="481"/>
      <c r="I760" s="481"/>
      <c r="J760" s="481"/>
      <c r="K760" s="481"/>
      <c r="L760" s="481"/>
      <c r="M760" s="481"/>
      <c r="N760" s="481"/>
      <c r="O760" s="481"/>
      <c r="P760" s="481"/>
      <c r="Q760" s="481"/>
      <c r="R760" s="481"/>
      <c r="S760" s="481"/>
      <c r="T760" s="481"/>
      <c r="U760" s="481"/>
      <c r="V760" s="481"/>
      <c r="W760" s="481"/>
      <c r="X760" s="481"/>
      <c r="Y760" s="481"/>
      <c r="Z760" s="481"/>
      <c r="AA760" s="481"/>
      <c r="AB760" s="481"/>
    </row>
    <row r="761">
      <c r="A761" s="481"/>
      <c r="B761" s="481"/>
      <c r="C761" s="481"/>
      <c r="D761" s="483"/>
      <c r="E761" s="481"/>
      <c r="F761" s="483"/>
      <c r="G761" s="481"/>
      <c r="H761" s="481"/>
      <c r="I761" s="481"/>
      <c r="J761" s="481"/>
      <c r="K761" s="481"/>
      <c r="L761" s="481"/>
      <c r="M761" s="481"/>
      <c r="N761" s="481"/>
      <c r="O761" s="481"/>
      <c r="P761" s="481"/>
      <c r="Q761" s="481"/>
      <c r="R761" s="481"/>
      <c r="S761" s="481"/>
      <c r="T761" s="481"/>
      <c r="U761" s="481"/>
      <c r="V761" s="481"/>
      <c r="W761" s="481"/>
      <c r="X761" s="481"/>
      <c r="Y761" s="481"/>
      <c r="Z761" s="481"/>
      <c r="AA761" s="481"/>
      <c r="AB761" s="481"/>
    </row>
    <row r="762">
      <c r="A762" s="481"/>
      <c r="B762" s="481"/>
      <c r="C762" s="481"/>
      <c r="D762" s="483"/>
      <c r="E762" s="481"/>
      <c r="F762" s="483"/>
      <c r="G762" s="481"/>
      <c r="H762" s="481"/>
      <c r="I762" s="481"/>
      <c r="J762" s="481"/>
      <c r="K762" s="481"/>
      <c r="L762" s="481"/>
      <c r="M762" s="481"/>
      <c r="N762" s="481"/>
      <c r="O762" s="481"/>
      <c r="P762" s="481"/>
      <c r="Q762" s="481"/>
      <c r="R762" s="481"/>
      <c r="S762" s="481"/>
      <c r="T762" s="481"/>
      <c r="U762" s="481"/>
      <c r="V762" s="481"/>
      <c r="W762" s="481"/>
      <c r="X762" s="481"/>
      <c r="Y762" s="481"/>
      <c r="Z762" s="481"/>
      <c r="AA762" s="481"/>
      <c r="AB762" s="481"/>
    </row>
    <row r="763">
      <c r="A763" s="481"/>
      <c r="B763" s="481"/>
      <c r="C763" s="481"/>
      <c r="D763" s="483"/>
      <c r="E763" s="481"/>
      <c r="F763" s="483"/>
      <c r="G763" s="481"/>
      <c r="H763" s="481"/>
      <c r="I763" s="481"/>
      <c r="J763" s="481"/>
      <c r="K763" s="481"/>
      <c r="L763" s="481"/>
      <c r="M763" s="481"/>
      <c r="N763" s="481"/>
      <c r="O763" s="481"/>
      <c r="P763" s="481"/>
      <c r="Q763" s="481"/>
      <c r="R763" s="481"/>
      <c r="S763" s="481"/>
      <c r="T763" s="481"/>
      <c r="U763" s="481"/>
      <c r="V763" s="481"/>
      <c r="W763" s="481"/>
      <c r="X763" s="481"/>
      <c r="Y763" s="481"/>
      <c r="Z763" s="481"/>
      <c r="AA763" s="481"/>
      <c r="AB763" s="481"/>
    </row>
    <row r="764">
      <c r="A764" s="481"/>
      <c r="B764" s="481"/>
      <c r="C764" s="481"/>
      <c r="D764" s="483"/>
      <c r="E764" s="481"/>
      <c r="F764" s="483"/>
      <c r="G764" s="481"/>
      <c r="H764" s="481"/>
      <c r="I764" s="481"/>
      <c r="J764" s="481"/>
      <c r="K764" s="481"/>
      <c r="L764" s="481"/>
      <c r="M764" s="481"/>
      <c r="N764" s="481"/>
      <c r="O764" s="481"/>
      <c r="P764" s="481"/>
      <c r="Q764" s="481"/>
      <c r="R764" s="481"/>
      <c r="S764" s="481"/>
      <c r="T764" s="481"/>
      <c r="U764" s="481"/>
      <c r="V764" s="481"/>
      <c r="W764" s="481"/>
      <c r="X764" s="481"/>
      <c r="Y764" s="481"/>
      <c r="Z764" s="481"/>
      <c r="AA764" s="481"/>
      <c r="AB764" s="481"/>
    </row>
    <row r="765">
      <c r="A765" s="481"/>
      <c r="B765" s="481"/>
      <c r="C765" s="481"/>
      <c r="D765" s="483"/>
      <c r="E765" s="481"/>
      <c r="F765" s="483"/>
      <c r="G765" s="481"/>
      <c r="H765" s="481"/>
      <c r="I765" s="481"/>
      <c r="J765" s="481"/>
      <c r="K765" s="481"/>
      <c r="L765" s="481"/>
      <c r="M765" s="481"/>
      <c r="N765" s="481"/>
      <c r="O765" s="481"/>
      <c r="P765" s="481"/>
      <c r="Q765" s="481"/>
      <c r="R765" s="481"/>
      <c r="S765" s="481"/>
      <c r="T765" s="481"/>
      <c r="U765" s="481"/>
      <c r="V765" s="481"/>
      <c r="W765" s="481"/>
      <c r="X765" s="481"/>
      <c r="Y765" s="481"/>
      <c r="Z765" s="481"/>
      <c r="AA765" s="481"/>
      <c r="AB765" s="481"/>
    </row>
    <row r="766">
      <c r="A766" s="481"/>
      <c r="B766" s="481"/>
      <c r="C766" s="481"/>
      <c r="D766" s="483"/>
      <c r="E766" s="481"/>
      <c r="F766" s="483"/>
      <c r="G766" s="481"/>
      <c r="H766" s="481"/>
      <c r="I766" s="481"/>
      <c r="J766" s="481"/>
      <c r="K766" s="481"/>
      <c r="L766" s="481"/>
      <c r="M766" s="481"/>
      <c r="N766" s="481"/>
      <c r="O766" s="481"/>
      <c r="P766" s="481"/>
      <c r="Q766" s="481"/>
      <c r="R766" s="481"/>
      <c r="S766" s="481"/>
      <c r="T766" s="481"/>
      <c r="U766" s="481"/>
      <c r="V766" s="481"/>
      <c r="W766" s="481"/>
      <c r="X766" s="481"/>
      <c r="Y766" s="481"/>
      <c r="Z766" s="481"/>
      <c r="AA766" s="481"/>
      <c r="AB766" s="481"/>
    </row>
    <row r="767">
      <c r="A767" s="481"/>
      <c r="B767" s="481"/>
      <c r="C767" s="481"/>
      <c r="D767" s="483"/>
      <c r="E767" s="481"/>
      <c r="F767" s="483"/>
      <c r="G767" s="481"/>
      <c r="H767" s="481"/>
      <c r="I767" s="481"/>
      <c r="J767" s="481"/>
      <c r="K767" s="481"/>
      <c r="L767" s="481"/>
      <c r="M767" s="481"/>
      <c r="N767" s="481"/>
      <c r="O767" s="481"/>
      <c r="P767" s="481"/>
      <c r="Q767" s="481"/>
      <c r="R767" s="481"/>
      <c r="S767" s="481"/>
      <c r="T767" s="481"/>
      <c r="U767" s="481"/>
      <c r="V767" s="481"/>
      <c r="W767" s="481"/>
      <c r="X767" s="481"/>
      <c r="Y767" s="481"/>
      <c r="Z767" s="481"/>
      <c r="AA767" s="481"/>
      <c r="AB767" s="481"/>
    </row>
    <row r="768">
      <c r="A768" s="481"/>
      <c r="B768" s="481"/>
      <c r="C768" s="481"/>
      <c r="D768" s="483"/>
      <c r="E768" s="481"/>
      <c r="F768" s="483"/>
      <c r="G768" s="481"/>
      <c r="H768" s="481"/>
      <c r="I768" s="481"/>
      <c r="J768" s="481"/>
      <c r="K768" s="481"/>
      <c r="L768" s="481"/>
      <c r="M768" s="481"/>
      <c r="N768" s="481"/>
      <c r="O768" s="481"/>
      <c r="P768" s="481"/>
      <c r="Q768" s="481"/>
      <c r="R768" s="481"/>
      <c r="S768" s="481"/>
      <c r="T768" s="481"/>
      <c r="U768" s="481"/>
      <c r="V768" s="481"/>
      <c r="W768" s="481"/>
      <c r="X768" s="481"/>
      <c r="Y768" s="481"/>
      <c r="Z768" s="481"/>
      <c r="AA768" s="481"/>
      <c r="AB768" s="481"/>
    </row>
    <row r="769">
      <c r="A769" s="481"/>
      <c r="B769" s="481"/>
      <c r="C769" s="481"/>
      <c r="D769" s="483"/>
      <c r="E769" s="481"/>
      <c r="F769" s="483"/>
      <c r="G769" s="481"/>
      <c r="H769" s="481"/>
      <c r="I769" s="481"/>
      <c r="J769" s="481"/>
      <c r="K769" s="481"/>
      <c r="L769" s="481"/>
      <c r="M769" s="481"/>
      <c r="N769" s="481"/>
      <c r="O769" s="481"/>
      <c r="P769" s="481"/>
      <c r="Q769" s="481"/>
      <c r="R769" s="481"/>
      <c r="S769" s="481"/>
      <c r="T769" s="481"/>
      <c r="U769" s="481"/>
      <c r="V769" s="481"/>
      <c r="W769" s="481"/>
      <c r="X769" s="481"/>
      <c r="Y769" s="481"/>
      <c r="Z769" s="481"/>
      <c r="AA769" s="481"/>
      <c r="AB769" s="481"/>
    </row>
    <row r="770">
      <c r="A770" s="481"/>
      <c r="B770" s="481"/>
      <c r="C770" s="481"/>
      <c r="D770" s="483"/>
      <c r="E770" s="481"/>
      <c r="F770" s="483"/>
      <c r="G770" s="481"/>
      <c r="H770" s="481"/>
      <c r="I770" s="481"/>
      <c r="J770" s="481"/>
      <c r="K770" s="481"/>
      <c r="L770" s="481"/>
      <c r="M770" s="481"/>
      <c r="N770" s="481"/>
      <c r="O770" s="481"/>
      <c r="P770" s="481"/>
      <c r="Q770" s="481"/>
      <c r="R770" s="481"/>
      <c r="S770" s="481"/>
      <c r="T770" s="481"/>
      <c r="U770" s="481"/>
      <c r="V770" s="481"/>
      <c r="W770" s="481"/>
      <c r="X770" s="481"/>
      <c r="Y770" s="481"/>
      <c r="Z770" s="481"/>
      <c r="AA770" s="481"/>
      <c r="AB770" s="481"/>
    </row>
    <row r="771">
      <c r="A771" s="481"/>
      <c r="B771" s="481"/>
      <c r="C771" s="481"/>
      <c r="D771" s="483"/>
      <c r="E771" s="481"/>
      <c r="F771" s="483"/>
      <c r="G771" s="481"/>
      <c r="H771" s="481"/>
      <c r="I771" s="481"/>
      <c r="J771" s="481"/>
      <c r="K771" s="481"/>
      <c r="L771" s="481"/>
      <c r="M771" s="481"/>
      <c r="N771" s="481"/>
      <c r="O771" s="481"/>
      <c r="P771" s="481"/>
      <c r="Q771" s="481"/>
      <c r="R771" s="481"/>
      <c r="S771" s="481"/>
      <c r="T771" s="481"/>
      <c r="U771" s="481"/>
      <c r="V771" s="481"/>
      <c r="W771" s="481"/>
      <c r="X771" s="481"/>
      <c r="Y771" s="481"/>
      <c r="Z771" s="481"/>
      <c r="AA771" s="481"/>
      <c r="AB771" s="481"/>
    </row>
    <row r="772">
      <c r="A772" s="481"/>
      <c r="B772" s="481"/>
      <c r="C772" s="481"/>
      <c r="D772" s="483"/>
      <c r="E772" s="481"/>
      <c r="F772" s="483"/>
      <c r="G772" s="481"/>
      <c r="H772" s="481"/>
      <c r="I772" s="481"/>
      <c r="J772" s="481"/>
      <c r="K772" s="481"/>
      <c r="L772" s="481"/>
      <c r="M772" s="481"/>
      <c r="N772" s="481"/>
      <c r="O772" s="481"/>
      <c r="P772" s="481"/>
      <c r="Q772" s="481"/>
      <c r="R772" s="481"/>
      <c r="S772" s="481"/>
      <c r="T772" s="481"/>
      <c r="U772" s="481"/>
      <c r="V772" s="481"/>
      <c r="W772" s="481"/>
      <c r="X772" s="481"/>
      <c r="Y772" s="481"/>
      <c r="Z772" s="481"/>
      <c r="AA772" s="481"/>
      <c r="AB772" s="481"/>
    </row>
    <row r="773">
      <c r="A773" s="481"/>
      <c r="B773" s="481"/>
      <c r="C773" s="481"/>
      <c r="D773" s="483"/>
      <c r="E773" s="481"/>
      <c r="F773" s="483"/>
      <c r="G773" s="481"/>
      <c r="H773" s="481"/>
      <c r="I773" s="481"/>
      <c r="J773" s="481"/>
      <c r="K773" s="481"/>
      <c r="L773" s="481"/>
      <c r="M773" s="481"/>
      <c r="N773" s="481"/>
      <c r="O773" s="481"/>
      <c r="P773" s="481"/>
      <c r="Q773" s="481"/>
      <c r="R773" s="481"/>
      <c r="S773" s="481"/>
      <c r="T773" s="481"/>
      <c r="U773" s="481"/>
      <c r="V773" s="481"/>
      <c r="W773" s="481"/>
      <c r="X773" s="481"/>
      <c r="Y773" s="481"/>
      <c r="Z773" s="481"/>
      <c r="AA773" s="481"/>
      <c r="AB773" s="481"/>
    </row>
    <row r="774">
      <c r="A774" s="481"/>
      <c r="B774" s="481"/>
      <c r="C774" s="481"/>
      <c r="D774" s="483"/>
      <c r="E774" s="481"/>
      <c r="F774" s="483"/>
      <c r="G774" s="481"/>
      <c r="H774" s="481"/>
      <c r="I774" s="481"/>
      <c r="J774" s="481"/>
      <c r="K774" s="481"/>
      <c r="L774" s="481"/>
      <c r="M774" s="481"/>
      <c r="N774" s="481"/>
      <c r="O774" s="481"/>
      <c r="P774" s="481"/>
      <c r="Q774" s="481"/>
      <c r="R774" s="481"/>
      <c r="S774" s="481"/>
      <c r="T774" s="481"/>
      <c r="U774" s="481"/>
      <c r="V774" s="481"/>
      <c r="W774" s="481"/>
      <c r="X774" s="481"/>
      <c r="Y774" s="481"/>
      <c r="Z774" s="481"/>
      <c r="AA774" s="481"/>
      <c r="AB774" s="481"/>
    </row>
    <row r="775">
      <c r="A775" s="481"/>
      <c r="B775" s="481"/>
      <c r="C775" s="481"/>
      <c r="D775" s="483"/>
      <c r="E775" s="481"/>
      <c r="F775" s="483"/>
      <c r="G775" s="481"/>
      <c r="H775" s="481"/>
      <c r="I775" s="481"/>
      <c r="J775" s="481"/>
      <c r="K775" s="481"/>
      <c r="L775" s="481"/>
      <c r="M775" s="481"/>
      <c r="N775" s="481"/>
      <c r="O775" s="481"/>
      <c r="P775" s="481"/>
      <c r="Q775" s="481"/>
      <c r="R775" s="481"/>
      <c r="S775" s="481"/>
      <c r="T775" s="481"/>
      <c r="U775" s="481"/>
      <c r="V775" s="481"/>
      <c r="W775" s="481"/>
      <c r="X775" s="481"/>
      <c r="Y775" s="481"/>
      <c r="Z775" s="481"/>
      <c r="AA775" s="481"/>
      <c r="AB775" s="481"/>
    </row>
    <row r="776">
      <c r="A776" s="481"/>
      <c r="B776" s="481"/>
      <c r="C776" s="481"/>
      <c r="D776" s="483"/>
      <c r="E776" s="481"/>
      <c r="F776" s="483"/>
      <c r="G776" s="481"/>
      <c r="H776" s="481"/>
      <c r="I776" s="481"/>
      <c r="J776" s="481"/>
      <c r="K776" s="481"/>
      <c r="L776" s="481"/>
      <c r="M776" s="481"/>
      <c r="N776" s="481"/>
      <c r="O776" s="481"/>
      <c r="P776" s="481"/>
      <c r="Q776" s="481"/>
      <c r="R776" s="481"/>
      <c r="S776" s="481"/>
      <c r="T776" s="481"/>
      <c r="U776" s="481"/>
      <c r="V776" s="481"/>
      <c r="W776" s="481"/>
      <c r="X776" s="481"/>
      <c r="Y776" s="481"/>
      <c r="Z776" s="481"/>
      <c r="AA776" s="481"/>
      <c r="AB776" s="481"/>
    </row>
    <row r="777">
      <c r="A777" s="481"/>
      <c r="B777" s="481"/>
      <c r="C777" s="481"/>
      <c r="D777" s="483"/>
      <c r="E777" s="481"/>
      <c r="F777" s="483"/>
      <c r="G777" s="481"/>
      <c r="H777" s="481"/>
      <c r="I777" s="481"/>
      <c r="J777" s="481"/>
      <c r="K777" s="481"/>
      <c r="L777" s="481"/>
      <c r="M777" s="481"/>
      <c r="N777" s="481"/>
      <c r="O777" s="481"/>
      <c r="P777" s="481"/>
      <c r="Q777" s="481"/>
      <c r="R777" s="481"/>
      <c r="S777" s="481"/>
      <c r="T777" s="481"/>
      <c r="U777" s="481"/>
      <c r="V777" s="481"/>
      <c r="W777" s="481"/>
      <c r="X777" s="481"/>
      <c r="Y777" s="481"/>
      <c r="Z777" s="481"/>
      <c r="AA777" s="481"/>
      <c r="AB777" s="481"/>
    </row>
    <row r="778">
      <c r="A778" s="481"/>
      <c r="B778" s="481"/>
      <c r="C778" s="481"/>
      <c r="D778" s="483"/>
      <c r="E778" s="481"/>
      <c r="F778" s="483"/>
      <c r="G778" s="481"/>
      <c r="H778" s="481"/>
      <c r="I778" s="481"/>
      <c r="J778" s="481"/>
      <c r="K778" s="481"/>
      <c r="L778" s="481"/>
      <c r="M778" s="481"/>
      <c r="N778" s="481"/>
      <c r="O778" s="481"/>
      <c r="P778" s="481"/>
      <c r="Q778" s="481"/>
      <c r="R778" s="481"/>
      <c r="S778" s="481"/>
      <c r="T778" s="481"/>
      <c r="U778" s="481"/>
      <c r="V778" s="481"/>
      <c r="W778" s="481"/>
      <c r="X778" s="481"/>
      <c r="Y778" s="481"/>
      <c r="Z778" s="481"/>
      <c r="AA778" s="481"/>
      <c r="AB778" s="481"/>
    </row>
    <row r="779">
      <c r="A779" s="481"/>
      <c r="B779" s="481"/>
      <c r="C779" s="481"/>
      <c r="D779" s="483"/>
      <c r="E779" s="481"/>
      <c r="F779" s="483"/>
      <c r="G779" s="481"/>
      <c r="H779" s="481"/>
      <c r="I779" s="481"/>
      <c r="J779" s="481"/>
      <c r="K779" s="481"/>
      <c r="L779" s="481"/>
      <c r="M779" s="481"/>
      <c r="N779" s="481"/>
      <c r="O779" s="481"/>
      <c r="P779" s="481"/>
      <c r="Q779" s="481"/>
      <c r="R779" s="481"/>
      <c r="S779" s="481"/>
      <c r="T779" s="481"/>
      <c r="U779" s="481"/>
      <c r="V779" s="481"/>
      <c r="W779" s="481"/>
      <c r="X779" s="481"/>
      <c r="Y779" s="481"/>
      <c r="Z779" s="481"/>
      <c r="AA779" s="481"/>
      <c r="AB779" s="481"/>
    </row>
    <row r="780">
      <c r="A780" s="481"/>
      <c r="B780" s="481"/>
      <c r="C780" s="481"/>
      <c r="D780" s="483"/>
      <c r="E780" s="481"/>
      <c r="F780" s="483"/>
      <c r="G780" s="481"/>
      <c r="H780" s="481"/>
      <c r="I780" s="481"/>
      <c r="J780" s="481"/>
      <c r="K780" s="481"/>
      <c r="L780" s="481"/>
      <c r="M780" s="481"/>
      <c r="N780" s="481"/>
      <c r="O780" s="481"/>
      <c r="P780" s="481"/>
      <c r="Q780" s="481"/>
      <c r="R780" s="481"/>
      <c r="S780" s="481"/>
      <c r="T780" s="481"/>
      <c r="U780" s="481"/>
      <c r="V780" s="481"/>
      <c r="W780" s="481"/>
      <c r="X780" s="481"/>
      <c r="Y780" s="481"/>
      <c r="Z780" s="481"/>
      <c r="AA780" s="481"/>
      <c r="AB780" s="481"/>
    </row>
    <row r="781">
      <c r="A781" s="481"/>
      <c r="B781" s="481"/>
      <c r="C781" s="481"/>
      <c r="D781" s="483"/>
      <c r="E781" s="481"/>
      <c r="F781" s="483"/>
      <c r="G781" s="481"/>
      <c r="H781" s="481"/>
      <c r="I781" s="481"/>
      <c r="J781" s="481"/>
      <c r="K781" s="481"/>
      <c r="L781" s="481"/>
      <c r="M781" s="481"/>
      <c r="N781" s="481"/>
      <c r="O781" s="481"/>
      <c r="P781" s="481"/>
      <c r="Q781" s="481"/>
      <c r="R781" s="481"/>
      <c r="S781" s="481"/>
      <c r="T781" s="481"/>
      <c r="U781" s="481"/>
      <c r="V781" s="481"/>
      <c r="W781" s="481"/>
      <c r="X781" s="481"/>
      <c r="Y781" s="481"/>
      <c r="Z781" s="481"/>
      <c r="AA781" s="481"/>
      <c r="AB781" s="481"/>
    </row>
    <row r="782">
      <c r="A782" s="481"/>
      <c r="B782" s="481"/>
      <c r="C782" s="481"/>
      <c r="D782" s="483"/>
      <c r="E782" s="481"/>
      <c r="F782" s="483"/>
      <c r="G782" s="481"/>
      <c r="H782" s="481"/>
      <c r="I782" s="481"/>
      <c r="J782" s="481"/>
      <c r="K782" s="481"/>
      <c r="L782" s="481"/>
      <c r="M782" s="481"/>
      <c r="N782" s="481"/>
      <c r="O782" s="481"/>
      <c r="P782" s="481"/>
      <c r="Q782" s="481"/>
      <c r="R782" s="481"/>
      <c r="S782" s="481"/>
      <c r="T782" s="481"/>
      <c r="U782" s="481"/>
      <c r="V782" s="481"/>
      <c r="W782" s="481"/>
      <c r="X782" s="481"/>
      <c r="Y782" s="481"/>
      <c r="Z782" s="481"/>
      <c r="AA782" s="481"/>
      <c r="AB782" s="481"/>
    </row>
    <row r="783">
      <c r="A783" s="481"/>
      <c r="B783" s="481"/>
      <c r="C783" s="481"/>
      <c r="D783" s="483"/>
      <c r="E783" s="481"/>
      <c r="F783" s="483"/>
      <c r="G783" s="481"/>
      <c r="H783" s="481"/>
      <c r="I783" s="481"/>
      <c r="J783" s="481"/>
      <c r="K783" s="481"/>
      <c r="L783" s="481"/>
      <c r="M783" s="481"/>
      <c r="N783" s="481"/>
      <c r="O783" s="481"/>
      <c r="P783" s="481"/>
      <c r="Q783" s="481"/>
      <c r="R783" s="481"/>
      <c r="S783" s="481"/>
      <c r="T783" s="481"/>
      <c r="U783" s="481"/>
      <c r="V783" s="481"/>
      <c r="W783" s="481"/>
      <c r="X783" s="481"/>
      <c r="Y783" s="481"/>
      <c r="Z783" s="481"/>
      <c r="AA783" s="481"/>
      <c r="AB783" s="481"/>
    </row>
    <row r="784">
      <c r="A784" s="481"/>
      <c r="B784" s="481"/>
      <c r="C784" s="481"/>
      <c r="D784" s="483"/>
      <c r="E784" s="481"/>
      <c r="F784" s="483"/>
      <c r="G784" s="481"/>
      <c r="H784" s="481"/>
      <c r="I784" s="481"/>
      <c r="J784" s="481"/>
      <c r="K784" s="481"/>
      <c r="L784" s="481"/>
      <c r="M784" s="481"/>
      <c r="N784" s="481"/>
      <c r="O784" s="481"/>
      <c r="P784" s="481"/>
      <c r="Q784" s="481"/>
      <c r="R784" s="481"/>
      <c r="S784" s="481"/>
      <c r="T784" s="481"/>
      <c r="U784" s="481"/>
      <c r="V784" s="481"/>
      <c r="W784" s="481"/>
      <c r="X784" s="481"/>
      <c r="Y784" s="481"/>
      <c r="Z784" s="481"/>
      <c r="AA784" s="481"/>
      <c r="AB784" s="481"/>
    </row>
    <row r="785">
      <c r="A785" s="481"/>
      <c r="B785" s="481"/>
      <c r="C785" s="481"/>
      <c r="D785" s="483"/>
      <c r="E785" s="481"/>
      <c r="F785" s="483"/>
      <c r="G785" s="481"/>
      <c r="H785" s="481"/>
      <c r="I785" s="481"/>
      <c r="J785" s="481"/>
      <c r="K785" s="481"/>
      <c r="L785" s="481"/>
      <c r="M785" s="481"/>
      <c r="N785" s="481"/>
      <c r="O785" s="481"/>
      <c r="P785" s="481"/>
      <c r="Q785" s="481"/>
      <c r="R785" s="481"/>
      <c r="S785" s="481"/>
      <c r="T785" s="481"/>
      <c r="U785" s="481"/>
      <c r="V785" s="481"/>
      <c r="W785" s="481"/>
      <c r="X785" s="481"/>
      <c r="Y785" s="481"/>
      <c r="Z785" s="481"/>
      <c r="AA785" s="481"/>
      <c r="AB785" s="481"/>
    </row>
    <row r="786">
      <c r="A786" s="481"/>
      <c r="B786" s="481"/>
      <c r="C786" s="481"/>
      <c r="D786" s="483"/>
      <c r="E786" s="481"/>
      <c r="F786" s="483"/>
      <c r="G786" s="481"/>
      <c r="H786" s="481"/>
      <c r="I786" s="481"/>
      <c r="J786" s="481"/>
      <c r="K786" s="481"/>
      <c r="L786" s="481"/>
      <c r="M786" s="481"/>
      <c r="N786" s="481"/>
      <c r="O786" s="481"/>
      <c r="P786" s="481"/>
      <c r="Q786" s="481"/>
      <c r="R786" s="481"/>
      <c r="S786" s="481"/>
      <c r="T786" s="481"/>
      <c r="U786" s="481"/>
      <c r="V786" s="481"/>
      <c r="W786" s="481"/>
      <c r="X786" s="481"/>
      <c r="Y786" s="481"/>
      <c r="Z786" s="481"/>
      <c r="AA786" s="481"/>
      <c r="AB786" s="481"/>
    </row>
    <row r="787">
      <c r="A787" s="481"/>
      <c r="B787" s="481"/>
      <c r="C787" s="481"/>
      <c r="D787" s="483"/>
      <c r="E787" s="481"/>
      <c r="F787" s="483"/>
      <c r="G787" s="481"/>
      <c r="H787" s="481"/>
      <c r="I787" s="481"/>
      <c r="J787" s="481"/>
      <c r="K787" s="481"/>
      <c r="L787" s="481"/>
      <c r="M787" s="481"/>
      <c r="N787" s="481"/>
      <c r="O787" s="481"/>
      <c r="P787" s="481"/>
      <c r="Q787" s="481"/>
      <c r="R787" s="481"/>
      <c r="S787" s="481"/>
      <c r="T787" s="481"/>
      <c r="U787" s="481"/>
      <c r="V787" s="481"/>
      <c r="W787" s="481"/>
      <c r="X787" s="481"/>
      <c r="Y787" s="481"/>
      <c r="Z787" s="481"/>
      <c r="AA787" s="481"/>
      <c r="AB787" s="481"/>
    </row>
    <row r="788">
      <c r="A788" s="481"/>
      <c r="B788" s="481"/>
      <c r="C788" s="481"/>
      <c r="D788" s="483"/>
      <c r="E788" s="481"/>
      <c r="F788" s="483"/>
      <c r="G788" s="481"/>
      <c r="H788" s="481"/>
      <c r="I788" s="481"/>
      <c r="J788" s="481"/>
      <c r="K788" s="481"/>
      <c r="L788" s="481"/>
      <c r="M788" s="481"/>
      <c r="N788" s="481"/>
      <c r="O788" s="481"/>
      <c r="P788" s="481"/>
      <c r="Q788" s="481"/>
      <c r="R788" s="481"/>
      <c r="S788" s="481"/>
      <c r="T788" s="481"/>
      <c r="U788" s="481"/>
      <c r="V788" s="481"/>
      <c r="W788" s="481"/>
      <c r="X788" s="481"/>
      <c r="Y788" s="481"/>
      <c r="Z788" s="481"/>
      <c r="AA788" s="481"/>
      <c r="AB788" s="481"/>
    </row>
    <row r="789">
      <c r="A789" s="481"/>
      <c r="B789" s="481"/>
      <c r="C789" s="481"/>
      <c r="D789" s="483"/>
      <c r="E789" s="481"/>
      <c r="F789" s="483"/>
      <c r="G789" s="481"/>
      <c r="H789" s="481"/>
      <c r="I789" s="481"/>
      <c r="J789" s="481"/>
      <c r="K789" s="481"/>
      <c r="L789" s="481"/>
      <c r="M789" s="481"/>
      <c r="N789" s="481"/>
      <c r="O789" s="481"/>
      <c r="P789" s="481"/>
      <c r="Q789" s="481"/>
      <c r="R789" s="481"/>
      <c r="S789" s="481"/>
      <c r="T789" s="481"/>
      <c r="U789" s="481"/>
      <c r="V789" s="481"/>
      <c r="W789" s="481"/>
      <c r="X789" s="481"/>
      <c r="Y789" s="481"/>
      <c r="Z789" s="481"/>
      <c r="AA789" s="481"/>
      <c r="AB789" s="481"/>
    </row>
    <row r="790">
      <c r="A790" s="481"/>
      <c r="B790" s="481"/>
      <c r="C790" s="481"/>
      <c r="D790" s="483"/>
      <c r="E790" s="481"/>
      <c r="F790" s="483"/>
      <c r="G790" s="481"/>
      <c r="H790" s="481"/>
      <c r="I790" s="481"/>
      <c r="J790" s="481"/>
      <c r="K790" s="481"/>
      <c r="L790" s="481"/>
      <c r="M790" s="481"/>
      <c r="N790" s="481"/>
      <c r="O790" s="481"/>
      <c r="P790" s="481"/>
      <c r="Q790" s="481"/>
      <c r="R790" s="481"/>
      <c r="S790" s="481"/>
      <c r="T790" s="481"/>
      <c r="U790" s="481"/>
      <c r="V790" s="481"/>
      <c r="W790" s="481"/>
      <c r="X790" s="481"/>
      <c r="Y790" s="481"/>
      <c r="Z790" s="481"/>
      <c r="AA790" s="481"/>
      <c r="AB790" s="481"/>
    </row>
    <row r="791">
      <c r="A791" s="481"/>
      <c r="B791" s="481"/>
      <c r="C791" s="481"/>
      <c r="D791" s="483"/>
      <c r="E791" s="481"/>
      <c r="F791" s="483"/>
      <c r="G791" s="481"/>
      <c r="H791" s="481"/>
      <c r="I791" s="481"/>
      <c r="J791" s="481"/>
      <c r="K791" s="481"/>
      <c r="L791" s="481"/>
      <c r="M791" s="481"/>
      <c r="N791" s="481"/>
      <c r="O791" s="481"/>
      <c r="P791" s="481"/>
      <c r="Q791" s="481"/>
      <c r="R791" s="481"/>
      <c r="S791" s="481"/>
      <c r="T791" s="481"/>
      <c r="U791" s="481"/>
      <c r="V791" s="481"/>
      <c r="W791" s="481"/>
      <c r="X791" s="481"/>
      <c r="Y791" s="481"/>
      <c r="Z791" s="481"/>
      <c r="AA791" s="481"/>
      <c r="AB791" s="481"/>
    </row>
    <row r="792">
      <c r="A792" s="481"/>
      <c r="B792" s="481"/>
      <c r="C792" s="481"/>
      <c r="D792" s="483"/>
      <c r="E792" s="481"/>
      <c r="F792" s="483"/>
      <c r="G792" s="481"/>
      <c r="H792" s="481"/>
      <c r="I792" s="481"/>
      <c r="J792" s="481"/>
      <c r="K792" s="481"/>
      <c r="L792" s="481"/>
      <c r="M792" s="481"/>
      <c r="N792" s="481"/>
      <c r="O792" s="481"/>
      <c r="P792" s="481"/>
      <c r="Q792" s="481"/>
      <c r="R792" s="481"/>
      <c r="S792" s="481"/>
      <c r="T792" s="481"/>
      <c r="U792" s="481"/>
      <c r="V792" s="481"/>
      <c r="W792" s="481"/>
      <c r="X792" s="481"/>
      <c r="Y792" s="481"/>
      <c r="Z792" s="481"/>
      <c r="AA792" s="481"/>
      <c r="AB792" s="481"/>
    </row>
    <row r="793">
      <c r="A793" s="481"/>
      <c r="B793" s="481"/>
      <c r="C793" s="481"/>
      <c r="D793" s="483"/>
      <c r="E793" s="481"/>
      <c r="F793" s="483"/>
      <c r="G793" s="481"/>
      <c r="H793" s="481"/>
      <c r="I793" s="481"/>
      <c r="J793" s="481"/>
      <c r="K793" s="481"/>
      <c r="L793" s="481"/>
      <c r="M793" s="481"/>
      <c r="N793" s="481"/>
      <c r="O793" s="481"/>
      <c r="P793" s="481"/>
      <c r="Q793" s="481"/>
      <c r="R793" s="481"/>
      <c r="S793" s="481"/>
      <c r="T793" s="481"/>
      <c r="U793" s="481"/>
      <c r="V793" s="481"/>
      <c r="W793" s="481"/>
      <c r="X793" s="481"/>
      <c r="Y793" s="481"/>
      <c r="Z793" s="481"/>
      <c r="AA793" s="481"/>
      <c r="AB793" s="481"/>
    </row>
    <row r="794">
      <c r="A794" s="481"/>
      <c r="B794" s="481"/>
      <c r="C794" s="481"/>
      <c r="D794" s="483"/>
      <c r="E794" s="481"/>
      <c r="F794" s="483"/>
      <c r="G794" s="481"/>
      <c r="H794" s="481"/>
      <c r="I794" s="481"/>
      <c r="J794" s="481"/>
      <c r="K794" s="481"/>
      <c r="L794" s="481"/>
      <c r="M794" s="481"/>
      <c r="N794" s="481"/>
      <c r="O794" s="481"/>
      <c r="P794" s="481"/>
      <c r="Q794" s="481"/>
      <c r="R794" s="481"/>
      <c r="S794" s="481"/>
      <c r="T794" s="481"/>
      <c r="U794" s="481"/>
      <c r="V794" s="481"/>
      <c r="W794" s="481"/>
      <c r="X794" s="481"/>
      <c r="Y794" s="481"/>
      <c r="Z794" s="481"/>
      <c r="AA794" s="481"/>
      <c r="AB794" s="481"/>
    </row>
    <row r="795">
      <c r="A795" s="481"/>
      <c r="B795" s="481"/>
      <c r="C795" s="481"/>
      <c r="D795" s="483"/>
      <c r="E795" s="481"/>
      <c r="F795" s="483"/>
      <c r="G795" s="481"/>
      <c r="H795" s="481"/>
      <c r="I795" s="481"/>
      <c r="J795" s="481"/>
      <c r="K795" s="481"/>
      <c r="L795" s="481"/>
      <c r="M795" s="481"/>
      <c r="N795" s="481"/>
      <c r="O795" s="481"/>
      <c r="P795" s="481"/>
      <c r="Q795" s="481"/>
      <c r="R795" s="481"/>
      <c r="S795" s="481"/>
      <c r="T795" s="481"/>
      <c r="U795" s="481"/>
      <c r="V795" s="481"/>
      <c r="W795" s="481"/>
      <c r="X795" s="481"/>
      <c r="Y795" s="481"/>
      <c r="Z795" s="481"/>
      <c r="AA795" s="481"/>
      <c r="AB795" s="481"/>
    </row>
    <row r="796">
      <c r="A796" s="481"/>
      <c r="B796" s="481"/>
      <c r="C796" s="481"/>
      <c r="D796" s="483"/>
      <c r="E796" s="481"/>
      <c r="F796" s="483"/>
      <c r="G796" s="481"/>
      <c r="H796" s="481"/>
      <c r="I796" s="481"/>
      <c r="J796" s="481"/>
      <c r="K796" s="481"/>
      <c r="L796" s="481"/>
      <c r="M796" s="481"/>
      <c r="N796" s="481"/>
      <c r="O796" s="481"/>
      <c r="P796" s="481"/>
      <c r="Q796" s="481"/>
      <c r="R796" s="481"/>
      <c r="S796" s="481"/>
      <c r="T796" s="481"/>
      <c r="U796" s="481"/>
      <c r="V796" s="481"/>
      <c r="W796" s="481"/>
      <c r="X796" s="481"/>
      <c r="Y796" s="481"/>
      <c r="Z796" s="481"/>
      <c r="AA796" s="481"/>
      <c r="AB796" s="481"/>
    </row>
    <row r="797">
      <c r="A797" s="481"/>
      <c r="B797" s="481"/>
      <c r="C797" s="481"/>
      <c r="D797" s="483"/>
      <c r="E797" s="481"/>
      <c r="F797" s="483"/>
      <c r="G797" s="481"/>
      <c r="H797" s="481"/>
      <c r="I797" s="481"/>
      <c r="J797" s="481"/>
      <c r="K797" s="481"/>
      <c r="L797" s="481"/>
      <c r="M797" s="481"/>
      <c r="N797" s="481"/>
      <c r="O797" s="481"/>
      <c r="P797" s="481"/>
      <c r="Q797" s="481"/>
      <c r="R797" s="481"/>
      <c r="S797" s="481"/>
      <c r="T797" s="481"/>
      <c r="U797" s="481"/>
      <c r="V797" s="481"/>
      <c r="W797" s="481"/>
      <c r="X797" s="481"/>
      <c r="Y797" s="481"/>
      <c r="Z797" s="481"/>
      <c r="AA797" s="481"/>
      <c r="AB797" s="481"/>
    </row>
    <row r="798">
      <c r="A798" s="481"/>
      <c r="B798" s="481"/>
      <c r="C798" s="481"/>
      <c r="D798" s="483"/>
      <c r="E798" s="481"/>
      <c r="F798" s="483"/>
      <c r="G798" s="481"/>
      <c r="H798" s="481"/>
      <c r="I798" s="481"/>
      <c r="J798" s="481"/>
      <c r="K798" s="481"/>
      <c r="L798" s="481"/>
      <c r="M798" s="481"/>
      <c r="N798" s="481"/>
      <c r="O798" s="481"/>
      <c r="P798" s="481"/>
      <c r="Q798" s="481"/>
      <c r="R798" s="481"/>
      <c r="S798" s="481"/>
      <c r="T798" s="481"/>
      <c r="U798" s="481"/>
      <c r="V798" s="481"/>
      <c r="W798" s="481"/>
      <c r="X798" s="481"/>
      <c r="Y798" s="481"/>
      <c r="Z798" s="481"/>
      <c r="AA798" s="481"/>
      <c r="AB798" s="481"/>
    </row>
    <row r="799">
      <c r="A799" s="481"/>
      <c r="B799" s="481"/>
      <c r="C799" s="481"/>
      <c r="D799" s="483"/>
      <c r="E799" s="481"/>
      <c r="F799" s="483"/>
      <c r="G799" s="481"/>
      <c r="H799" s="481"/>
      <c r="I799" s="481"/>
      <c r="J799" s="481"/>
      <c r="K799" s="481"/>
      <c r="L799" s="481"/>
      <c r="M799" s="481"/>
      <c r="N799" s="481"/>
      <c r="O799" s="481"/>
      <c r="P799" s="481"/>
      <c r="Q799" s="481"/>
      <c r="R799" s="481"/>
      <c r="S799" s="481"/>
      <c r="T799" s="481"/>
      <c r="U799" s="481"/>
      <c r="V799" s="481"/>
      <c r="W799" s="481"/>
      <c r="X799" s="481"/>
      <c r="Y799" s="481"/>
      <c r="Z799" s="481"/>
      <c r="AA799" s="481"/>
      <c r="AB799" s="481"/>
    </row>
    <row r="800">
      <c r="A800" s="481"/>
      <c r="B800" s="481"/>
      <c r="C800" s="481"/>
      <c r="D800" s="483"/>
      <c r="E800" s="481"/>
      <c r="F800" s="483"/>
      <c r="G800" s="481"/>
      <c r="H800" s="481"/>
      <c r="I800" s="481"/>
      <c r="J800" s="481"/>
      <c r="K800" s="481"/>
      <c r="L800" s="481"/>
      <c r="M800" s="481"/>
      <c r="N800" s="481"/>
      <c r="O800" s="481"/>
      <c r="P800" s="481"/>
      <c r="Q800" s="481"/>
      <c r="R800" s="481"/>
      <c r="S800" s="481"/>
      <c r="T800" s="481"/>
      <c r="U800" s="481"/>
      <c r="V800" s="481"/>
      <c r="W800" s="481"/>
      <c r="X800" s="481"/>
      <c r="Y800" s="481"/>
      <c r="Z800" s="481"/>
      <c r="AA800" s="481"/>
      <c r="AB800" s="481"/>
    </row>
    <row r="801">
      <c r="A801" s="481"/>
      <c r="B801" s="481"/>
      <c r="C801" s="481"/>
      <c r="D801" s="483"/>
      <c r="E801" s="481"/>
      <c r="F801" s="483"/>
      <c r="G801" s="481"/>
      <c r="H801" s="481"/>
      <c r="I801" s="481"/>
      <c r="J801" s="481"/>
      <c r="K801" s="481"/>
      <c r="L801" s="481"/>
      <c r="M801" s="481"/>
      <c r="N801" s="481"/>
      <c r="O801" s="481"/>
      <c r="P801" s="481"/>
      <c r="Q801" s="481"/>
      <c r="R801" s="481"/>
      <c r="S801" s="481"/>
      <c r="T801" s="481"/>
      <c r="U801" s="481"/>
      <c r="V801" s="481"/>
      <c r="W801" s="481"/>
      <c r="X801" s="481"/>
      <c r="Y801" s="481"/>
      <c r="Z801" s="481"/>
      <c r="AA801" s="481"/>
      <c r="AB801" s="481"/>
    </row>
    <row r="802">
      <c r="A802" s="481"/>
      <c r="B802" s="481"/>
      <c r="C802" s="481"/>
      <c r="D802" s="483"/>
      <c r="E802" s="481"/>
      <c r="F802" s="483"/>
      <c r="G802" s="481"/>
      <c r="H802" s="481"/>
      <c r="I802" s="481"/>
      <c r="J802" s="481"/>
      <c r="K802" s="481"/>
      <c r="L802" s="481"/>
      <c r="M802" s="481"/>
      <c r="N802" s="481"/>
      <c r="O802" s="481"/>
      <c r="P802" s="481"/>
      <c r="Q802" s="481"/>
      <c r="R802" s="481"/>
      <c r="S802" s="481"/>
      <c r="T802" s="481"/>
      <c r="U802" s="481"/>
      <c r="V802" s="481"/>
      <c r="W802" s="481"/>
      <c r="X802" s="481"/>
      <c r="Y802" s="481"/>
      <c r="Z802" s="481"/>
      <c r="AA802" s="481"/>
      <c r="AB802" s="481"/>
    </row>
    <row r="803">
      <c r="A803" s="481"/>
      <c r="B803" s="481"/>
      <c r="C803" s="481"/>
      <c r="D803" s="483"/>
      <c r="E803" s="481"/>
      <c r="F803" s="483"/>
      <c r="G803" s="481"/>
      <c r="H803" s="481"/>
      <c r="I803" s="481"/>
      <c r="J803" s="481"/>
      <c r="K803" s="481"/>
      <c r="L803" s="481"/>
      <c r="M803" s="481"/>
      <c r="N803" s="481"/>
      <c r="O803" s="481"/>
      <c r="P803" s="481"/>
      <c r="Q803" s="481"/>
      <c r="R803" s="481"/>
      <c r="S803" s="481"/>
      <c r="T803" s="481"/>
      <c r="U803" s="481"/>
      <c r="V803" s="481"/>
      <c r="W803" s="481"/>
      <c r="X803" s="481"/>
      <c r="Y803" s="481"/>
      <c r="Z803" s="481"/>
      <c r="AA803" s="481"/>
      <c r="AB803" s="481"/>
    </row>
    <row r="804">
      <c r="A804" s="481"/>
      <c r="B804" s="481"/>
      <c r="C804" s="481"/>
      <c r="D804" s="483"/>
      <c r="E804" s="481"/>
      <c r="F804" s="483"/>
      <c r="G804" s="481"/>
      <c r="H804" s="481"/>
      <c r="I804" s="481"/>
      <c r="J804" s="481"/>
      <c r="K804" s="481"/>
      <c r="L804" s="481"/>
      <c r="M804" s="481"/>
      <c r="N804" s="481"/>
      <c r="O804" s="481"/>
      <c r="P804" s="481"/>
      <c r="Q804" s="481"/>
      <c r="R804" s="481"/>
      <c r="S804" s="481"/>
      <c r="T804" s="481"/>
      <c r="U804" s="481"/>
      <c r="V804" s="481"/>
      <c r="W804" s="481"/>
      <c r="X804" s="481"/>
      <c r="Y804" s="481"/>
      <c r="Z804" s="481"/>
      <c r="AA804" s="481"/>
      <c r="AB804" s="481"/>
    </row>
    <row r="805">
      <c r="A805" s="481"/>
      <c r="B805" s="481"/>
      <c r="C805" s="481"/>
      <c r="D805" s="483"/>
      <c r="E805" s="481"/>
      <c r="F805" s="483"/>
      <c r="G805" s="481"/>
      <c r="H805" s="481"/>
      <c r="I805" s="481"/>
      <c r="J805" s="481"/>
      <c r="K805" s="481"/>
      <c r="L805" s="481"/>
      <c r="M805" s="481"/>
      <c r="N805" s="481"/>
      <c r="O805" s="481"/>
      <c r="P805" s="481"/>
      <c r="Q805" s="481"/>
      <c r="R805" s="481"/>
      <c r="S805" s="481"/>
      <c r="T805" s="481"/>
      <c r="U805" s="481"/>
      <c r="V805" s="481"/>
      <c r="W805" s="481"/>
      <c r="X805" s="481"/>
      <c r="Y805" s="481"/>
      <c r="Z805" s="481"/>
      <c r="AA805" s="481"/>
      <c r="AB805" s="481"/>
    </row>
    <row r="806">
      <c r="A806" s="481"/>
      <c r="B806" s="481"/>
      <c r="C806" s="481"/>
      <c r="D806" s="483"/>
      <c r="E806" s="481"/>
      <c r="F806" s="483"/>
      <c r="G806" s="481"/>
      <c r="H806" s="481"/>
      <c r="I806" s="481"/>
      <c r="J806" s="481"/>
      <c r="K806" s="481"/>
      <c r="L806" s="481"/>
      <c r="M806" s="481"/>
      <c r="N806" s="481"/>
      <c r="O806" s="481"/>
      <c r="P806" s="481"/>
      <c r="Q806" s="481"/>
      <c r="R806" s="481"/>
      <c r="S806" s="481"/>
      <c r="T806" s="481"/>
      <c r="U806" s="481"/>
      <c r="V806" s="481"/>
      <c r="W806" s="481"/>
      <c r="X806" s="481"/>
      <c r="Y806" s="481"/>
      <c r="Z806" s="481"/>
      <c r="AA806" s="481"/>
      <c r="AB806" s="481"/>
    </row>
    <row r="807">
      <c r="A807" s="481"/>
      <c r="B807" s="481"/>
      <c r="C807" s="481"/>
      <c r="D807" s="483"/>
      <c r="E807" s="481"/>
      <c r="F807" s="483"/>
      <c r="G807" s="481"/>
      <c r="H807" s="481"/>
      <c r="I807" s="481"/>
      <c r="J807" s="481"/>
      <c r="K807" s="481"/>
      <c r="L807" s="481"/>
      <c r="M807" s="481"/>
      <c r="N807" s="481"/>
      <c r="O807" s="481"/>
      <c r="P807" s="481"/>
      <c r="Q807" s="481"/>
      <c r="R807" s="481"/>
      <c r="S807" s="481"/>
      <c r="T807" s="481"/>
      <c r="U807" s="481"/>
      <c r="V807" s="481"/>
      <c r="W807" s="481"/>
      <c r="X807" s="481"/>
      <c r="Y807" s="481"/>
      <c r="Z807" s="481"/>
      <c r="AA807" s="481"/>
      <c r="AB807" s="481"/>
    </row>
    <row r="808">
      <c r="A808" s="481"/>
      <c r="B808" s="481"/>
      <c r="C808" s="481"/>
      <c r="D808" s="483"/>
      <c r="E808" s="481"/>
      <c r="F808" s="483"/>
      <c r="G808" s="481"/>
      <c r="H808" s="481"/>
      <c r="I808" s="481"/>
      <c r="J808" s="481"/>
      <c r="K808" s="481"/>
      <c r="L808" s="481"/>
      <c r="M808" s="481"/>
      <c r="N808" s="481"/>
      <c r="O808" s="481"/>
      <c r="P808" s="481"/>
      <c r="Q808" s="481"/>
      <c r="R808" s="481"/>
      <c r="S808" s="481"/>
      <c r="T808" s="481"/>
      <c r="U808" s="481"/>
      <c r="V808" s="481"/>
      <c r="W808" s="481"/>
      <c r="X808" s="481"/>
      <c r="Y808" s="481"/>
      <c r="Z808" s="481"/>
      <c r="AA808" s="481"/>
      <c r="AB808" s="481"/>
    </row>
    <row r="809">
      <c r="A809" s="481"/>
      <c r="B809" s="481"/>
      <c r="C809" s="481"/>
      <c r="D809" s="483"/>
      <c r="E809" s="481"/>
      <c r="F809" s="483"/>
      <c r="G809" s="481"/>
      <c r="H809" s="481"/>
      <c r="I809" s="481"/>
      <c r="J809" s="481"/>
      <c r="K809" s="481"/>
      <c r="L809" s="481"/>
      <c r="M809" s="481"/>
      <c r="N809" s="481"/>
      <c r="O809" s="481"/>
      <c r="P809" s="481"/>
      <c r="Q809" s="481"/>
      <c r="R809" s="481"/>
      <c r="S809" s="481"/>
      <c r="T809" s="481"/>
      <c r="U809" s="481"/>
      <c r="V809" s="481"/>
      <c r="W809" s="481"/>
      <c r="X809" s="481"/>
      <c r="Y809" s="481"/>
      <c r="Z809" s="481"/>
      <c r="AA809" s="481"/>
      <c r="AB809" s="481"/>
    </row>
    <row r="810">
      <c r="A810" s="481"/>
      <c r="B810" s="481"/>
      <c r="C810" s="481"/>
      <c r="D810" s="483"/>
      <c r="E810" s="481"/>
      <c r="F810" s="483"/>
      <c r="G810" s="481"/>
      <c r="H810" s="481"/>
      <c r="I810" s="481"/>
      <c r="J810" s="481"/>
      <c r="K810" s="481"/>
      <c r="L810" s="481"/>
      <c r="M810" s="481"/>
      <c r="N810" s="481"/>
      <c r="O810" s="481"/>
      <c r="P810" s="481"/>
      <c r="Q810" s="481"/>
      <c r="R810" s="481"/>
      <c r="S810" s="481"/>
      <c r="T810" s="481"/>
      <c r="U810" s="481"/>
      <c r="V810" s="481"/>
      <c r="W810" s="481"/>
      <c r="X810" s="481"/>
      <c r="Y810" s="481"/>
      <c r="Z810" s="481"/>
      <c r="AA810" s="481"/>
      <c r="AB810" s="481"/>
    </row>
    <row r="811">
      <c r="A811" s="481"/>
      <c r="B811" s="481"/>
      <c r="C811" s="481"/>
      <c r="D811" s="483"/>
      <c r="E811" s="481"/>
      <c r="F811" s="483"/>
      <c r="G811" s="481"/>
      <c r="H811" s="481"/>
      <c r="I811" s="481"/>
      <c r="J811" s="481"/>
      <c r="K811" s="481"/>
      <c r="L811" s="481"/>
      <c r="M811" s="481"/>
      <c r="N811" s="481"/>
      <c r="O811" s="481"/>
      <c r="P811" s="481"/>
      <c r="Q811" s="481"/>
      <c r="R811" s="481"/>
      <c r="S811" s="481"/>
      <c r="T811" s="481"/>
      <c r="U811" s="481"/>
      <c r="V811" s="481"/>
      <c r="W811" s="481"/>
      <c r="X811" s="481"/>
      <c r="Y811" s="481"/>
      <c r="Z811" s="481"/>
      <c r="AA811" s="481"/>
      <c r="AB811" s="481"/>
    </row>
    <row r="812">
      <c r="A812" s="481"/>
      <c r="B812" s="481"/>
      <c r="C812" s="481"/>
      <c r="D812" s="483"/>
      <c r="E812" s="481"/>
      <c r="F812" s="483"/>
      <c r="G812" s="481"/>
      <c r="H812" s="481"/>
      <c r="I812" s="481"/>
      <c r="J812" s="481"/>
      <c r="K812" s="481"/>
      <c r="L812" s="481"/>
      <c r="M812" s="481"/>
      <c r="N812" s="481"/>
      <c r="O812" s="481"/>
      <c r="P812" s="481"/>
      <c r="Q812" s="481"/>
      <c r="R812" s="481"/>
      <c r="S812" s="481"/>
      <c r="T812" s="481"/>
      <c r="U812" s="481"/>
      <c r="V812" s="481"/>
      <c r="W812" s="481"/>
      <c r="X812" s="481"/>
      <c r="Y812" s="481"/>
      <c r="Z812" s="481"/>
      <c r="AA812" s="481"/>
      <c r="AB812" s="481"/>
    </row>
    <row r="813">
      <c r="A813" s="481"/>
      <c r="B813" s="481"/>
      <c r="C813" s="481"/>
      <c r="D813" s="483"/>
      <c r="E813" s="481"/>
      <c r="F813" s="483"/>
      <c r="G813" s="481"/>
      <c r="H813" s="481"/>
      <c r="I813" s="481"/>
      <c r="J813" s="481"/>
      <c r="K813" s="481"/>
      <c r="L813" s="481"/>
      <c r="M813" s="481"/>
      <c r="N813" s="481"/>
      <c r="O813" s="481"/>
      <c r="P813" s="481"/>
      <c r="Q813" s="481"/>
      <c r="R813" s="481"/>
      <c r="S813" s="481"/>
      <c r="T813" s="481"/>
      <c r="U813" s="481"/>
      <c r="V813" s="481"/>
      <c r="W813" s="481"/>
      <c r="X813" s="481"/>
      <c r="Y813" s="481"/>
      <c r="Z813" s="481"/>
      <c r="AA813" s="481"/>
      <c r="AB813" s="481"/>
    </row>
    <row r="814">
      <c r="A814" s="481"/>
      <c r="B814" s="481"/>
      <c r="C814" s="481"/>
      <c r="D814" s="483"/>
      <c r="E814" s="481"/>
      <c r="F814" s="483"/>
      <c r="G814" s="481"/>
      <c r="H814" s="481"/>
      <c r="I814" s="481"/>
      <c r="J814" s="481"/>
      <c r="K814" s="481"/>
      <c r="L814" s="481"/>
      <c r="M814" s="481"/>
      <c r="N814" s="481"/>
      <c r="O814" s="481"/>
      <c r="P814" s="481"/>
      <c r="Q814" s="481"/>
      <c r="R814" s="481"/>
      <c r="S814" s="481"/>
      <c r="T814" s="481"/>
      <c r="U814" s="481"/>
      <c r="V814" s="481"/>
      <c r="W814" s="481"/>
      <c r="X814" s="481"/>
      <c r="Y814" s="481"/>
      <c r="Z814" s="481"/>
      <c r="AA814" s="481"/>
      <c r="AB814" s="481"/>
    </row>
    <row r="815">
      <c r="A815" s="481"/>
      <c r="B815" s="481"/>
      <c r="C815" s="481"/>
      <c r="D815" s="483"/>
      <c r="E815" s="481"/>
      <c r="F815" s="483"/>
      <c r="G815" s="481"/>
      <c r="H815" s="481"/>
      <c r="I815" s="481"/>
      <c r="J815" s="481"/>
      <c r="K815" s="481"/>
      <c r="L815" s="481"/>
      <c r="M815" s="481"/>
      <c r="N815" s="481"/>
      <c r="O815" s="481"/>
      <c r="P815" s="481"/>
      <c r="Q815" s="481"/>
      <c r="R815" s="481"/>
      <c r="S815" s="481"/>
      <c r="T815" s="481"/>
      <c r="U815" s="481"/>
      <c r="V815" s="481"/>
      <c r="W815" s="481"/>
      <c r="X815" s="481"/>
      <c r="Y815" s="481"/>
      <c r="Z815" s="481"/>
      <c r="AA815" s="481"/>
      <c r="AB815" s="481"/>
    </row>
    <row r="816">
      <c r="A816" s="481"/>
      <c r="B816" s="481"/>
      <c r="C816" s="481"/>
      <c r="D816" s="483"/>
      <c r="E816" s="481"/>
      <c r="F816" s="483"/>
      <c r="G816" s="481"/>
      <c r="H816" s="481"/>
      <c r="I816" s="481"/>
      <c r="J816" s="481"/>
      <c r="K816" s="481"/>
      <c r="L816" s="481"/>
      <c r="M816" s="481"/>
      <c r="N816" s="481"/>
      <c r="O816" s="481"/>
      <c r="P816" s="481"/>
      <c r="Q816" s="481"/>
      <c r="R816" s="481"/>
      <c r="S816" s="481"/>
      <c r="T816" s="481"/>
      <c r="U816" s="481"/>
      <c r="V816" s="481"/>
      <c r="W816" s="481"/>
      <c r="X816" s="481"/>
      <c r="Y816" s="481"/>
      <c r="Z816" s="481"/>
      <c r="AA816" s="481"/>
      <c r="AB816" s="481"/>
    </row>
    <row r="817">
      <c r="A817" s="481"/>
      <c r="B817" s="481"/>
      <c r="C817" s="481"/>
      <c r="D817" s="483"/>
      <c r="E817" s="481"/>
      <c r="F817" s="483"/>
      <c r="G817" s="481"/>
      <c r="H817" s="481"/>
      <c r="I817" s="481"/>
      <c r="J817" s="481"/>
      <c r="K817" s="481"/>
      <c r="L817" s="481"/>
      <c r="M817" s="481"/>
      <c r="N817" s="481"/>
      <c r="O817" s="481"/>
      <c r="P817" s="481"/>
      <c r="Q817" s="481"/>
      <c r="R817" s="481"/>
      <c r="S817" s="481"/>
      <c r="T817" s="481"/>
      <c r="U817" s="481"/>
      <c r="V817" s="481"/>
      <c r="W817" s="481"/>
      <c r="X817" s="481"/>
      <c r="Y817" s="481"/>
      <c r="Z817" s="481"/>
      <c r="AA817" s="481"/>
      <c r="AB817" s="481"/>
    </row>
    <row r="818">
      <c r="A818" s="481"/>
      <c r="B818" s="481"/>
      <c r="C818" s="481"/>
      <c r="D818" s="483"/>
      <c r="E818" s="481"/>
      <c r="F818" s="483"/>
      <c r="G818" s="481"/>
      <c r="H818" s="481"/>
      <c r="I818" s="481"/>
      <c r="J818" s="481"/>
      <c r="K818" s="481"/>
      <c r="L818" s="481"/>
      <c r="M818" s="481"/>
      <c r="N818" s="481"/>
      <c r="O818" s="481"/>
      <c r="P818" s="481"/>
      <c r="Q818" s="481"/>
      <c r="R818" s="481"/>
      <c r="S818" s="481"/>
      <c r="T818" s="481"/>
      <c r="U818" s="481"/>
      <c r="V818" s="481"/>
      <c r="W818" s="481"/>
      <c r="X818" s="481"/>
      <c r="Y818" s="481"/>
      <c r="Z818" s="481"/>
      <c r="AA818" s="481"/>
      <c r="AB818" s="481"/>
    </row>
    <row r="819">
      <c r="A819" s="481"/>
      <c r="B819" s="481"/>
      <c r="C819" s="481"/>
      <c r="D819" s="483"/>
      <c r="E819" s="481"/>
      <c r="F819" s="483"/>
      <c r="G819" s="481"/>
      <c r="H819" s="481"/>
      <c r="I819" s="481"/>
      <c r="J819" s="481"/>
      <c r="K819" s="481"/>
      <c r="L819" s="481"/>
      <c r="M819" s="481"/>
      <c r="N819" s="481"/>
      <c r="O819" s="481"/>
      <c r="P819" s="481"/>
      <c r="Q819" s="481"/>
      <c r="R819" s="481"/>
      <c r="S819" s="481"/>
      <c r="T819" s="481"/>
      <c r="U819" s="481"/>
      <c r="V819" s="481"/>
      <c r="W819" s="481"/>
      <c r="X819" s="481"/>
      <c r="Y819" s="481"/>
      <c r="Z819" s="481"/>
      <c r="AA819" s="481"/>
      <c r="AB819" s="481"/>
    </row>
    <row r="820">
      <c r="A820" s="481"/>
      <c r="B820" s="481"/>
      <c r="C820" s="481"/>
      <c r="D820" s="483"/>
      <c r="E820" s="481"/>
      <c r="F820" s="483"/>
      <c r="G820" s="481"/>
      <c r="H820" s="481"/>
      <c r="I820" s="481"/>
      <c r="J820" s="481"/>
      <c r="K820" s="481"/>
      <c r="L820" s="481"/>
      <c r="M820" s="481"/>
      <c r="N820" s="481"/>
      <c r="O820" s="481"/>
      <c r="P820" s="481"/>
      <c r="Q820" s="481"/>
      <c r="R820" s="481"/>
      <c r="S820" s="481"/>
      <c r="T820" s="481"/>
      <c r="U820" s="481"/>
      <c r="V820" s="481"/>
      <c r="W820" s="481"/>
      <c r="X820" s="481"/>
      <c r="Y820" s="481"/>
      <c r="Z820" s="481"/>
      <c r="AA820" s="481"/>
      <c r="AB820" s="481"/>
    </row>
    <row r="821">
      <c r="A821" s="481"/>
      <c r="B821" s="481"/>
      <c r="C821" s="481"/>
      <c r="D821" s="483"/>
      <c r="E821" s="481"/>
      <c r="F821" s="483"/>
      <c r="G821" s="481"/>
      <c r="H821" s="481"/>
      <c r="I821" s="481"/>
      <c r="J821" s="481"/>
      <c r="K821" s="481"/>
      <c r="L821" s="481"/>
      <c r="M821" s="481"/>
      <c r="N821" s="481"/>
      <c r="O821" s="481"/>
      <c r="P821" s="481"/>
      <c r="Q821" s="481"/>
      <c r="R821" s="481"/>
      <c r="S821" s="481"/>
      <c r="T821" s="481"/>
      <c r="U821" s="481"/>
      <c r="V821" s="481"/>
      <c r="W821" s="481"/>
      <c r="X821" s="481"/>
      <c r="Y821" s="481"/>
      <c r="Z821" s="481"/>
      <c r="AA821" s="481"/>
      <c r="AB821" s="481"/>
    </row>
    <row r="822">
      <c r="A822" s="481"/>
      <c r="B822" s="481"/>
      <c r="C822" s="481"/>
      <c r="D822" s="483"/>
      <c r="E822" s="481"/>
      <c r="F822" s="483"/>
      <c r="G822" s="481"/>
      <c r="H822" s="481"/>
      <c r="I822" s="481"/>
      <c r="J822" s="481"/>
      <c r="K822" s="481"/>
      <c r="L822" s="481"/>
      <c r="M822" s="481"/>
      <c r="N822" s="481"/>
      <c r="O822" s="481"/>
      <c r="P822" s="481"/>
      <c r="Q822" s="481"/>
      <c r="R822" s="481"/>
      <c r="S822" s="481"/>
      <c r="T822" s="481"/>
      <c r="U822" s="481"/>
      <c r="V822" s="481"/>
      <c r="W822" s="481"/>
      <c r="X822" s="481"/>
      <c r="Y822" s="481"/>
      <c r="Z822" s="481"/>
      <c r="AA822" s="481"/>
      <c r="AB822" s="481"/>
    </row>
    <row r="823">
      <c r="A823" s="481"/>
      <c r="B823" s="481"/>
      <c r="C823" s="481"/>
      <c r="D823" s="483"/>
      <c r="E823" s="481"/>
      <c r="F823" s="483"/>
      <c r="G823" s="481"/>
      <c r="H823" s="481"/>
      <c r="I823" s="481"/>
      <c r="J823" s="481"/>
      <c r="K823" s="481"/>
      <c r="L823" s="481"/>
      <c r="M823" s="481"/>
      <c r="N823" s="481"/>
      <c r="O823" s="481"/>
      <c r="P823" s="481"/>
      <c r="Q823" s="481"/>
      <c r="R823" s="481"/>
      <c r="S823" s="481"/>
      <c r="T823" s="481"/>
      <c r="U823" s="481"/>
      <c r="V823" s="481"/>
      <c r="W823" s="481"/>
      <c r="X823" s="481"/>
      <c r="Y823" s="481"/>
      <c r="Z823" s="481"/>
      <c r="AA823" s="481"/>
      <c r="AB823" s="481"/>
    </row>
    <row r="824">
      <c r="A824" s="481"/>
      <c r="B824" s="481"/>
      <c r="C824" s="481"/>
      <c r="D824" s="483"/>
      <c r="E824" s="481"/>
      <c r="F824" s="483"/>
      <c r="G824" s="481"/>
      <c r="H824" s="481"/>
      <c r="I824" s="481"/>
      <c r="J824" s="481"/>
      <c r="K824" s="481"/>
      <c r="L824" s="481"/>
      <c r="M824" s="481"/>
      <c r="N824" s="481"/>
      <c r="O824" s="481"/>
      <c r="P824" s="481"/>
      <c r="Q824" s="481"/>
      <c r="R824" s="481"/>
      <c r="S824" s="481"/>
      <c r="T824" s="481"/>
      <c r="U824" s="481"/>
      <c r="V824" s="481"/>
      <c r="W824" s="481"/>
      <c r="X824" s="481"/>
      <c r="Y824" s="481"/>
      <c r="Z824" s="481"/>
      <c r="AA824" s="481"/>
      <c r="AB824" s="481"/>
    </row>
    <row r="825">
      <c r="A825" s="481"/>
      <c r="B825" s="481"/>
      <c r="C825" s="481"/>
      <c r="D825" s="483"/>
      <c r="E825" s="481"/>
      <c r="F825" s="483"/>
      <c r="G825" s="481"/>
      <c r="H825" s="481"/>
      <c r="I825" s="481"/>
      <c r="J825" s="481"/>
      <c r="K825" s="481"/>
      <c r="L825" s="481"/>
      <c r="M825" s="481"/>
      <c r="N825" s="481"/>
      <c r="O825" s="481"/>
      <c r="P825" s="481"/>
      <c r="Q825" s="481"/>
      <c r="R825" s="481"/>
      <c r="S825" s="481"/>
      <c r="T825" s="481"/>
      <c r="U825" s="481"/>
      <c r="V825" s="481"/>
      <c r="W825" s="481"/>
      <c r="X825" s="481"/>
      <c r="Y825" s="481"/>
      <c r="Z825" s="481"/>
      <c r="AA825" s="481"/>
      <c r="AB825" s="481"/>
    </row>
    <row r="826">
      <c r="A826" s="481"/>
      <c r="B826" s="481"/>
      <c r="C826" s="481"/>
      <c r="D826" s="483"/>
      <c r="E826" s="481"/>
      <c r="F826" s="483"/>
      <c r="G826" s="481"/>
      <c r="H826" s="481"/>
      <c r="I826" s="481"/>
      <c r="J826" s="481"/>
      <c r="K826" s="481"/>
      <c r="L826" s="481"/>
      <c r="M826" s="481"/>
      <c r="N826" s="481"/>
      <c r="O826" s="481"/>
      <c r="P826" s="481"/>
      <c r="Q826" s="481"/>
      <c r="R826" s="481"/>
      <c r="S826" s="481"/>
      <c r="T826" s="481"/>
      <c r="U826" s="481"/>
      <c r="V826" s="481"/>
      <c r="W826" s="481"/>
      <c r="X826" s="481"/>
      <c r="Y826" s="481"/>
      <c r="Z826" s="481"/>
      <c r="AA826" s="481"/>
      <c r="AB826" s="481"/>
    </row>
    <row r="827">
      <c r="A827" s="481"/>
      <c r="B827" s="481"/>
      <c r="C827" s="481"/>
      <c r="D827" s="483"/>
      <c r="E827" s="481"/>
      <c r="F827" s="483"/>
      <c r="G827" s="481"/>
      <c r="H827" s="481"/>
      <c r="I827" s="481"/>
      <c r="J827" s="481"/>
      <c r="K827" s="481"/>
      <c r="L827" s="481"/>
      <c r="M827" s="481"/>
      <c r="N827" s="481"/>
      <c r="O827" s="481"/>
      <c r="P827" s="481"/>
      <c r="Q827" s="481"/>
      <c r="R827" s="481"/>
      <c r="S827" s="481"/>
      <c r="T827" s="481"/>
      <c r="U827" s="481"/>
      <c r="V827" s="481"/>
      <c r="W827" s="481"/>
      <c r="X827" s="481"/>
      <c r="Y827" s="481"/>
      <c r="Z827" s="481"/>
      <c r="AA827" s="481"/>
      <c r="AB827" s="481"/>
    </row>
    <row r="828">
      <c r="A828" s="481"/>
      <c r="B828" s="481"/>
      <c r="C828" s="481"/>
      <c r="D828" s="483"/>
      <c r="E828" s="481"/>
      <c r="F828" s="483"/>
      <c r="G828" s="481"/>
      <c r="H828" s="481"/>
      <c r="I828" s="481"/>
      <c r="J828" s="481"/>
      <c r="K828" s="481"/>
      <c r="L828" s="481"/>
      <c r="M828" s="481"/>
      <c r="N828" s="481"/>
      <c r="O828" s="481"/>
      <c r="P828" s="481"/>
      <c r="Q828" s="481"/>
      <c r="R828" s="481"/>
      <c r="S828" s="481"/>
      <c r="T828" s="481"/>
      <c r="U828" s="481"/>
      <c r="V828" s="481"/>
      <c r="W828" s="481"/>
      <c r="X828" s="481"/>
      <c r="Y828" s="481"/>
      <c r="Z828" s="481"/>
      <c r="AA828" s="481"/>
      <c r="AB828" s="481"/>
    </row>
    <row r="829">
      <c r="A829" s="481"/>
      <c r="B829" s="481"/>
      <c r="C829" s="481"/>
      <c r="D829" s="483"/>
      <c r="E829" s="481"/>
      <c r="F829" s="483"/>
      <c r="G829" s="481"/>
      <c r="H829" s="481"/>
      <c r="I829" s="481"/>
      <c r="J829" s="481"/>
      <c r="K829" s="481"/>
      <c r="L829" s="481"/>
      <c r="M829" s="481"/>
      <c r="N829" s="481"/>
      <c r="O829" s="481"/>
      <c r="P829" s="481"/>
      <c r="Q829" s="481"/>
      <c r="R829" s="481"/>
      <c r="S829" s="481"/>
      <c r="T829" s="481"/>
      <c r="U829" s="481"/>
      <c r="V829" s="481"/>
      <c r="W829" s="481"/>
      <c r="X829" s="481"/>
      <c r="Y829" s="481"/>
      <c r="Z829" s="481"/>
      <c r="AA829" s="481"/>
      <c r="AB829" s="481"/>
    </row>
    <row r="830">
      <c r="A830" s="481"/>
      <c r="B830" s="481"/>
      <c r="C830" s="481"/>
      <c r="D830" s="483"/>
      <c r="E830" s="481"/>
      <c r="F830" s="483"/>
      <c r="G830" s="481"/>
      <c r="H830" s="481"/>
      <c r="I830" s="481"/>
      <c r="J830" s="481"/>
      <c r="K830" s="481"/>
      <c r="L830" s="481"/>
      <c r="M830" s="481"/>
      <c r="N830" s="481"/>
      <c r="O830" s="481"/>
      <c r="P830" s="481"/>
      <c r="Q830" s="481"/>
      <c r="R830" s="481"/>
      <c r="S830" s="481"/>
      <c r="T830" s="481"/>
      <c r="U830" s="481"/>
      <c r="V830" s="481"/>
      <c r="W830" s="481"/>
      <c r="X830" s="481"/>
      <c r="Y830" s="481"/>
      <c r="Z830" s="481"/>
      <c r="AA830" s="481"/>
      <c r="AB830" s="481"/>
    </row>
    <row r="831">
      <c r="A831" s="481"/>
      <c r="B831" s="481"/>
      <c r="C831" s="481"/>
      <c r="D831" s="483"/>
      <c r="E831" s="481"/>
      <c r="F831" s="483"/>
      <c r="G831" s="481"/>
      <c r="H831" s="481"/>
      <c r="I831" s="481"/>
      <c r="J831" s="481"/>
      <c r="K831" s="481"/>
      <c r="L831" s="481"/>
      <c r="M831" s="481"/>
      <c r="N831" s="481"/>
      <c r="O831" s="481"/>
      <c r="P831" s="481"/>
      <c r="Q831" s="481"/>
      <c r="R831" s="481"/>
      <c r="S831" s="481"/>
      <c r="T831" s="481"/>
      <c r="U831" s="481"/>
      <c r="V831" s="481"/>
      <c r="W831" s="481"/>
      <c r="X831" s="481"/>
      <c r="Y831" s="481"/>
      <c r="Z831" s="481"/>
      <c r="AA831" s="481"/>
      <c r="AB831" s="481"/>
    </row>
    <row r="832">
      <c r="A832" s="481"/>
      <c r="B832" s="481"/>
      <c r="C832" s="481"/>
      <c r="D832" s="483"/>
      <c r="E832" s="481"/>
      <c r="F832" s="483"/>
      <c r="G832" s="481"/>
      <c r="H832" s="481"/>
      <c r="I832" s="481"/>
      <c r="J832" s="481"/>
      <c r="K832" s="481"/>
      <c r="L832" s="481"/>
      <c r="M832" s="481"/>
      <c r="N832" s="481"/>
      <c r="O832" s="481"/>
      <c r="P832" s="481"/>
      <c r="Q832" s="481"/>
      <c r="R832" s="481"/>
      <c r="S832" s="481"/>
      <c r="T832" s="481"/>
      <c r="U832" s="481"/>
      <c r="V832" s="481"/>
      <c r="W832" s="481"/>
      <c r="X832" s="481"/>
      <c r="Y832" s="481"/>
      <c r="Z832" s="481"/>
      <c r="AA832" s="481"/>
      <c r="AB832" s="481"/>
    </row>
    <row r="833">
      <c r="A833" s="481"/>
      <c r="B833" s="481"/>
      <c r="C833" s="481"/>
      <c r="D833" s="483"/>
      <c r="E833" s="481"/>
      <c r="F833" s="483"/>
      <c r="G833" s="481"/>
      <c r="H833" s="481"/>
      <c r="I833" s="481"/>
      <c r="J833" s="481"/>
      <c r="K833" s="481"/>
      <c r="L833" s="481"/>
      <c r="M833" s="481"/>
      <c r="N833" s="481"/>
      <c r="O833" s="481"/>
      <c r="P833" s="481"/>
      <c r="Q833" s="481"/>
      <c r="R833" s="481"/>
      <c r="S833" s="481"/>
      <c r="T833" s="481"/>
      <c r="U833" s="481"/>
      <c r="V833" s="481"/>
      <c r="W833" s="481"/>
      <c r="X833" s="481"/>
      <c r="Y833" s="481"/>
      <c r="Z833" s="481"/>
      <c r="AA833" s="481"/>
      <c r="AB833" s="481"/>
    </row>
    <row r="834">
      <c r="A834" s="481"/>
      <c r="B834" s="481"/>
      <c r="C834" s="481"/>
      <c r="D834" s="483"/>
      <c r="E834" s="481"/>
      <c r="F834" s="483"/>
      <c r="G834" s="481"/>
      <c r="H834" s="481"/>
      <c r="I834" s="481"/>
      <c r="J834" s="481"/>
      <c r="K834" s="481"/>
      <c r="L834" s="481"/>
      <c r="M834" s="481"/>
      <c r="N834" s="481"/>
      <c r="O834" s="481"/>
      <c r="P834" s="481"/>
      <c r="Q834" s="481"/>
      <c r="R834" s="481"/>
      <c r="S834" s="481"/>
      <c r="T834" s="481"/>
      <c r="U834" s="481"/>
      <c r="V834" s="481"/>
      <c r="W834" s="481"/>
      <c r="X834" s="481"/>
      <c r="Y834" s="481"/>
      <c r="Z834" s="481"/>
      <c r="AA834" s="481"/>
      <c r="AB834" s="481"/>
    </row>
    <row r="835">
      <c r="A835" s="481"/>
      <c r="B835" s="481"/>
      <c r="C835" s="481"/>
      <c r="D835" s="483"/>
      <c r="E835" s="481"/>
      <c r="F835" s="483"/>
      <c r="G835" s="481"/>
      <c r="H835" s="481"/>
      <c r="I835" s="481"/>
      <c r="J835" s="481"/>
      <c r="K835" s="481"/>
      <c r="L835" s="481"/>
      <c r="M835" s="481"/>
      <c r="N835" s="481"/>
      <c r="O835" s="481"/>
      <c r="P835" s="481"/>
      <c r="Q835" s="481"/>
      <c r="R835" s="481"/>
      <c r="S835" s="481"/>
      <c r="T835" s="481"/>
      <c r="U835" s="481"/>
      <c r="V835" s="481"/>
      <c r="W835" s="481"/>
      <c r="X835" s="481"/>
      <c r="Y835" s="481"/>
      <c r="Z835" s="481"/>
      <c r="AA835" s="481"/>
      <c r="AB835" s="481"/>
    </row>
    <row r="836">
      <c r="A836" s="481"/>
      <c r="B836" s="481"/>
      <c r="C836" s="481"/>
      <c r="D836" s="483"/>
      <c r="E836" s="481"/>
      <c r="F836" s="483"/>
      <c r="G836" s="481"/>
      <c r="H836" s="481"/>
      <c r="I836" s="481"/>
      <c r="J836" s="481"/>
      <c r="K836" s="481"/>
      <c r="L836" s="481"/>
      <c r="M836" s="481"/>
      <c r="N836" s="481"/>
      <c r="O836" s="481"/>
      <c r="P836" s="481"/>
      <c r="Q836" s="481"/>
      <c r="R836" s="481"/>
      <c r="S836" s="481"/>
      <c r="T836" s="481"/>
      <c r="U836" s="481"/>
      <c r="V836" s="481"/>
      <c r="W836" s="481"/>
      <c r="X836" s="481"/>
      <c r="Y836" s="481"/>
      <c r="Z836" s="481"/>
      <c r="AA836" s="481"/>
      <c r="AB836" s="481"/>
    </row>
    <row r="837">
      <c r="A837" s="481"/>
      <c r="B837" s="481"/>
      <c r="C837" s="481"/>
      <c r="D837" s="483"/>
      <c r="E837" s="481"/>
      <c r="F837" s="483"/>
      <c r="G837" s="481"/>
      <c r="H837" s="481"/>
      <c r="I837" s="481"/>
      <c r="J837" s="481"/>
      <c r="K837" s="481"/>
      <c r="L837" s="481"/>
      <c r="M837" s="481"/>
      <c r="N837" s="481"/>
      <c r="O837" s="481"/>
      <c r="P837" s="481"/>
      <c r="Q837" s="481"/>
      <c r="R837" s="481"/>
      <c r="S837" s="481"/>
      <c r="T837" s="481"/>
      <c r="U837" s="481"/>
      <c r="V837" s="481"/>
      <c r="W837" s="481"/>
      <c r="X837" s="481"/>
      <c r="Y837" s="481"/>
      <c r="Z837" s="481"/>
      <c r="AA837" s="481"/>
      <c r="AB837" s="481"/>
    </row>
    <row r="838">
      <c r="A838" s="481"/>
      <c r="B838" s="481"/>
      <c r="C838" s="481"/>
      <c r="D838" s="483"/>
      <c r="E838" s="481"/>
      <c r="F838" s="483"/>
      <c r="G838" s="481"/>
      <c r="H838" s="481"/>
      <c r="I838" s="481"/>
      <c r="J838" s="481"/>
      <c r="K838" s="481"/>
      <c r="L838" s="481"/>
      <c r="M838" s="481"/>
      <c r="N838" s="481"/>
      <c r="O838" s="481"/>
      <c r="P838" s="481"/>
      <c r="Q838" s="481"/>
      <c r="R838" s="481"/>
      <c r="S838" s="481"/>
      <c r="T838" s="481"/>
      <c r="U838" s="481"/>
      <c r="V838" s="481"/>
      <c r="W838" s="481"/>
      <c r="X838" s="481"/>
      <c r="Y838" s="481"/>
      <c r="Z838" s="481"/>
      <c r="AA838" s="481"/>
      <c r="AB838" s="481"/>
    </row>
    <row r="839">
      <c r="A839" s="481"/>
      <c r="B839" s="481"/>
      <c r="C839" s="481"/>
      <c r="D839" s="483"/>
      <c r="E839" s="481"/>
      <c r="F839" s="483"/>
      <c r="G839" s="481"/>
      <c r="H839" s="481"/>
      <c r="I839" s="481"/>
      <c r="J839" s="481"/>
      <c r="K839" s="481"/>
      <c r="L839" s="481"/>
      <c r="M839" s="481"/>
      <c r="N839" s="481"/>
      <c r="O839" s="481"/>
      <c r="P839" s="481"/>
      <c r="Q839" s="481"/>
      <c r="R839" s="481"/>
      <c r="S839" s="481"/>
      <c r="T839" s="481"/>
      <c r="U839" s="481"/>
      <c r="V839" s="481"/>
      <c r="W839" s="481"/>
      <c r="X839" s="481"/>
      <c r="Y839" s="481"/>
      <c r="Z839" s="481"/>
      <c r="AA839" s="481"/>
      <c r="AB839" s="481"/>
    </row>
    <row r="840">
      <c r="A840" s="481"/>
      <c r="B840" s="481"/>
      <c r="C840" s="481"/>
      <c r="D840" s="483"/>
      <c r="E840" s="481"/>
      <c r="F840" s="483"/>
      <c r="G840" s="481"/>
      <c r="H840" s="481"/>
      <c r="I840" s="481"/>
      <c r="J840" s="481"/>
      <c r="K840" s="481"/>
      <c r="L840" s="481"/>
      <c r="M840" s="481"/>
      <c r="N840" s="481"/>
      <c r="O840" s="481"/>
      <c r="P840" s="481"/>
      <c r="Q840" s="481"/>
      <c r="R840" s="481"/>
      <c r="S840" s="481"/>
      <c r="T840" s="481"/>
      <c r="U840" s="481"/>
      <c r="V840" s="481"/>
      <c r="W840" s="481"/>
      <c r="X840" s="481"/>
      <c r="Y840" s="481"/>
      <c r="Z840" s="481"/>
      <c r="AA840" s="481"/>
      <c r="AB840" s="481"/>
    </row>
    <row r="841">
      <c r="A841" s="481"/>
      <c r="B841" s="481"/>
      <c r="C841" s="481"/>
      <c r="D841" s="483"/>
      <c r="E841" s="481"/>
      <c r="F841" s="483"/>
      <c r="G841" s="481"/>
      <c r="H841" s="481"/>
      <c r="I841" s="481"/>
      <c r="J841" s="481"/>
      <c r="K841" s="481"/>
      <c r="L841" s="481"/>
      <c r="M841" s="481"/>
      <c r="N841" s="481"/>
      <c r="O841" s="481"/>
      <c r="P841" s="481"/>
      <c r="Q841" s="481"/>
      <c r="R841" s="481"/>
      <c r="S841" s="481"/>
      <c r="T841" s="481"/>
      <c r="U841" s="481"/>
      <c r="V841" s="481"/>
      <c r="W841" s="481"/>
      <c r="X841" s="481"/>
      <c r="Y841" s="481"/>
      <c r="Z841" s="481"/>
      <c r="AA841" s="481"/>
      <c r="AB841" s="481"/>
    </row>
    <row r="842">
      <c r="A842" s="481"/>
      <c r="B842" s="481"/>
      <c r="C842" s="481"/>
      <c r="D842" s="483"/>
      <c r="E842" s="481"/>
      <c r="F842" s="483"/>
      <c r="G842" s="481"/>
      <c r="H842" s="481"/>
      <c r="I842" s="481"/>
      <c r="J842" s="481"/>
      <c r="K842" s="481"/>
      <c r="L842" s="481"/>
      <c r="M842" s="481"/>
      <c r="N842" s="481"/>
      <c r="O842" s="481"/>
      <c r="P842" s="481"/>
      <c r="Q842" s="481"/>
      <c r="R842" s="481"/>
      <c r="S842" s="481"/>
      <c r="T842" s="481"/>
      <c r="U842" s="481"/>
      <c r="V842" s="481"/>
      <c r="W842" s="481"/>
      <c r="X842" s="481"/>
      <c r="Y842" s="481"/>
      <c r="Z842" s="481"/>
      <c r="AA842" s="481"/>
      <c r="AB842" s="481"/>
    </row>
    <row r="843">
      <c r="A843" s="481"/>
      <c r="B843" s="481"/>
      <c r="C843" s="481"/>
      <c r="D843" s="483"/>
      <c r="E843" s="481"/>
      <c r="F843" s="483"/>
      <c r="G843" s="481"/>
      <c r="H843" s="481"/>
      <c r="I843" s="481"/>
      <c r="J843" s="481"/>
      <c r="K843" s="481"/>
      <c r="L843" s="481"/>
      <c r="M843" s="481"/>
      <c r="N843" s="481"/>
      <c r="O843" s="481"/>
      <c r="P843" s="481"/>
      <c r="Q843" s="481"/>
      <c r="R843" s="481"/>
      <c r="S843" s="481"/>
      <c r="T843" s="481"/>
      <c r="U843" s="481"/>
      <c r="V843" s="481"/>
      <c r="W843" s="481"/>
      <c r="X843" s="481"/>
      <c r="Y843" s="481"/>
      <c r="Z843" s="481"/>
      <c r="AA843" s="481"/>
      <c r="AB843" s="481"/>
    </row>
    <row r="844">
      <c r="A844" s="481"/>
      <c r="B844" s="481"/>
      <c r="C844" s="481"/>
      <c r="D844" s="483"/>
      <c r="E844" s="481"/>
      <c r="F844" s="483"/>
      <c r="G844" s="481"/>
      <c r="H844" s="481"/>
      <c r="I844" s="481"/>
      <c r="J844" s="481"/>
      <c r="K844" s="481"/>
      <c r="L844" s="481"/>
      <c r="M844" s="481"/>
      <c r="N844" s="481"/>
      <c r="O844" s="481"/>
      <c r="P844" s="481"/>
      <c r="Q844" s="481"/>
      <c r="R844" s="481"/>
      <c r="S844" s="481"/>
      <c r="T844" s="481"/>
      <c r="U844" s="481"/>
      <c r="V844" s="481"/>
      <c r="W844" s="481"/>
      <c r="X844" s="481"/>
      <c r="Y844" s="481"/>
      <c r="Z844" s="481"/>
      <c r="AA844" s="481"/>
      <c r="AB844" s="481"/>
    </row>
    <row r="845">
      <c r="A845" s="481"/>
      <c r="B845" s="481"/>
      <c r="C845" s="481"/>
      <c r="D845" s="483"/>
      <c r="E845" s="481"/>
      <c r="F845" s="483"/>
      <c r="G845" s="481"/>
      <c r="H845" s="481"/>
      <c r="I845" s="481"/>
      <c r="J845" s="481"/>
      <c r="K845" s="481"/>
      <c r="L845" s="481"/>
      <c r="M845" s="481"/>
      <c r="N845" s="481"/>
      <c r="O845" s="481"/>
      <c r="P845" s="481"/>
      <c r="Q845" s="481"/>
      <c r="R845" s="481"/>
      <c r="S845" s="481"/>
      <c r="T845" s="481"/>
      <c r="U845" s="481"/>
      <c r="V845" s="481"/>
      <c r="W845" s="481"/>
      <c r="X845" s="481"/>
      <c r="Y845" s="481"/>
      <c r="Z845" s="481"/>
      <c r="AA845" s="481"/>
      <c r="AB845" s="481"/>
    </row>
    <row r="846">
      <c r="A846" s="481"/>
      <c r="B846" s="481"/>
      <c r="C846" s="481"/>
      <c r="D846" s="483"/>
      <c r="E846" s="481"/>
      <c r="F846" s="483"/>
      <c r="G846" s="481"/>
      <c r="H846" s="481"/>
      <c r="I846" s="481"/>
      <c r="J846" s="481"/>
      <c r="K846" s="481"/>
      <c r="L846" s="481"/>
      <c r="M846" s="481"/>
      <c r="N846" s="481"/>
      <c r="O846" s="481"/>
      <c r="P846" s="481"/>
      <c r="Q846" s="481"/>
      <c r="R846" s="481"/>
      <c r="S846" s="481"/>
      <c r="T846" s="481"/>
      <c r="U846" s="481"/>
      <c r="V846" s="481"/>
      <c r="W846" s="481"/>
      <c r="X846" s="481"/>
      <c r="Y846" s="481"/>
      <c r="Z846" s="481"/>
      <c r="AA846" s="481"/>
      <c r="AB846" s="481"/>
    </row>
    <row r="847">
      <c r="A847" s="481"/>
      <c r="B847" s="481"/>
      <c r="C847" s="481"/>
      <c r="D847" s="483"/>
      <c r="E847" s="481"/>
      <c r="F847" s="483"/>
      <c r="G847" s="481"/>
      <c r="H847" s="481"/>
      <c r="I847" s="481"/>
      <c r="J847" s="481"/>
      <c r="K847" s="481"/>
      <c r="L847" s="481"/>
      <c r="M847" s="481"/>
      <c r="N847" s="481"/>
      <c r="O847" s="481"/>
      <c r="P847" s="481"/>
      <c r="Q847" s="481"/>
      <c r="R847" s="481"/>
      <c r="S847" s="481"/>
      <c r="T847" s="481"/>
      <c r="U847" s="481"/>
      <c r="V847" s="481"/>
      <c r="W847" s="481"/>
      <c r="X847" s="481"/>
      <c r="Y847" s="481"/>
      <c r="Z847" s="481"/>
      <c r="AA847" s="481"/>
      <c r="AB847" s="481"/>
    </row>
    <row r="848">
      <c r="A848" s="481"/>
      <c r="B848" s="481"/>
      <c r="C848" s="481"/>
      <c r="D848" s="483"/>
      <c r="E848" s="481"/>
      <c r="F848" s="483"/>
      <c r="G848" s="481"/>
      <c r="H848" s="481"/>
      <c r="I848" s="481"/>
      <c r="J848" s="481"/>
      <c r="K848" s="481"/>
      <c r="L848" s="481"/>
      <c r="M848" s="481"/>
      <c r="N848" s="481"/>
      <c r="O848" s="481"/>
      <c r="P848" s="481"/>
      <c r="Q848" s="481"/>
      <c r="R848" s="481"/>
      <c r="S848" s="481"/>
      <c r="T848" s="481"/>
      <c r="U848" s="481"/>
      <c r="V848" s="481"/>
      <c r="W848" s="481"/>
      <c r="X848" s="481"/>
      <c r="Y848" s="481"/>
      <c r="Z848" s="481"/>
      <c r="AA848" s="481"/>
      <c r="AB848" s="481"/>
    </row>
    <row r="849">
      <c r="A849" s="481"/>
      <c r="B849" s="481"/>
      <c r="C849" s="481"/>
      <c r="D849" s="483"/>
      <c r="E849" s="481"/>
      <c r="F849" s="483"/>
      <c r="G849" s="481"/>
      <c r="H849" s="481"/>
      <c r="I849" s="481"/>
      <c r="J849" s="481"/>
      <c r="K849" s="481"/>
      <c r="L849" s="481"/>
      <c r="M849" s="481"/>
      <c r="N849" s="481"/>
      <c r="O849" s="481"/>
      <c r="P849" s="481"/>
      <c r="Q849" s="481"/>
      <c r="R849" s="481"/>
      <c r="S849" s="481"/>
      <c r="T849" s="481"/>
      <c r="U849" s="481"/>
      <c r="V849" s="481"/>
      <c r="W849" s="481"/>
      <c r="X849" s="481"/>
      <c r="Y849" s="481"/>
      <c r="Z849" s="481"/>
      <c r="AA849" s="481"/>
      <c r="AB849" s="481"/>
    </row>
    <row r="850">
      <c r="A850" s="481"/>
      <c r="B850" s="481"/>
      <c r="C850" s="481"/>
      <c r="D850" s="483"/>
      <c r="E850" s="481"/>
      <c r="F850" s="483"/>
      <c r="G850" s="481"/>
      <c r="H850" s="481"/>
      <c r="I850" s="481"/>
      <c r="J850" s="481"/>
      <c r="K850" s="481"/>
      <c r="L850" s="481"/>
      <c r="M850" s="481"/>
      <c r="N850" s="481"/>
      <c r="O850" s="481"/>
      <c r="P850" s="481"/>
      <c r="Q850" s="481"/>
      <c r="R850" s="481"/>
      <c r="S850" s="481"/>
      <c r="T850" s="481"/>
      <c r="U850" s="481"/>
      <c r="V850" s="481"/>
      <c r="W850" s="481"/>
      <c r="X850" s="481"/>
      <c r="Y850" s="481"/>
      <c r="Z850" s="481"/>
      <c r="AA850" s="481"/>
      <c r="AB850" s="481"/>
    </row>
    <row r="851">
      <c r="A851" s="481"/>
      <c r="B851" s="481"/>
      <c r="C851" s="481"/>
      <c r="D851" s="483"/>
      <c r="E851" s="481"/>
      <c r="F851" s="483"/>
      <c r="G851" s="481"/>
      <c r="H851" s="481"/>
      <c r="I851" s="481"/>
      <c r="J851" s="481"/>
      <c r="K851" s="481"/>
      <c r="L851" s="481"/>
      <c r="M851" s="481"/>
      <c r="N851" s="481"/>
      <c r="O851" s="481"/>
      <c r="P851" s="481"/>
      <c r="Q851" s="481"/>
      <c r="R851" s="481"/>
      <c r="S851" s="481"/>
      <c r="T851" s="481"/>
      <c r="U851" s="481"/>
      <c r="V851" s="481"/>
      <c r="W851" s="481"/>
      <c r="X851" s="481"/>
      <c r="Y851" s="481"/>
      <c r="Z851" s="481"/>
      <c r="AA851" s="481"/>
      <c r="AB851" s="481"/>
    </row>
    <row r="852">
      <c r="A852" s="481"/>
      <c r="B852" s="481"/>
      <c r="C852" s="481"/>
      <c r="D852" s="483"/>
      <c r="E852" s="481"/>
      <c r="F852" s="483"/>
      <c r="G852" s="481"/>
      <c r="H852" s="481"/>
      <c r="I852" s="481"/>
      <c r="J852" s="481"/>
      <c r="K852" s="481"/>
      <c r="L852" s="481"/>
      <c r="M852" s="481"/>
      <c r="N852" s="481"/>
      <c r="O852" s="481"/>
      <c r="P852" s="481"/>
      <c r="Q852" s="481"/>
      <c r="R852" s="481"/>
      <c r="S852" s="481"/>
      <c r="T852" s="481"/>
      <c r="U852" s="481"/>
      <c r="V852" s="481"/>
      <c r="W852" s="481"/>
      <c r="X852" s="481"/>
      <c r="Y852" s="481"/>
      <c r="Z852" s="481"/>
      <c r="AA852" s="481"/>
      <c r="AB852" s="481"/>
    </row>
    <row r="853">
      <c r="A853" s="481"/>
      <c r="B853" s="481"/>
      <c r="C853" s="481"/>
      <c r="D853" s="483"/>
      <c r="E853" s="481"/>
      <c r="F853" s="483"/>
      <c r="G853" s="481"/>
      <c r="H853" s="481"/>
      <c r="I853" s="481"/>
      <c r="J853" s="481"/>
      <c r="K853" s="481"/>
      <c r="L853" s="481"/>
      <c r="M853" s="481"/>
      <c r="N853" s="481"/>
      <c r="O853" s="481"/>
      <c r="P853" s="481"/>
      <c r="Q853" s="481"/>
      <c r="R853" s="481"/>
      <c r="S853" s="481"/>
      <c r="T853" s="481"/>
      <c r="U853" s="481"/>
      <c r="V853" s="481"/>
      <c r="W853" s="481"/>
      <c r="X853" s="481"/>
      <c r="Y853" s="481"/>
      <c r="Z853" s="481"/>
      <c r="AA853" s="481"/>
      <c r="AB853" s="481"/>
    </row>
    <row r="854">
      <c r="A854" s="481"/>
      <c r="B854" s="481"/>
      <c r="C854" s="481"/>
      <c r="D854" s="483"/>
      <c r="E854" s="481"/>
      <c r="F854" s="483"/>
      <c r="G854" s="481"/>
      <c r="H854" s="481"/>
      <c r="I854" s="481"/>
      <c r="J854" s="481"/>
      <c r="K854" s="481"/>
      <c r="L854" s="481"/>
      <c r="M854" s="481"/>
      <c r="N854" s="481"/>
      <c r="O854" s="481"/>
      <c r="P854" s="481"/>
      <c r="Q854" s="481"/>
      <c r="R854" s="481"/>
      <c r="S854" s="481"/>
      <c r="T854" s="481"/>
      <c r="U854" s="481"/>
      <c r="V854" s="481"/>
      <c r="W854" s="481"/>
      <c r="X854" s="481"/>
      <c r="Y854" s="481"/>
      <c r="Z854" s="481"/>
      <c r="AA854" s="481"/>
      <c r="AB854" s="481"/>
    </row>
    <row r="855">
      <c r="A855" s="481"/>
      <c r="B855" s="481"/>
      <c r="C855" s="481"/>
      <c r="D855" s="483"/>
      <c r="E855" s="481"/>
      <c r="F855" s="483"/>
      <c r="G855" s="481"/>
      <c r="H855" s="481"/>
      <c r="I855" s="481"/>
      <c r="J855" s="481"/>
      <c r="K855" s="481"/>
      <c r="L855" s="481"/>
      <c r="M855" s="481"/>
      <c r="N855" s="481"/>
      <c r="O855" s="481"/>
      <c r="P855" s="481"/>
      <c r="Q855" s="481"/>
      <c r="R855" s="481"/>
      <c r="S855" s="481"/>
      <c r="T855" s="481"/>
      <c r="U855" s="481"/>
      <c r="V855" s="481"/>
      <c r="W855" s="481"/>
      <c r="X855" s="481"/>
      <c r="Y855" s="481"/>
      <c r="Z855" s="481"/>
      <c r="AA855" s="481"/>
      <c r="AB855" s="481"/>
    </row>
    <row r="856">
      <c r="A856" s="481"/>
      <c r="B856" s="481"/>
      <c r="C856" s="481"/>
      <c r="D856" s="483"/>
      <c r="E856" s="481"/>
      <c r="F856" s="483"/>
      <c r="G856" s="481"/>
      <c r="H856" s="481"/>
      <c r="I856" s="481"/>
      <c r="J856" s="481"/>
      <c r="K856" s="481"/>
      <c r="L856" s="481"/>
      <c r="M856" s="481"/>
      <c r="N856" s="481"/>
      <c r="O856" s="481"/>
      <c r="P856" s="481"/>
      <c r="Q856" s="481"/>
      <c r="R856" s="481"/>
      <c r="S856" s="481"/>
      <c r="T856" s="481"/>
      <c r="U856" s="481"/>
      <c r="V856" s="481"/>
      <c r="W856" s="481"/>
      <c r="X856" s="481"/>
      <c r="Y856" s="481"/>
      <c r="Z856" s="481"/>
      <c r="AA856" s="481"/>
      <c r="AB856" s="481"/>
    </row>
    <row r="857">
      <c r="A857" s="481"/>
      <c r="B857" s="481"/>
      <c r="C857" s="481"/>
      <c r="D857" s="483"/>
      <c r="E857" s="481"/>
      <c r="F857" s="483"/>
      <c r="G857" s="481"/>
      <c r="H857" s="481"/>
      <c r="I857" s="481"/>
      <c r="J857" s="481"/>
      <c r="K857" s="481"/>
      <c r="L857" s="481"/>
      <c r="M857" s="481"/>
      <c r="N857" s="481"/>
      <c r="O857" s="481"/>
      <c r="P857" s="481"/>
      <c r="Q857" s="481"/>
      <c r="R857" s="481"/>
      <c r="S857" s="481"/>
      <c r="T857" s="481"/>
      <c r="U857" s="481"/>
      <c r="V857" s="481"/>
      <c r="W857" s="481"/>
      <c r="X857" s="481"/>
      <c r="Y857" s="481"/>
      <c r="Z857" s="481"/>
      <c r="AA857" s="481"/>
      <c r="AB857" s="481"/>
    </row>
    <row r="858">
      <c r="A858" s="481"/>
      <c r="B858" s="481"/>
      <c r="C858" s="481"/>
      <c r="D858" s="483"/>
      <c r="E858" s="481"/>
      <c r="F858" s="483"/>
      <c r="G858" s="481"/>
      <c r="H858" s="481"/>
      <c r="I858" s="481"/>
      <c r="J858" s="481"/>
      <c r="K858" s="481"/>
      <c r="L858" s="481"/>
      <c r="M858" s="481"/>
      <c r="N858" s="481"/>
      <c r="O858" s="481"/>
      <c r="P858" s="481"/>
      <c r="Q858" s="481"/>
      <c r="R858" s="481"/>
      <c r="S858" s="481"/>
      <c r="T858" s="481"/>
      <c r="U858" s="481"/>
      <c r="V858" s="481"/>
      <c r="W858" s="481"/>
      <c r="X858" s="481"/>
      <c r="Y858" s="481"/>
      <c r="Z858" s="481"/>
      <c r="AA858" s="481"/>
      <c r="AB858" s="481"/>
    </row>
    <row r="859">
      <c r="A859" s="481"/>
      <c r="B859" s="481"/>
      <c r="C859" s="481"/>
      <c r="D859" s="483"/>
      <c r="E859" s="481"/>
      <c r="F859" s="483"/>
      <c r="G859" s="481"/>
      <c r="H859" s="481"/>
      <c r="I859" s="481"/>
      <c r="J859" s="481"/>
      <c r="K859" s="481"/>
      <c r="L859" s="481"/>
      <c r="M859" s="481"/>
      <c r="N859" s="481"/>
      <c r="O859" s="481"/>
      <c r="P859" s="481"/>
      <c r="Q859" s="481"/>
      <c r="R859" s="481"/>
      <c r="S859" s="481"/>
      <c r="T859" s="481"/>
      <c r="U859" s="481"/>
      <c r="V859" s="481"/>
      <c r="W859" s="481"/>
      <c r="X859" s="481"/>
      <c r="Y859" s="481"/>
      <c r="Z859" s="481"/>
      <c r="AA859" s="481"/>
      <c r="AB859" s="481"/>
    </row>
    <row r="860">
      <c r="A860" s="481"/>
      <c r="B860" s="481"/>
      <c r="C860" s="481"/>
      <c r="D860" s="483"/>
      <c r="E860" s="481"/>
      <c r="F860" s="483"/>
      <c r="G860" s="481"/>
      <c r="H860" s="481"/>
      <c r="I860" s="481"/>
      <c r="J860" s="481"/>
      <c r="K860" s="481"/>
      <c r="L860" s="481"/>
      <c r="M860" s="481"/>
      <c r="N860" s="481"/>
      <c r="O860" s="481"/>
      <c r="P860" s="481"/>
      <c r="Q860" s="481"/>
      <c r="R860" s="481"/>
      <c r="S860" s="481"/>
      <c r="T860" s="481"/>
      <c r="U860" s="481"/>
      <c r="V860" s="481"/>
      <c r="W860" s="481"/>
      <c r="X860" s="481"/>
      <c r="Y860" s="481"/>
      <c r="Z860" s="481"/>
      <c r="AA860" s="481"/>
      <c r="AB860" s="481"/>
    </row>
    <row r="861">
      <c r="A861" s="481"/>
      <c r="B861" s="481"/>
      <c r="C861" s="481"/>
      <c r="D861" s="483"/>
      <c r="E861" s="481"/>
      <c r="F861" s="483"/>
      <c r="G861" s="481"/>
      <c r="H861" s="481"/>
      <c r="I861" s="481"/>
      <c r="J861" s="481"/>
      <c r="K861" s="481"/>
      <c r="L861" s="481"/>
      <c r="M861" s="481"/>
      <c r="N861" s="481"/>
      <c r="O861" s="481"/>
      <c r="P861" s="481"/>
      <c r="Q861" s="481"/>
      <c r="R861" s="481"/>
      <c r="S861" s="481"/>
      <c r="T861" s="481"/>
      <c r="U861" s="481"/>
      <c r="V861" s="481"/>
      <c r="W861" s="481"/>
      <c r="X861" s="481"/>
      <c r="Y861" s="481"/>
      <c r="Z861" s="481"/>
      <c r="AA861" s="481"/>
      <c r="AB861" s="481"/>
    </row>
    <row r="862">
      <c r="A862" s="481"/>
      <c r="B862" s="481"/>
      <c r="C862" s="481"/>
      <c r="D862" s="483"/>
      <c r="E862" s="481"/>
      <c r="F862" s="483"/>
      <c r="G862" s="481"/>
      <c r="H862" s="481"/>
      <c r="I862" s="481"/>
      <c r="J862" s="481"/>
      <c r="K862" s="481"/>
      <c r="L862" s="481"/>
      <c r="M862" s="481"/>
      <c r="N862" s="481"/>
      <c r="O862" s="481"/>
      <c r="P862" s="481"/>
      <c r="Q862" s="481"/>
      <c r="R862" s="481"/>
      <c r="S862" s="481"/>
      <c r="T862" s="481"/>
      <c r="U862" s="481"/>
      <c r="V862" s="481"/>
      <c r="W862" s="481"/>
      <c r="X862" s="481"/>
      <c r="Y862" s="481"/>
      <c r="Z862" s="481"/>
      <c r="AA862" s="481"/>
      <c r="AB862" s="481"/>
    </row>
    <row r="863">
      <c r="A863" s="481"/>
      <c r="B863" s="481"/>
      <c r="C863" s="481"/>
      <c r="D863" s="483"/>
      <c r="E863" s="481"/>
      <c r="F863" s="483"/>
      <c r="G863" s="481"/>
      <c r="H863" s="481"/>
      <c r="I863" s="481"/>
      <c r="J863" s="481"/>
      <c r="K863" s="481"/>
      <c r="L863" s="481"/>
      <c r="M863" s="481"/>
      <c r="N863" s="481"/>
      <c r="O863" s="481"/>
      <c r="P863" s="481"/>
      <c r="Q863" s="481"/>
      <c r="R863" s="481"/>
      <c r="S863" s="481"/>
      <c r="T863" s="481"/>
      <c r="U863" s="481"/>
      <c r="V863" s="481"/>
      <c r="W863" s="481"/>
      <c r="X863" s="481"/>
      <c r="Y863" s="481"/>
      <c r="Z863" s="481"/>
      <c r="AA863" s="481"/>
      <c r="AB863" s="481"/>
    </row>
    <row r="864">
      <c r="A864" s="481"/>
      <c r="B864" s="481"/>
      <c r="C864" s="481"/>
      <c r="D864" s="483"/>
      <c r="E864" s="481"/>
      <c r="F864" s="483"/>
      <c r="G864" s="481"/>
      <c r="H864" s="481"/>
      <c r="I864" s="481"/>
      <c r="J864" s="481"/>
      <c r="K864" s="481"/>
      <c r="L864" s="481"/>
      <c r="M864" s="481"/>
      <c r="N864" s="481"/>
      <c r="O864" s="481"/>
      <c r="P864" s="481"/>
      <c r="Q864" s="481"/>
      <c r="R864" s="481"/>
      <c r="S864" s="481"/>
      <c r="T864" s="481"/>
      <c r="U864" s="481"/>
      <c r="V864" s="481"/>
      <c r="W864" s="481"/>
      <c r="X864" s="481"/>
      <c r="Y864" s="481"/>
      <c r="Z864" s="481"/>
      <c r="AA864" s="481"/>
      <c r="AB864" s="481"/>
    </row>
    <row r="865">
      <c r="A865" s="481"/>
      <c r="B865" s="481"/>
      <c r="C865" s="481"/>
      <c r="D865" s="483"/>
      <c r="E865" s="481"/>
      <c r="F865" s="483"/>
      <c r="G865" s="481"/>
      <c r="H865" s="481"/>
      <c r="I865" s="481"/>
      <c r="J865" s="481"/>
      <c r="K865" s="481"/>
      <c r="L865" s="481"/>
      <c r="M865" s="481"/>
      <c r="N865" s="481"/>
      <c r="O865" s="481"/>
      <c r="P865" s="481"/>
      <c r="Q865" s="481"/>
      <c r="R865" s="481"/>
      <c r="S865" s="481"/>
      <c r="T865" s="481"/>
      <c r="U865" s="481"/>
      <c r="V865" s="481"/>
      <c r="W865" s="481"/>
      <c r="X865" s="481"/>
      <c r="Y865" s="481"/>
      <c r="Z865" s="481"/>
      <c r="AA865" s="481"/>
      <c r="AB865" s="481"/>
    </row>
    <row r="866">
      <c r="A866" s="481"/>
      <c r="B866" s="481"/>
      <c r="C866" s="481"/>
      <c r="D866" s="483"/>
      <c r="E866" s="481"/>
      <c r="F866" s="483"/>
      <c r="G866" s="481"/>
      <c r="H866" s="481"/>
      <c r="I866" s="481"/>
      <c r="J866" s="481"/>
      <c r="K866" s="481"/>
      <c r="L866" s="481"/>
      <c r="M866" s="481"/>
      <c r="N866" s="481"/>
      <c r="O866" s="481"/>
      <c r="P866" s="481"/>
      <c r="Q866" s="481"/>
      <c r="R866" s="481"/>
      <c r="S866" s="481"/>
      <c r="T866" s="481"/>
      <c r="U866" s="481"/>
      <c r="V866" s="481"/>
      <c r="W866" s="481"/>
      <c r="X866" s="481"/>
      <c r="Y866" s="481"/>
      <c r="Z866" s="481"/>
      <c r="AA866" s="481"/>
      <c r="AB866" s="481"/>
    </row>
    <row r="867">
      <c r="A867" s="481"/>
      <c r="B867" s="481"/>
      <c r="C867" s="481"/>
      <c r="D867" s="483"/>
      <c r="E867" s="481"/>
      <c r="F867" s="483"/>
      <c r="G867" s="481"/>
      <c r="H867" s="481"/>
      <c r="I867" s="481"/>
      <c r="J867" s="481"/>
      <c r="K867" s="481"/>
      <c r="L867" s="481"/>
      <c r="M867" s="481"/>
      <c r="N867" s="481"/>
      <c r="O867" s="481"/>
      <c r="P867" s="481"/>
      <c r="Q867" s="481"/>
      <c r="R867" s="481"/>
      <c r="S867" s="481"/>
      <c r="T867" s="481"/>
      <c r="U867" s="481"/>
      <c r="V867" s="481"/>
      <c r="W867" s="481"/>
      <c r="X867" s="481"/>
      <c r="Y867" s="481"/>
      <c r="Z867" s="481"/>
      <c r="AA867" s="481"/>
      <c r="AB867" s="481"/>
    </row>
    <row r="868">
      <c r="A868" s="481"/>
      <c r="B868" s="481"/>
      <c r="C868" s="481"/>
      <c r="D868" s="483"/>
      <c r="E868" s="481"/>
      <c r="F868" s="483"/>
      <c r="G868" s="481"/>
      <c r="H868" s="481"/>
      <c r="I868" s="481"/>
      <c r="J868" s="481"/>
      <c r="K868" s="481"/>
      <c r="L868" s="481"/>
      <c r="M868" s="481"/>
      <c r="N868" s="481"/>
      <c r="O868" s="481"/>
      <c r="P868" s="481"/>
      <c r="Q868" s="481"/>
      <c r="R868" s="481"/>
      <c r="S868" s="481"/>
      <c r="T868" s="481"/>
      <c r="U868" s="481"/>
      <c r="V868" s="481"/>
      <c r="W868" s="481"/>
      <c r="X868" s="481"/>
      <c r="Y868" s="481"/>
      <c r="Z868" s="481"/>
      <c r="AA868" s="481"/>
      <c r="AB868" s="481"/>
    </row>
    <row r="869">
      <c r="A869" s="481"/>
      <c r="B869" s="481"/>
      <c r="C869" s="481"/>
      <c r="D869" s="483"/>
      <c r="E869" s="481"/>
      <c r="F869" s="483"/>
      <c r="G869" s="481"/>
      <c r="H869" s="481"/>
      <c r="I869" s="481"/>
      <c r="J869" s="481"/>
      <c r="K869" s="481"/>
      <c r="L869" s="481"/>
      <c r="M869" s="481"/>
      <c r="N869" s="481"/>
      <c r="O869" s="481"/>
      <c r="P869" s="481"/>
      <c r="Q869" s="481"/>
      <c r="R869" s="481"/>
      <c r="S869" s="481"/>
      <c r="T869" s="481"/>
      <c r="U869" s="481"/>
      <c r="V869" s="481"/>
      <c r="W869" s="481"/>
      <c r="X869" s="481"/>
      <c r="Y869" s="481"/>
      <c r="Z869" s="481"/>
      <c r="AA869" s="481"/>
      <c r="AB869" s="481"/>
    </row>
    <row r="870">
      <c r="A870" s="481"/>
      <c r="B870" s="481"/>
      <c r="C870" s="481"/>
      <c r="D870" s="483"/>
      <c r="E870" s="481"/>
      <c r="F870" s="483"/>
      <c r="G870" s="481"/>
      <c r="H870" s="481"/>
      <c r="I870" s="481"/>
      <c r="J870" s="481"/>
      <c r="K870" s="481"/>
      <c r="L870" s="481"/>
      <c r="M870" s="481"/>
      <c r="N870" s="481"/>
      <c r="O870" s="481"/>
      <c r="P870" s="481"/>
      <c r="Q870" s="481"/>
      <c r="R870" s="481"/>
      <c r="S870" s="481"/>
      <c r="T870" s="481"/>
      <c r="U870" s="481"/>
      <c r="V870" s="481"/>
      <c r="W870" s="481"/>
      <c r="X870" s="481"/>
      <c r="Y870" s="481"/>
      <c r="Z870" s="481"/>
      <c r="AA870" s="481"/>
      <c r="AB870" s="481"/>
    </row>
    <row r="871">
      <c r="A871" s="481"/>
      <c r="B871" s="481"/>
      <c r="C871" s="481"/>
      <c r="D871" s="483"/>
      <c r="E871" s="481"/>
      <c r="F871" s="483"/>
      <c r="G871" s="481"/>
      <c r="H871" s="481"/>
      <c r="I871" s="481"/>
      <c r="J871" s="481"/>
      <c r="K871" s="481"/>
      <c r="L871" s="481"/>
      <c r="M871" s="481"/>
      <c r="N871" s="481"/>
      <c r="O871" s="481"/>
      <c r="P871" s="481"/>
      <c r="Q871" s="481"/>
      <c r="R871" s="481"/>
      <c r="S871" s="481"/>
      <c r="T871" s="481"/>
      <c r="U871" s="481"/>
      <c r="V871" s="481"/>
      <c r="W871" s="481"/>
      <c r="X871" s="481"/>
      <c r="Y871" s="481"/>
      <c r="Z871" s="481"/>
      <c r="AA871" s="481"/>
      <c r="AB871" s="481"/>
    </row>
    <row r="872">
      <c r="A872" s="481"/>
      <c r="B872" s="481"/>
      <c r="C872" s="481"/>
      <c r="D872" s="483"/>
      <c r="E872" s="481"/>
      <c r="F872" s="483"/>
      <c r="G872" s="481"/>
      <c r="H872" s="481"/>
      <c r="I872" s="481"/>
      <c r="J872" s="481"/>
      <c r="K872" s="481"/>
      <c r="L872" s="481"/>
      <c r="M872" s="481"/>
      <c r="N872" s="481"/>
      <c r="O872" s="481"/>
      <c r="P872" s="481"/>
      <c r="Q872" s="481"/>
      <c r="R872" s="481"/>
      <c r="S872" s="481"/>
      <c r="T872" s="481"/>
      <c r="U872" s="481"/>
      <c r="V872" s="481"/>
      <c r="W872" s="481"/>
      <c r="X872" s="481"/>
      <c r="Y872" s="481"/>
      <c r="Z872" s="481"/>
      <c r="AA872" s="481"/>
      <c r="AB872" s="481"/>
    </row>
    <row r="873">
      <c r="A873" s="481"/>
      <c r="B873" s="481"/>
      <c r="C873" s="481"/>
      <c r="D873" s="483"/>
      <c r="E873" s="481"/>
      <c r="F873" s="483"/>
      <c r="G873" s="481"/>
      <c r="H873" s="481"/>
      <c r="I873" s="481"/>
      <c r="J873" s="481"/>
      <c r="K873" s="481"/>
      <c r="L873" s="481"/>
      <c r="M873" s="481"/>
      <c r="N873" s="481"/>
      <c r="O873" s="481"/>
      <c r="P873" s="481"/>
      <c r="Q873" s="481"/>
      <c r="R873" s="481"/>
      <c r="S873" s="481"/>
      <c r="T873" s="481"/>
      <c r="U873" s="481"/>
      <c r="V873" s="481"/>
      <c r="W873" s="481"/>
      <c r="X873" s="481"/>
      <c r="Y873" s="481"/>
      <c r="Z873" s="481"/>
      <c r="AA873" s="481"/>
      <c r="AB873" s="481"/>
    </row>
    <row r="874">
      <c r="A874" s="481"/>
      <c r="B874" s="481"/>
      <c r="C874" s="481"/>
      <c r="D874" s="483"/>
      <c r="E874" s="481"/>
      <c r="F874" s="483"/>
      <c r="G874" s="481"/>
      <c r="H874" s="481"/>
      <c r="I874" s="481"/>
      <c r="J874" s="481"/>
      <c r="K874" s="481"/>
      <c r="L874" s="481"/>
      <c r="M874" s="481"/>
      <c r="N874" s="481"/>
      <c r="O874" s="481"/>
      <c r="P874" s="481"/>
      <c r="Q874" s="481"/>
      <c r="R874" s="481"/>
      <c r="S874" s="481"/>
      <c r="T874" s="481"/>
      <c r="U874" s="481"/>
      <c r="V874" s="481"/>
      <c r="W874" s="481"/>
      <c r="X874" s="481"/>
      <c r="Y874" s="481"/>
      <c r="Z874" s="481"/>
      <c r="AA874" s="481"/>
      <c r="AB874" s="481"/>
    </row>
    <row r="875">
      <c r="A875" s="481"/>
      <c r="B875" s="481"/>
      <c r="C875" s="481"/>
      <c r="D875" s="483"/>
      <c r="E875" s="481"/>
      <c r="F875" s="483"/>
      <c r="G875" s="481"/>
      <c r="H875" s="481"/>
      <c r="I875" s="481"/>
      <c r="J875" s="481"/>
      <c r="K875" s="481"/>
      <c r="L875" s="481"/>
      <c r="M875" s="481"/>
      <c r="N875" s="481"/>
      <c r="O875" s="481"/>
      <c r="P875" s="481"/>
      <c r="Q875" s="481"/>
      <c r="R875" s="481"/>
      <c r="S875" s="481"/>
      <c r="T875" s="481"/>
      <c r="U875" s="481"/>
      <c r="V875" s="481"/>
      <c r="W875" s="481"/>
      <c r="X875" s="481"/>
      <c r="Y875" s="481"/>
      <c r="Z875" s="481"/>
      <c r="AA875" s="481"/>
      <c r="AB875" s="481"/>
    </row>
    <row r="876">
      <c r="A876" s="481"/>
      <c r="B876" s="481"/>
      <c r="C876" s="481"/>
      <c r="D876" s="483"/>
      <c r="E876" s="481"/>
      <c r="F876" s="483"/>
      <c r="G876" s="481"/>
      <c r="H876" s="481"/>
      <c r="I876" s="481"/>
      <c r="J876" s="481"/>
      <c r="K876" s="481"/>
      <c r="L876" s="481"/>
      <c r="M876" s="481"/>
      <c r="N876" s="481"/>
      <c r="O876" s="481"/>
      <c r="P876" s="481"/>
      <c r="Q876" s="481"/>
      <c r="R876" s="481"/>
      <c r="S876" s="481"/>
      <c r="T876" s="481"/>
      <c r="U876" s="481"/>
      <c r="V876" s="481"/>
      <c r="W876" s="481"/>
      <c r="X876" s="481"/>
      <c r="Y876" s="481"/>
      <c r="Z876" s="481"/>
      <c r="AA876" s="481"/>
      <c r="AB876" s="481"/>
    </row>
    <row r="877">
      <c r="A877" s="481"/>
      <c r="B877" s="481"/>
      <c r="C877" s="481"/>
      <c r="D877" s="483"/>
      <c r="E877" s="481"/>
      <c r="F877" s="483"/>
      <c r="G877" s="481"/>
      <c r="H877" s="481"/>
      <c r="I877" s="481"/>
      <c r="J877" s="481"/>
      <c r="K877" s="481"/>
      <c r="L877" s="481"/>
      <c r="M877" s="481"/>
      <c r="N877" s="481"/>
      <c r="O877" s="481"/>
      <c r="P877" s="481"/>
      <c r="Q877" s="481"/>
      <c r="R877" s="481"/>
      <c r="S877" s="481"/>
      <c r="T877" s="481"/>
      <c r="U877" s="481"/>
      <c r="V877" s="481"/>
      <c r="W877" s="481"/>
      <c r="X877" s="481"/>
      <c r="Y877" s="481"/>
      <c r="Z877" s="481"/>
      <c r="AA877" s="481"/>
      <c r="AB877" s="481"/>
    </row>
    <row r="878">
      <c r="A878" s="481"/>
      <c r="B878" s="481"/>
      <c r="C878" s="481"/>
      <c r="D878" s="483"/>
      <c r="E878" s="481"/>
      <c r="F878" s="483"/>
      <c r="G878" s="481"/>
      <c r="H878" s="481"/>
      <c r="I878" s="481"/>
      <c r="J878" s="481"/>
      <c r="K878" s="481"/>
      <c r="L878" s="481"/>
      <c r="M878" s="481"/>
      <c r="N878" s="481"/>
      <c r="O878" s="481"/>
      <c r="P878" s="481"/>
      <c r="Q878" s="481"/>
      <c r="R878" s="481"/>
      <c r="S878" s="481"/>
      <c r="T878" s="481"/>
      <c r="U878" s="481"/>
      <c r="V878" s="481"/>
      <c r="W878" s="481"/>
      <c r="X878" s="481"/>
      <c r="Y878" s="481"/>
      <c r="Z878" s="481"/>
      <c r="AA878" s="481"/>
      <c r="AB878" s="481"/>
    </row>
    <row r="879">
      <c r="A879" s="481"/>
      <c r="B879" s="481"/>
      <c r="C879" s="481"/>
      <c r="D879" s="483"/>
      <c r="E879" s="481"/>
      <c r="F879" s="483"/>
      <c r="G879" s="481"/>
      <c r="H879" s="481"/>
      <c r="I879" s="481"/>
      <c r="J879" s="481"/>
      <c r="K879" s="481"/>
      <c r="L879" s="481"/>
      <c r="M879" s="481"/>
      <c r="N879" s="481"/>
      <c r="O879" s="481"/>
      <c r="P879" s="481"/>
      <c r="Q879" s="481"/>
      <c r="R879" s="481"/>
      <c r="S879" s="481"/>
      <c r="T879" s="481"/>
      <c r="U879" s="481"/>
      <c r="V879" s="481"/>
      <c r="W879" s="481"/>
      <c r="X879" s="481"/>
      <c r="Y879" s="481"/>
      <c r="Z879" s="481"/>
      <c r="AA879" s="481"/>
      <c r="AB879" s="481"/>
    </row>
    <row r="880">
      <c r="A880" s="481"/>
      <c r="B880" s="481"/>
      <c r="C880" s="481"/>
      <c r="D880" s="483"/>
      <c r="E880" s="481"/>
      <c r="F880" s="483"/>
      <c r="G880" s="481"/>
      <c r="H880" s="481"/>
      <c r="I880" s="481"/>
      <c r="J880" s="481"/>
      <c r="K880" s="481"/>
      <c r="L880" s="481"/>
      <c r="M880" s="481"/>
      <c r="N880" s="481"/>
      <c r="O880" s="481"/>
      <c r="P880" s="481"/>
      <c r="Q880" s="481"/>
      <c r="R880" s="481"/>
      <c r="S880" s="481"/>
      <c r="T880" s="481"/>
      <c r="U880" s="481"/>
      <c r="V880" s="481"/>
      <c r="W880" s="481"/>
      <c r="X880" s="481"/>
      <c r="Y880" s="481"/>
      <c r="Z880" s="481"/>
      <c r="AA880" s="481"/>
      <c r="AB880" s="481"/>
    </row>
    <row r="881">
      <c r="A881" s="481"/>
      <c r="B881" s="481"/>
      <c r="C881" s="481"/>
      <c r="D881" s="483"/>
      <c r="E881" s="481"/>
      <c r="F881" s="483"/>
      <c r="G881" s="481"/>
      <c r="H881" s="481"/>
      <c r="I881" s="481"/>
      <c r="J881" s="481"/>
      <c r="K881" s="481"/>
      <c r="L881" s="481"/>
      <c r="M881" s="481"/>
      <c r="N881" s="481"/>
      <c r="O881" s="481"/>
      <c r="P881" s="481"/>
      <c r="Q881" s="481"/>
      <c r="R881" s="481"/>
      <c r="S881" s="481"/>
      <c r="T881" s="481"/>
      <c r="U881" s="481"/>
      <c r="V881" s="481"/>
      <c r="W881" s="481"/>
      <c r="X881" s="481"/>
      <c r="Y881" s="481"/>
      <c r="Z881" s="481"/>
      <c r="AA881" s="481"/>
      <c r="AB881" s="481"/>
    </row>
    <row r="882">
      <c r="A882" s="481"/>
      <c r="B882" s="481"/>
      <c r="C882" s="481"/>
      <c r="D882" s="483"/>
      <c r="E882" s="481"/>
      <c r="F882" s="483"/>
      <c r="G882" s="481"/>
      <c r="H882" s="481"/>
      <c r="I882" s="481"/>
      <c r="J882" s="481"/>
      <c r="K882" s="481"/>
      <c r="L882" s="481"/>
      <c r="M882" s="481"/>
      <c r="N882" s="481"/>
      <c r="O882" s="481"/>
      <c r="P882" s="481"/>
      <c r="Q882" s="481"/>
      <c r="R882" s="481"/>
      <c r="S882" s="481"/>
      <c r="T882" s="481"/>
      <c r="U882" s="481"/>
      <c r="V882" s="481"/>
      <c r="W882" s="481"/>
      <c r="X882" s="481"/>
      <c r="Y882" s="481"/>
      <c r="Z882" s="481"/>
      <c r="AA882" s="481"/>
      <c r="AB882" s="481"/>
    </row>
    <row r="883">
      <c r="A883" s="481"/>
      <c r="B883" s="481"/>
      <c r="C883" s="481"/>
      <c r="D883" s="483"/>
      <c r="E883" s="481"/>
      <c r="F883" s="483"/>
      <c r="G883" s="481"/>
      <c r="H883" s="481"/>
      <c r="I883" s="481"/>
      <c r="J883" s="481"/>
      <c r="K883" s="481"/>
      <c r="L883" s="481"/>
      <c r="M883" s="481"/>
      <c r="N883" s="481"/>
      <c r="O883" s="481"/>
      <c r="P883" s="481"/>
      <c r="Q883" s="481"/>
      <c r="R883" s="481"/>
      <c r="S883" s="481"/>
      <c r="T883" s="481"/>
      <c r="U883" s="481"/>
      <c r="V883" s="481"/>
      <c r="W883" s="481"/>
      <c r="X883" s="481"/>
      <c r="Y883" s="481"/>
      <c r="Z883" s="481"/>
      <c r="AA883" s="481"/>
      <c r="AB883" s="481"/>
    </row>
    <row r="884">
      <c r="A884" s="481"/>
      <c r="B884" s="481"/>
      <c r="C884" s="481"/>
      <c r="D884" s="483"/>
      <c r="E884" s="481"/>
      <c r="F884" s="483"/>
      <c r="G884" s="481"/>
      <c r="H884" s="481"/>
      <c r="I884" s="481"/>
      <c r="J884" s="481"/>
      <c r="K884" s="481"/>
      <c r="L884" s="481"/>
      <c r="M884" s="481"/>
      <c r="N884" s="481"/>
      <c r="O884" s="481"/>
      <c r="P884" s="481"/>
      <c r="Q884" s="481"/>
      <c r="R884" s="481"/>
      <c r="S884" s="481"/>
      <c r="T884" s="481"/>
      <c r="U884" s="481"/>
      <c r="V884" s="481"/>
      <c r="W884" s="481"/>
      <c r="X884" s="481"/>
      <c r="Y884" s="481"/>
      <c r="Z884" s="481"/>
      <c r="AA884" s="481"/>
      <c r="AB884" s="481"/>
    </row>
    <row r="885">
      <c r="A885" s="481"/>
      <c r="B885" s="481"/>
      <c r="C885" s="481"/>
      <c r="D885" s="483"/>
      <c r="E885" s="481"/>
      <c r="F885" s="483"/>
      <c r="G885" s="481"/>
      <c r="H885" s="481"/>
      <c r="I885" s="481"/>
      <c r="J885" s="481"/>
      <c r="K885" s="481"/>
      <c r="L885" s="481"/>
      <c r="M885" s="481"/>
      <c r="N885" s="481"/>
      <c r="O885" s="481"/>
      <c r="P885" s="481"/>
      <c r="Q885" s="481"/>
      <c r="R885" s="481"/>
      <c r="S885" s="481"/>
      <c r="T885" s="481"/>
      <c r="U885" s="481"/>
      <c r="V885" s="481"/>
      <c r="W885" s="481"/>
      <c r="X885" s="481"/>
      <c r="Y885" s="481"/>
      <c r="Z885" s="481"/>
      <c r="AA885" s="481"/>
      <c r="AB885" s="481"/>
    </row>
    <row r="886">
      <c r="A886" s="481"/>
      <c r="B886" s="481"/>
      <c r="C886" s="481"/>
      <c r="D886" s="483"/>
      <c r="E886" s="481"/>
      <c r="F886" s="483"/>
      <c r="G886" s="481"/>
      <c r="H886" s="481"/>
      <c r="I886" s="481"/>
      <c r="J886" s="481"/>
      <c r="K886" s="481"/>
      <c r="L886" s="481"/>
      <c r="M886" s="481"/>
      <c r="N886" s="481"/>
      <c r="O886" s="481"/>
      <c r="P886" s="481"/>
      <c r="Q886" s="481"/>
      <c r="R886" s="481"/>
      <c r="S886" s="481"/>
      <c r="T886" s="481"/>
      <c r="U886" s="481"/>
      <c r="V886" s="481"/>
      <c r="W886" s="481"/>
      <c r="X886" s="481"/>
      <c r="Y886" s="481"/>
      <c r="Z886" s="481"/>
      <c r="AA886" s="481"/>
      <c r="AB886" s="481"/>
    </row>
    <row r="887">
      <c r="A887" s="481"/>
      <c r="B887" s="481"/>
      <c r="C887" s="481"/>
      <c r="D887" s="483"/>
      <c r="E887" s="481"/>
      <c r="F887" s="483"/>
      <c r="G887" s="481"/>
      <c r="H887" s="481"/>
      <c r="I887" s="481"/>
      <c r="J887" s="481"/>
      <c r="K887" s="481"/>
      <c r="L887" s="481"/>
      <c r="M887" s="481"/>
      <c r="N887" s="481"/>
      <c r="O887" s="481"/>
      <c r="P887" s="481"/>
      <c r="Q887" s="481"/>
      <c r="R887" s="481"/>
      <c r="S887" s="481"/>
      <c r="T887" s="481"/>
      <c r="U887" s="481"/>
      <c r="V887" s="481"/>
      <c r="W887" s="481"/>
      <c r="X887" s="481"/>
      <c r="Y887" s="481"/>
      <c r="Z887" s="481"/>
      <c r="AA887" s="481"/>
      <c r="AB887" s="481"/>
    </row>
    <row r="888">
      <c r="A888" s="481"/>
      <c r="B888" s="481"/>
      <c r="C888" s="481"/>
      <c r="D888" s="483"/>
      <c r="E888" s="481"/>
      <c r="F888" s="483"/>
      <c r="G888" s="481"/>
      <c r="H888" s="481"/>
      <c r="I888" s="481"/>
      <c r="J888" s="481"/>
      <c r="K888" s="481"/>
      <c r="L888" s="481"/>
      <c r="M888" s="481"/>
      <c r="N888" s="481"/>
      <c r="O888" s="481"/>
      <c r="P888" s="481"/>
      <c r="Q888" s="481"/>
      <c r="R888" s="481"/>
      <c r="S888" s="481"/>
      <c r="T888" s="481"/>
      <c r="U888" s="481"/>
      <c r="V888" s="481"/>
      <c r="W888" s="481"/>
      <c r="X888" s="481"/>
      <c r="Y888" s="481"/>
      <c r="Z888" s="481"/>
      <c r="AA888" s="481"/>
      <c r="AB888" s="481"/>
    </row>
    <row r="889">
      <c r="A889" s="481"/>
      <c r="B889" s="481"/>
      <c r="C889" s="481"/>
      <c r="D889" s="483"/>
      <c r="E889" s="481"/>
      <c r="F889" s="483"/>
      <c r="G889" s="481"/>
      <c r="H889" s="481"/>
      <c r="I889" s="481"/>
      <c r="J889" s="481"/>
      <c r="K889" s="481"/>
      <c r="L889" s="481"/>
      <c r="M889" s="481"/>
      <c r="N889" s="481"/>
      <c r="O889" s="481"/>
      <c r="P889" s="481"/>
      <c r="Q889" s="481"/>
      <c r="R889" s="481"/>
      <c r="S889" s="481"/>
      <c r="T889" s="481"/>
      <c r="U889" s="481"/>
      <c r="V889" s="481"/>
      <c r="W889" s="481"/>
      <c r="X889" s="481"/>
      <c r="Y889" s="481"/>
      <c r="Z889" s="481"/>
      <c r="AA889" s="481"/>
      <c r="AB889" s="481"/>
    </row>
    <row r="890">
      <c r="A890" s="481"/>
      <c r="B890" s="481"/>
      <c r="C890" s="481"/>
      <c r="D890" s="483"/>
      <c r="E890" s="481"/>
      <c r="F890" s="483"/>
      <c r="G890" s="481"/>
      <c r="H890" s="481"/>
      <c r="I890" s="481"/>
      <c r="J890" s="481"/>
      <c r="K890" s="481"/>
      <c r="L890" s="481"/>
      <c r="M890" s="481"/>
      <c r="N890" s="481"/>
      <c r="O890" s="481"/>
      <c r="P890" s="481"/>
      <c r="Q890" s="481"/>
      <c r="R890" s="481"/>
      <c r="S890" s="481"/>
      <c r="T890" s="481"/>
      <c r="U890" s="481"/>
      <c r="V890" s="481"/>
      <c r="W890" s="481"/>
      <c r="X890" s="481"/>
      <c r="Y890" s="481"/>
      <c r="Z890" s="481"/>
      <c r="AA890" s="481"/>
      <c r="AB890" s="481"/>
    </row>
    <row r="891">
      <c r="A891" s="481"/>
      <c r="B891" s="481"/>
      <c r="C891" s="481"/>
      <c r="D891" s="483"/>
      <c r="E891" s="481"/>
      <c r="F891" s="483"/>
      <c r="G891" s="481"/>
      <c r="H891" s="481"/>
      <c r="I891" s="481"/>
      <c r="J891" s="481"/>
      <c r="K891" s="481"/>
      <c r="L891" s="481"/>
      <c r="M891" s="481"/>
      <c r="N891" s="481"/>
      <c r="O891" s="481"/>
      <c r="P891" s="481"/>
      <c r="Q891" s="481"/>
      <c r="R891" s="481"/>
      <c r="S891" s="481"/>
      <c r="T891" s="481"/>
      <c r="U891" s="481"/>
      <c r="V891" s="481"/>
      <c r="W891" s="481"/>
      <c r="X891" s="481"/>
      <c r="Y891" s="481"/>
      <c r="Z891" s="481"/>
      <c r="AA891" s="481"/>
      <c r="AB891" s="481"/>
    </row>
    <row r="892">
      <c r="A892" s="481"/>
      <c r="B892" s="481"/>
      <c r="C892" s="481"/>
      <c r="D892" s="483"/>
      <c r="E892" s="481"/>
      <c r="F892" s="483"/>
      <c r="G892" s="481"/>
      <c r="H892" s="481"/>
      <c r="I892" s="481"/>
      <c r="J892" s="481"/>
      <c r="K892" s="481"/>
      <c r="L892" s="481"/>
      <c r="M892" s="481"/>
      <c r="N892" s="481"/>
      <c r="O892" s="481"/>
      <c r="P892" s="481"/>
      <c r="Q892" s="481"/>
      <c r="R892" s="481"/>
      <c r="S892" s="481"/>
      <c r="T892" s="481"/>
      <c r="U892" s="481"/>
      <c r="V892" s="481"/>
      <c r="W892" s="481"/>
      <c r="X892" s="481"/>
      <c r="Y892" s="481"/>
      <c r="Z892" s="481"/>
      <c r="AA892" s="481"/>
      <c r="AB892" s="481"/>
    </row>
    <row r="893">
      <c r="A893" s="481"/>
      <c r="B893" s="481"/>
      <c r="C893" s="481"/>
      <c r="D893" s="483"/>
      <c r="E893" s="481"/>
      <c r="F893" s="483"/>
      <c r="G893" s="481"/>
      <c r="H893" s="481"/>
      <c r="I893" s="481"/>
      <c r="J893" s="481"/>
      <c r="K893" s="481"/>
      <c r="L893" s="481"/>
      <c r="M893" s="481"/>
      <c r="N893" s="481"/>
      <c r="O893" s="481"/>
      <c r="P893" s="481"/>
      <c r="Q893" s="481"/>
      <c r="R893" s="481"/>
      <c r="S893" s="481"/>
      <c r="T893" s="481"/>
      <c r="U893" s="481"/>
      <c r="V893" s="481"/>
      <c r="W893" s="481"/>
      <c r="X893" s="481"/>
      <c r="Y893" s="481"/>
      <c r="Z893" s="481"/>
      <c r="AA893" s="481"/>
      <c r="AB893" s="481"/>
    </row>
    <row r="894">
      <c r="A894" s="481"/>
      <c r="B894" s="481"/>
      <c r="C894" s="481"/>
      <c r="D894" s="483"/>
      <c r="E894" s="481"/>
      <c r="F894" s="483"/>
      <c r="G894" s="481"/>
      <c r="H894" s="481"/>
      <c r="I894" s="481"/>
      <c r="J894" s="481"/>
      <c r="K894" s="481"/>
      <c r="L894" s="481"/>
      <c r="M894" s="481"/>
      <c r="N894" s="481"/>
      <c r="O894" s="481"/>
      <c r="P894" s="481"/>
      <c r="Q894" s="481"/>
      <c r="R894" s="481"/>
      <c r="S894" s="481"/>
      <c r="T894" s="481"/>
      <c r="U894" s="481"/>
      <c r="V894" s="481"/>
      <c r="W894" s="481"/>
      <c r="X894" s="481"/>
      <c r="Y894" s="481"/>
      <c r="Z894" s="481"/>
      <c r="AA894" s="481"/>
      <c r="AB894" s="481"/>
    </row>
    <row r="895">
      <c r="A895" s="481"/>
      <c r="B895" s="481"/>
      <c r="C895" s="481"/>
      <c r="D895" s="483"/>
      <c r="E895" s="481"/>
      <c r="F895" s="483"/>
      <c r="G895" s="481"/>
      <c r="H895" s="481"/>
      <c r="I895" s="481"/>
      <c r="J895" s="481"/>
      <c r="K895" s="481"/>
      <c r="L895" s="481"/>
      <c r="M895" s="481"/>
      <c r="N895" s="481"/>
      <c r="O895" s="481"/>
      <c r="P895" s="481"/>
      <c r="Q895" s="481"/>
      <c r="R895" s="481"/>
      <c r="S895" s="481"/>
      <c r="T895" s="481"/>
      <c r="U895" s="481"/>
      <c r="V895" s="481"/>
      <c r="W895" s="481"/>
      <c r="X895" s="481"/>
      <c r="Y895" s="481"/>
      <c r="Z895" s="481"/>
      <c r="AA895" s="481"/>
      <c r="AB895" s="481"/>
    </row>
    <row r="896">
      <c r="A896" s="481"/>
      <c r="B896" s="481"/>
      <c r="C896" s="481"/>
      <c r="D896" s="483"/>
      <c r="E896" s="481"/>
      <c r="F896" s="483"/>
      <c r="G896" s="481"/>
      <c r="H896" s="481"/>
      <c r="I896" s="481"/>
      <c r="J896" s="481"/>
      <c r="K896" s="481"/>
      <c r="L896" s="481"/>
      <c r="M896" s="481"/>
      <c r="N896" s="481"/>
      <c r="O896" s="481"/>
      <c r="P896" s="481"/>
      <c r="Q896" s="481"/>
      <c r="R896" s="481"/>
      <c r="S896" s="481"/>
      <c r="T896" s="481"/>
      <c r="U896" s="481"/>
      <c r="V896" s="481"/>
      <c r="W896" s="481"/>
      <c r="X896" s="481"/>
      <c r="Y896" s="481"/>
      <c r="Z896" s="481"/>
      <c r="AA896" s="481"/>
      <c r="AB896" s="481"/>
    </row>
    <row r="897">
      <c r="A897" s="481"/>
      <c r="B897" s="481"/>
      <c r="C897" s="481"/>
      <c r="D897" s="483"/>
      <c r="E897" s="481"/>
      <c r="F897" s="483"/>
      <c r="G897" s="481"/>
      <c r="H897" s="481"/>
      <c r="I897" s="481"/>
      <c r="J897" s="481"/>
      <c r="K897" s="481"/>
      <c r="L897" s="481"/>
      <c r="M897" s="481"/>
      <c r="N897" s="481"/>
      <c r="O897" s="481"/>
      <c r="P897" s="481"/>
      <c r="Q897" s="481"/>
      <c r="R897" s="481"/>
      <c r="S897" s="481"/>
      <c r="T897" s="481"/>
      <c r="U897" s="481"/>
      <c r="V897" s="481"/>
      <c r="W897" s="481"/>
      <c r="X897" s="481"/>
      <c r="Y897" s="481"/>
      <c r="Z897" s="481"/>
      <c r="AA897" s="481"/>
      <c r="AB897" s="481"/>
    </row>
    <row r="898">
      <c r="A898" s="481"/>
      <c r="B898" s="481"/>
      <c r="C898" s="481"/>
      <c r="D898" s="483"/>
      <c r="E898" s="481"/>
      <c r="F898" s="483"/>
      <c r="G898" s="481"/>
      <c r="H898" s="481"/>
      <c r="I898" s="481"/>
      <c r="J898" s="481"/>
      <c r="K898" s="481"/>
      <c r="L898" s="481"/>
      <c r="M898" s="481"/>
      <c r="N898" s="481"/>
      <c r="O898" s="481"/>
      <c r="P898" s="481"/>
      <c r="Q898" s="481"/>
      <c r="R898" s="481"/>
      <c r="S898" s="481"/>
      <c r="T898" s="481"/>
      <c r="U898" s="481"/>
      <c r="V898" s="481"/>
      <c r="W898" s="481"/>
      <c r="X898" s="481"/>
      <c r="Y898" s="481"/>
      <c r="Z898" s="481"/>
      <c r="AA898" s="481"/>
      <c r="AB898" s="481"/>
    </row>
    <row r="899">
      <c r="A899" s="481"/>
      <c r="B899" s="481"/>
      <c r="C899" s="481"/>
      <c r="D899" s="483"/>
      <c r="E899" s="481"/>
      <c r="F899" s="483"/>
      <c r="G899" s="481"/>
      <c r="H899" s="481"/>
      <c r="I899" s="481"/>
      <c r="J899" s="481"/>
      <c r="K899" s="481"/>
      <c r="L899" s="481"/>
      <c r="M899" s="481"/>
      <c r="N899" s="481"/>
      <c r="O899" s="481"/>
      <c r="P899" s="481"/>
      <c r="Q899" s="481"/>
      <c r="R899" s="481"/>
      <c r="S899" s="481"/>
      <c r="T899" s="481"/>
      <c r="U899" s="481"/>
      <c r="V899" s="481"/>
      <c r="W899" s="481"/>
      <c r="X899" s="481"/>
      <c r="Y899" s="481"/>
      <c r="Z899" s="481"/>
      <c r="AA899" s="481"/>
      <c r="AB899" s="481"/>
    </row>
    <row r="900">
      <c r="A900" s="481"/>
      <c r="B900" s="481"/>
      <c r="C900" s="481"/>
      <c r="D900" s="483"/>
      <c r="E900" s="481"/>
      <c r="F900" s="483"/>
      <c r="G900" s="481"/>
      <c r="H900" s="481"/>
      <c r="I900" s="481"/>
      <c r="J900" s="481"/>
      <c r="K900" s="481"/>
      <c r="L900" s="481"/>
      <c r="M900" s="481"/>
      <c r="N900" s="481"/>
      <c r="O900" s="481"/>
      <c r="P900" s="481"/>
      <c r="Q900" s="481"/>
      <c r="R900" s="481"/>
      <c r="S900" s="481"/>
      <c r="T900" s="481"/>
      <c r="U900" s="481"/>
      <c r="V900" s="481"/>
      <c r="W900" s="481"/>
      <c r="X900" s="481"/>
      <c r="Y900" s="481"/>
      <c r="Z900" s="481"/>
      <c r="AA900" s="481"/>
      <c r="AB900" s="481"/>
    </row>
    <row r="901">
      <c r="A901" s="481"/>
      <c r="B901" s="481"/>
      <c r="C901" s="481"/>
      <c r="D901" s="483"/>
      <c r="E901" s="481"/>
      <c r="F901" s="483"/>
      <c r="G901" s="481"/>
      <c r="H901" s="481"/>
      <c r="I901" s="481"/>
      <c r="J901" s="481"/>
      <c r="K901" s="481"/>
      <c r="L901" s="481"/>
      <c r="M901" s="481"/>
      <c r="N901" s="481"/>
      <c r="O901" s="481"/>
      <c r="P901" s="481"/>
      <c r="Q901" s="481"/>
      <c r="R901" s="481"/>
      <c r="S901" s="481"/>
      <c r="T901" s="481"/>
      <c r="U901" s="481"/>
      <c r="V901" s="481"/>
      <c r="W901" s="481"/>
      <c r="X901" s="481"/>
      <c r="Y901" s="481"/>
      <c r="Z901" s="481"/>
      <c r="AA901" s="481"/>
      <c r="AB901" s="481"/>
    </row>
    <row r="902">
      <c r="A902" s="481"/>
      <c r="B902" s="481"/>
      <c r="C902" s="481"/>
      <c r="D902" s="483"/>
      <c r="E902" s="481"/>
      <c r="F902" s="483"/>
      <c r="G902" s="481"/>
      <c r="H902" s="481"/>
      <c r="I902" s="481"/>
      <c r="J902" s="481"/>
      <c r="K902" s="481"/>
      <c r="L902" s="481"/>
      <c r="M902" s="481"/>
      <c r="N902" s="481"/>
      <c r="O902" s="481"/>
      <c r="P902" s="481"/>
      <c r="Q902" s="481"/>
      <c r="R902" s="481"/>
      <c r="S902" s="481"/>
      <c r="T902" s="481"/>
      <c r="U902" s="481"/>
      <c r="V902" s="481"/>
      <c r="W902" s="481"/>
      <c r="X902" s="481"/>
      <c r="Y902" s="481"/>
      <c r="Z902" s="481"/>
      <c r="AA902" s="481"/>
      <c r="AB902" s="481"/>
    </row>
    <row r="903">
      <c r="A903" s="481"/>
      <c r="B903" s="481"/>
      <c r="C903" s="481"/>
      <c r="D903" s="483"/>
      <c r="E903" s="481"/>
      <c r="F903" s="483"/>
      <c r="G903" s="481"/>
      <c r="H903" s="481"/>
      <c r="I903" s="481"/>
      <c r="J903" s="481"/>
      <c r="K903" s="481"/>
      <c r="L903" s="481"/>
      <c r="M903" s="481"/>
      <c r="N903" s="481"/>
      <c r="O903" s="481"/>
      <c r="P903" s="481"/>
      <c r="Q903" s="481"/>
      <c r="R903" s="481"/>
      <c r="S903" s="481"/>
      <c r="T903" s="481"/>
      <c r="U903" s="481"/>
      <c r="V903" s="481"/>
      <c r="W903" s="481"/>
      <c r="X903" s="481"/>
      <c r="Y903" s="481"/>
      <c r="Z903" s="481"/>
      <c r="AA903" s="481"/>
      <c r="AB903" s="481"/>
    </row>
    <row r="904">
      <c r="A904" s="481"/>
      <c r="B904" s="481"/>
      <c r="C904" s="481"/>
      <c r="D904" s="483"/>
      <c r="E904" s="481"/>
      <c r="F904" s="483"/>
      <c r="G904" s="481"/>
      <c r="H904" s="481"/>
      <c r="I904" s="481"/>
      <c r="J904" s="481"/>
      <c r="K904" s="481"/>
      <c r="L904" s="481"/>
      <c r="M904" s="481"/>
      <c r="N904" s="481"/>
      <c r="O904" s="481"/>
      <c r="P904" s="481"/>
      <c r="Q904" s="481"/>
      <c r="R904" s="481"/>
      <c r="S904" s="481"/>
      <c r="T904" s="481"/>
      <c r="U904" s="481"/>
      <c r="V904" s="481"/>
      <c r="W904" s="481"/>
      <c r="X904" s="481"/>
      <c r="Y904" s="481"/>
      <c r="Z904" s="481"/>
      <c r="AA904" s="481"/>
      <c r="AB904" s="481"/>
    </row>
    <row r="905">
      <c r="A905" s="481"/>
      <c r="B905" s="481"/>
      <c r="C905" s="481"/>
      <c r="D905" s="483"/>
      <c r="E905" s="481"/>
      <c r="F905" s="483"/>
      <c r="G905" s="481"/>
      <c r="H905" s="481"/>
      <c r="I905" s="481"/>
      <c r="J905" s="481"/>
      <c r="K905" s="481"/>
      <c r="L905" s="481"/>
      <c r="M905" s="481"/>
      <c r="N905" s="481"/>
      <c r="O905" s="481"/>
      <c r="P905" s="481"/>
      <c r="Q905" s="481"/>
      <c r="R905" s="481"/>
      <c r="S905" s="481"/>
      <c r="T905" s="481"/>
      <c r="U905" s="481"/>
      <c r="V905" s="481"/>
      <c r="W905" s="481"/>
      <c r="X905" s="481"/>
      <c r="Y905" s="481"/>
      <c r="Z905" s="481"/>
      <c r="AA905" s="481"/>
      <c r="AB905" s="481"/>
    </row>
    <row r="906">
      <c r="A906" s="481"/>
      <c r="B906" s="481"/>
      <c r="C906" s="481"/>
      <c r="D906" s="483"/>
      <c r="E906" s="481"/>
      <c r="F906" s="483"/>
      <c r="G906" s="481"/>
      <c r="H906" s="481"/>
      <c r="I906" s="481"/>
      <c r="J906" s="481"/>
      <c r="K906" s="481"/>
      <c r="L906" s="481"/>
      <c r="M906" s="481"/>
      <c r="N906" s="481"/>
      <c r="O906" s="481"/>
      <c r="P906" s="481"/>
      <c r="Q906" s="481"/>
      <c r="R906" s="481"/>
      <c r="S906" s="481"/>
      <c r="T906" s="481"/>
      <c r="U906" s="481"/>
      <c r="V906" s="481"/>
      <c r="W906" s="481"/>
      <c r="X906" s="481"/>
      <c r="Y906" s="481"/>
      <c r="Z906" s="481"/>
      <c r="AA906" s="481"/>
      <c r="AB906" s="481"/>
    </row>
    <row r="907">
      <c r="A907" s="481"/>
      <c r="B907" s="481"/>
      <c r="C907" s="481"/>
      <c r="D907" s="483"/>
      <c r="E907" s="481"/>
      <c r="F907" s="483"/>
      <c r="G907" s="481"/>
      <c r="H907" s="481"/>
      <c r="I907" s="481"/>
      <c r="J907" s="481"/>
      <c r="K907" s="481"/>
      <c r="L907" s="481"/>
      <c r="M907" s="481"/>
      <c r="N907" s="481"/>
      <c r="O907" s="481"/>
      <c r="P907" s="481"/>
      <c r="Q907" s="481"/>
      <c r="R907" s="481"/>
      <c r="S907" s="481"/>
      <c r="T907" s="481"/>
      <c r="U907" s="481"/>
      <c r="V907" s="481"/>
      <c r="W907" s="481"/>
      <c r="X907" s="481"/>
      <c r="Y907" s="481"/>
      <c r="Z907" s="481"/>
      <c r="AA907" s="481"/>
      <c r="AB907" s="481"/>
    </row>
    <row r="908">
      <c r="A908" s="481"/>
      <c r="B908" s="481"/>
      <c r="C908" s="481"/>
      <c r="D908" s="483"/>
      <c r="E908" s="481"/>
      <c r="F908" s="483"/>
      <c r="G908" s="481"/>
      <c r="H908" s="481"/>
      <c r="I908" s="481"/>
      <c r="J908" s="481"/>
      <c r="K908" s="481"/>
      <c r="L908" s="481"/>
      <c r="M908" s="481"/>
      <c r="N908" s="481"/>
      <c r="O908" s="481"/>
      <c r="P908" s="481"/>
      <c r="Q908" s="481"/>
      <c r="R908" s="481"/>
      <c r="S908" s="481"/>
      <c r="T908" s="481"/>
      <c r="U908" s="481"/>
      <c r="V908" s="481"/>
      <c r="W908" s="481"/>
      <c r="X908" s="481"/>
      <c r="Y908" s="481"/>
      <c r="Z908" s="481"/>
      <c r="AA908" s="481"/>
      <c r="AB908" s="481"/>
    </row>
    <row r="909">
      <c r="A909" s="481"/>
      <c r="B909" s="481"/>
      <c r="C909" s="481"/>
      <c r="D909" s="483"/>
      <c r="E909" s="481"/>
      <c r="F909" s="483"/>
      <c r="G909" s="481"/>
      <c r="H909" s="481"/>
      <c r="I909" s="481"/>
      <c r="J909" s="481"/>
      <c r="K909" s="481"/>
      <c r="L909" s="481"/>
      <c r="M909" s="481"/>
      <c r="N909" s="481"/>
      <c r="O909" s="481"/>
      <c r="P909" s="481"/>
      <c r="Q909" s="481"/>
      <c r="R909" s="481"/>
      <c r="S909" s="481"/>
      <c r="T909" s="481"/>
      <c r="U909" s="481"/>
      <c r="V909" s="481"/>
      <c r="W909" s="481"/>
      <c r="X909" s="481"/>
      <c r="Y909" s="481"/>
      <c r="Z909" s="481"/>
      <c r="AA909" s="481"/>
      <c r="AB909" s="481"/>
    </row>
    <row r="910">
      <c r="A910" s="481"/>
      <c r="B910" s="481"/>
      <c r="C910" s="481"/>
      <c r="D910" s="483"/>
      <c r="E910" s="481"/>
      <c r="F910" s="483"/>
      <c r="G910" s="481"/>
      <c r="H910" s="481"/>
      <c r="I910" s="481"/>
      <c r="J910" s="481"/>
      <c r="K910" s="481"/>
      <c r="L910" s="481"/>
      <c r="M910" s="481"/>
      <c r="N910" s="481"/>
      <c r="O910" s="481"/>
      <c r="P910" s="481"/>
      <c r="Q910" s="481"/>
      <c r="R910" s="481"/>
      <c r="S910" s="481"/>
      <c r="T910" s="481"/>
      <c r="U910" s="481"/>
      <c r="V910" s="481"/>
      <c r="W910" s="481"/>
      <c r="X910" s="481"/>
      <c r="Y910" s="481"/>
      <c r="Z910" s="481"/>
      <c r="AA910" s="481"/>
      <c r="AB910" s="481"/>
    </row>
    <row r="911">
      <c r="A911" s="481"/>
      <c r="B911" s="481"/>
      <c r="C911" s="481"/>
      <c r="D911" s="483"/>
      <c r="E911" s="481"/>
      <c r="F911" s="483"/>
      <c r="G911" s="481"/>
      <c r="H911" s="481"/>
      <c r="I911" s="481"/>
      <c r="J911" s="481"/>
      <c r="K911" s="481"/>
      <c r="L911" s="481"/>
      <c r="M911" s="481"/>
      <c r="N911" s="481"/>
      <c r="O911" s="481"/>
      <c r="P911" s="481"/>
      <c r="Q911" s="481"/>
      <c r="R911" s="481"/>
      <c r="S911" s="481"/>
      <c r="T911" s="481"/>
      <c r="U911" s="481"/>
      <c r="V911" s="481"/>
      <c r="W911" s="481"/>
      <c r="X911" s="481"/>
      <c r="Y911" s="481"/>
      <c r="Z911" s="481"/>
      <c r="AA911" s="481"/>
      <c r="AB911" s="481"/>
    </row>
    <row r="912">
      <c r="A912" s="481"/>
      <c r="B912" s="481"/>
      <c r="C912" s="481"/>
      <c r="D912" s="483"/>
      <c r="E912" s="481"/>
      <c r="F912" s="483"/>
      <c r="G912" s="481"/>
      <c r="H912" s="481"/>
      <c r="I912" s="481"/>
      <c r="J912" s="481"/>
      <c r="K912" s="481"/>
      <c r="L912" s="481"/>
      <c r="M912" s="481"/>
      <c r="N912" s="481"/>
      <c r="O912" s="481"/>
      <c r="P912" s="481"/>
      <c r="Q912" s="481"/>
      <c r="R912" s="481"/>
      <c r="S912" s="481"/>
      <c r="T912" s="481"/>
      <c r="U912" s="481"/>
      <c r="V912" s="481"/>
      <c r="W912" s="481"/>
      <c r="X912" s="481"/>
      <c r="Y912" s="481"/>
      <c r="Z912" s="481"/>
      <c r="AA912" s="481"/>
      <c r="AB912" s="481"/>
    </row>
    <row r="913">
      <c r="A913" s="481"/>
      <c r="B913" s="481"/>
      <c r="C913" s="481"/>
      <c r="D913" s="483"/>
      <c r="E913" s="481"/>
      <c r="F913" s="483"/>
      <c r="G913" s="481"/>
      <c r="H913" s="481"/>
      <c r="I913" s="481"/>
      <c r="J913" s="481"/>
      <c r="K913" s="481"/>
      <c r="L913" s="481"/>
      <c r="M913" s="481"/>
      <c r="N913" s="481"/>
      <c r="O913" s="481"/>
      <c r="P913" s="481"/>
      <c r="Q913" s="481"/>
      <c r="R913" s="481"/>
      <c r="S913" s="481"/>
      <c r="T913" s="481"/>
      <c r="U913" s="481"/>
      <c r="V913" s="481"/>
      <c r="W913" s="481"/>
      <c r="X913" s="481"/>
      <c r="Y913" s="481"/>
      <c r="Z913" s="481"/>
      <c r="AA913" s="481"/>
      <c r="AB913" s="481"/>
    </row>
    <row r="914">
      <c r="A914" s="481"/>
      <c r="B914" s="481"/>
      <c r="C914" s="481"/>
      <c r="D914" s="483"/>
      <c r="E914" s="481"/>
      <c r="F914" s="483"/>
      <c r="G914" s="481"/>
      <c r="H914" s="481"/>
      <c r="I914" s="481"/>
      <c r="J914" s="481"/>
      <c r="K914" s="481"/>
      <c r="L914" s="481"/>
      <c r="M914" s="481"/>
      <c r="N914" s="481"/>
      <c r="O914" s="481"/>
      <c r="P914" s="481"/>
      <c r="Q914" s="481"/>
      <c r="R914" s="481"/>
      <c r="S914" s="481"/>
      <c r="T914" s="481"/>
      <c r="U914" s="481"/>
      <c r="V914" s="481"/>
      <c r="W914" s="481"/>
      <c r="X914" s="481"/>
      <c r="Y914" s="481"/>
      <c r="Z914" s="481"/>
      <c r="AA914" s="481"/>
      <c r="AB914" s="481"/>
    </row>
    <row r="915">
      <c r="A915" s="481"/>
      <c r="B915" s="481"/>
      <c r="C915" s="481"/>
      <c r="D915" s="483"/>
      <c r="E915" s="481"/>
      <c r="F915" s="483"/>
      <c r="G915" s="481"/>
      <c r="H915" s="481"/>
      <c r="I915" s="481"/>
      <c r="J915" s="481"/>
      <c r="K915" s="481"/>
      <c r="L915" s="481"/>
      <c r="M915" s="481"/>
      <c r="N915" s="481"/>
      <c r="O915" s="481"/>
      <c r="P915" s="481"/>
      <c r="Q915" s="481"/>
      <c r="R915" s="481"/>
      <c r="S915" s="481"/>
      <c r="T915" s="481"/>
      <c r="U915" s="481"/>
      <c r="V915" s="481"/>
      <c r="W915" s="481"/>
      <c r="X915" s="481"/>
      <c r="Y915" s="481"/>
      <c r="Z915" s="481"/>
      <c r="AA915" s="481"/>
      <c r="AB915" s="481"/>
    </row>
    <row r="916">
      <c r="A916" s="481"/>
      <c r="B916" s="481"/>
      <c r="C916" s="481"/>
      <c r="D916" s="483"/>
      <c r="E916" s="481"/>
      <c r="F916" s="483"/>
      <c r="G916" s="481"/>
      <c r="H916" s="481"/>
      <c r="I916" s="481"/>
      <c r="J916" s="481"/>
      <c r="K916" s="481"/>
      <c r="L916" s="481"/>
      <c r="M916" s="481"/>
      <c r="N916" s="481"/>
      <c r="O916" s="481"/>
      <c r="P916" s="481"/>
      <c r="Q916" s="481"/>
      <c r="R916" s="481"/>
      <c r="S916" s="481"/>
      <c r="T916" s="481"/>
      <c r="U916" s="481"/>
      <c r="V916" s="481"/>
      <c r="W916" s="481"/>
      <c r="X916" s="481"/>
      <c r="Y916" s="481"/>
      <c r="Z916" s="481"/>
      <c r="AA916" s="481"/>
      <c r="AB916" s="481"/>
    </row>
    <row r="917">
      <c r="A917" s="481"/>
      <c r="B917" s="481"/>
      <c r="C917" s="481"/>
      <c r="D917" s="483"/>
      <c r="E917" s="481"/>
      <c r="F917" s="483"/>
      <c r="G917" s="481"/>
      <c r="H917" s="481"/>
      <c r="I917" s="481"/>
      <c r="J917" s="481"/>
      <c r="K917" s="481"/>
      <c r="L917" s="481"/>
      <c r="M917" s="481"/>
      <c r="N917" s="481"/>
      <c r="O917" s="481"/>
      <c r="P917" s="481"/>
      <c r="Q917" s="481"/>
      <c r="R917" s="481"/>
      <c r="S917" s="481"/>
      <c r="T917" s="481"/>
      <c r="U917" s="481"/>
      <c r="V917" s="481"/>
      <c r="W917" s="481"/>
      <c r="X917" s="481"/>
      <c r="Y917" s="481"/>
      <c r="Z917" s="481"/>
      <c r="AA917" s="481"/>
      <c r="AB917" s="481"/>
    </row>
    <row r="918">
      <c r="A918" s="481"/>
      <c r="B918" s="481"/>
      <c r="C918" s="481"/>
      <c r="D918" s="483"/>
      <c r="E918" s="481"/>
      <c r="F918" s="483"/>
      <c r="G918" s="481"/>
      <c r="H918" s="481"/>
      <c r="I918" s="481"/>
      <c r="J918" s="481"/>
      <c r="K918" s="481"/>
      <c r="L918" s="481"/>
      <c r="M918" s="481"/>
      <c r="N918" s="481"/>
      <c r="O918" s="481"/>
      <c r="P918" s="481"/>
      <c r="Q918" s="481"/>
      <c r="R918" s="481"/>
      <c r="S918" s="481"/>
      <c r="T918" s="481"/>
      <c r="U918" s="481"/>
      <c r="V918" s="481"/>
      <c r="W918" s="481"/>
      <c r="X918" s="481"/>
      <c r="Y918" s="481"/>
      <c r="Z918" s="481"/>
      <c r="AA918" s="481"/>
      <c r="AB918" s="481"/>
    </row>
    <row r="919">
      <c r="A919" s="481"/>
      <c r="B919" s="481"/>
      <c r="C919" s="481"/>
      <c r="D919" s="483"/>
      <c r="E919" s="481"/>
      <c r="F919" s="483"/>
      <c r="G919" s="481"/>
      <c r="H919" s="481"/>
      <c r="I919" s="481"/>
      <c r="J919" s="481"/>
      <c r="K919" s="481"/>
      <c r="L919" s="481"/>
      <c r="M919" s="481"/>
      <c r="N919" s="481"/>
      <c r="O919" s="481"/>
      <c r="P919" s="481"/>
      <c r="Q919" s="481"/>
      <c r="R919" s="481"/>
      <c r="S919" s="481"/>
      <c r="T919" s="481"/>
      <c r="U919" s="481"/>
      <c r="V919" s="481"/>
      <c r="W919" s="481"/>
      <c r="X919" s="481"/>
      <c r="Y919" s="481"/>
      <c r="Z919" s="481"/>
      <c r="AA919" s="481"/>
      <c r="AB919" s="481"/>
    </row>
    <row r="920">
      <c r="A920" s="481"/>
      <c r="B920" s="481"/>
      <c r="C920" s="481"/>
      <c r="D920" s="483"/>
      <c r="E920" s="481"/>
      <c r="F920" s="483"/>
      <c r="G920" s="481"/>
      <c r="H920" s="481"/>
      <c r="I920" s="481"/>
      <c r="J920" s="481"/>
      <c r="K920" s="481"/>
      <c r="L920" s="481"/>
      <c r="M920" s="481"/>
      <c r="N920" s="481"/>
      <c r="O920" s="481"/>
      <c r="P920" s="481"/>
      <c r="Q920" s="481"/>
      <c r="R920" s="481"/>
      <c r="S920" s="481"/>
      <c r="T920" s="481"/>
      <c r="U920" s="481"/>
      <c r="V920" s="481"/>
      <c r="W920" s="481"/>
      <c r="X920" s="481"/>
      <c r="Y920" s="481"/>
      <c r="Z920" s="481"/>
      <c r="AA920" s="481"/>
      <c r="AB920" s="481"/>
    </row>
    <row r="921">
      <c r="A921" s="481"/>
      <c r="B921" s="481"/>
      <c r="C921" s="481"/>
      <c r="D921" s="483"/>
      <c r="E921" s="481"/>
      <c r="F921" s="483"/>
      <c r="G921" s="481"/>
      <c r="H921" s="481"/>
      <c r="I921" s="481"/>
      <c r="J921" s="481"/>
      <c r="K921" s="481"/>
      <c r="L921" s="481"/>
      <c r="M921" s="481"/>
      <c r="N921" s="481"/>
      <c r="O921" s="481"/>
      <c r="P921" s="481"/>
      <c r="Q921" s="481"/>
      <c r="R921" s="481"/>
      <c r="S921" s="481"/>
      <c r="T921" s="481"/>
      <c r="U921" s="481"/>
      <c r="V921" s="481"/>
      <c r="W921" s="481"/>
      <c r="X921" s="481"/>
      <c r="Y921" s="481"/>
      <c r="Z921" s="481"/>
      <c r="AA921" s="481"/>
      <c r="AB921" s="481"/>
    </row>
    <row r="922">
      <c r="A922" s="481"/>
      <c r="B922" s="481"/>
      <c r="C922" s="481"/>
      <c r="D922" s="483"/>
      <c r="E922" s="481"/>
      <c r="F922" s="483"/>
      <c r="G922" s="481"/>
      <c r="H922" s="481"/>
      <c r="I922" s="481"/>
      <c r="J922" s="481"/>
      <c r="K922" s="481"/>
      <c r="L922" s="481"/>
      <c r="M922" s="481"/>
      <c r="N922" s="481"/>
      <c r="O922" s="481"/>
      <c r="P922" s="481"/>
      <c r="Q922" s="481"/>
      <c r="R922" s="481"/>
      <c r="S922" s="481"/>
      <c r="T922" s="481"/>
      <c r="U922" s="481"/>
      <c r="V922" s="481"/>
      <c r="W922" s="481"/>
      <c r="X922" s="481"/>
      <c r="Y922" s="481"/>
      <c r="Z922" s="481"/>
      <c r="AA922" s="481"/>
      <c r="AB922" s="481"/>
    </row>
    <row r="923">
      <c r="A923" s="481"/>
      <c r="B923" s="481"/>
      <c r="C923" s="481"/>
      <c r="D923" s="483"/>
      <c r="E923" s="481"/>
      <c r="F923" s="483"/>
      <c r="G923" s="481"/>
      <c r="H923" s="481"/>
      <c r="I923" s="481"/>
      <c r="J923" s="481"/>
      <c r="K923" s="481"/>
      <c r="L923" s="481"/>
      <c r="M923" s="481"/>
      <c r="N923" s="481"/>
      <c r="O923" s="481"/>
      <c r="P923" s="481"/>
      <c r="Q923" s="481"/>
      <c r="R923" s="481"/>
      <c r="S923" s="481"/>
      <c r="T923" s="481"/>
      <c r="U923" s="481"/>
      <c r="V923" s="481"/>
      <c r="W923" s="481"/>
      <c r="X923" s="481"/>
      <c r="Y923" s="481"/>
      <c r="Z923" s="481"/>
      <c r="AA923" s="481"/>
      <c r="AB923" s="481"/>
    </row>
    <row r="924">
      <c r="A924" s="481"/>
      <c r="B924" s="481"/>
      <c r="C924" s="481"/>
      <c r="D924" s="483"/>
      <c r="E924" s="481"/>
      <c r="F924" s="483"/>
      <c r="G924" s="481"/>
      <c r="H924" s="481"/>
      <c r="I924" s="481"/>
      <c r="J924" s="481"/>
      <c r="K924" s="481"/>
      <c r="L924" s="481"/>
      <c r="M924" s="481"/>
      <c r="N924" s="481"/>
      <c r="O924" s="481"/>
      <c r="P924" s="481"/>
      <c r="Q924" s="481"/>
      <c r="R924" s="481"/>
      <c r="S924" s="481"/>
      <c r="T924" s="481"/>
      <c r="U924" s="481"/>
      <c r="V924" s="481"/>
      <c r="W924" s="481"/>
      <c r="X924" s="481"/>
      <c r="Y924" s="481"/>
      <c r="Z924" s="481"/>
      <c r="AA924" s="481"/>
      <c r="AB924" s="481"/>
    </row>
    <row r="925">
      <c r="A925" s="481"/>
      <c r="B925" s="481"/>
      <c r="C925" s="481"/>
      <c r="D925" s="483"/>
      <c r="E925" s="481"/>
      <c r="F925" s="483"/>
      <c r="G925" s="481"/>
      <c r="H925" s="481"/>
      <c r="I925" s="481"/>
      <c r="J925" s="481"/>
      <c r="K925" s="481"/>
      <c r="L925" s="481"/>
      <c r="M925" s="481"/>
      <c r="N925" s="481"/>
      <c r="O925" s="481"/>
      <c r="P925" s="481"/>
      <c r="Q925" s="481"/>
      <c r="R925" s="481"/>
      <c r="S925" s="481"/>
      <c r="T925" s="481"/>
      <c r="U925" s="481"/>
      <c r="V925" s="481"/>
      <c r="W925" s="481"/>
      <c r="X925" s="481"/>
      <c r="Y925" s="481"/>
      <c r="Z925" s="481"/>
      <c r="AA925" s="481"/>
      <c r="AB925" s="481"/>
    </row>
    <row r="926">
      <c r="A926" s="481"/>
      <c r="B926" s="481"/>
      <c r="C926" s="481"/>
      <c r="D926" s="483"/>
      <c r="E926" s="481"/>
      <c r="F926" s="483"/>
      <c r="G926" s="481"/>
      <c r="H926" s="481"/>
      <c r="I926" s="481"/>
      <c r="J926" s="481"/>
      <c r="K926" s="481"/>
      <c r="L926" s="481"/>
      <c r="M926" s="481"/>
      <c r="N926" s="481"/>
      <c r="O926" s="481"/>
      <c r="P926" s="481"/>
      <c r="Q926" s="481"/>
      <c r="R926" s="481"/>
      <c r="S926" s="481"/>
      <c r="T926" s="481"/>
      <c r="U926" s="481"/>
      <c r="V926" s="481"/>
      <c r="W926" s="481"/>
      <c r="X926" s="481"/>
      <c r="Y926" s="481"/>
      <c r="Z926" s="481"/>
      <c r="AA926" s="481"/>
      <c r="AB926" s="481"/>
    </row>
    <row r="927">
      <c r="A927" s="481"/>
      <c r="B927" s="481"/>
      <c r="C927" s="481"/>
      <c r="D927" s="483"/>
      <c r="E927" s="481"/>
      <c r="F927" s="483"/>
      <c r="G927" s="481"/>
      <c r="H927" s="481"/>
      <c r="I927" s="481"/>
      <c r="J927" s="481"/>
      <c r="K927" s="481"/>
      <c r="L927" s="481"/>
      <c r="M927" s="481"/>
      <c r="N927" s="481"/>
      <c r="O927" s="481"/>
      <c r="P927" s="481"/>
      <c r="Q927" s="481"/>
      <c r="R927" s="481"/>
      <c r="S927" s="481"/>
      <c r="T927" s="481"/>
      <c r="U927" s="481"/>
      <c r="V927" s="481"/>
      <c r="W927" s="481"/>
      <c r="X927" s="481"/>
      <c r="Y927" s="481"/>
      <c r="Z927" s="481"/>
      <c r="AA927" s="481"/>
      <c r="AB927" s="481"/>
    </row>
    <row r="928">
      <c r="A928" s="481"/>
      <c r="B928" s="481"/>
      <c r="C928" s="481"/>
      <c r="D928" s="483"/>
      <c r="E928" s="481"/>
      <c r="F928" s="483"/>
      <c r="G928" s="481"/>
      <c r="H928" s="481"/>
      <c r="I928" s="481"/>
      <c r="J928" s="481"/>
      <c r="K928" s="481"/>
      <c r="L928" s="481"/>
      <c r="M928" s="481"/>
      <c r="N928" s="481"/>
      <c r="O928" s="481"/>
      <c r="P928" s="481"/>
      <c r="Q928" s="481"/>
      <c r="R928" s="481"/>
      <c r="S928" s="481"/>
      <c r="T928" s="481"/>
      <c r="U928" s="481"/>
      <c r="V928" s="481"/>
      <c r="W928" s="481"/>
      <c r="X928" s="481"/>
      <c r="Y928" s="481"/>
      <c r="Z928" s="481"/>
      <c r="AA928" s="481"/>
      <c r="AB928" s="481"/>
    </row>
    <row r="929">
      <c r="A929" s="481"/>
      <c r="B929" s="481"/>
      <c r="C929" s="481"/>
      <c r="D929" s="483"/>
      <c r="E929" s="481"/>
      <c r="F929" s="483"/>
      <c r="G929" s="481"/>
      <c r="H929" s="481"/>
      <c r="I929" s="481"/>
      <c r="J929" s="481"/>
      <c r="K929" s="481"/>
      <c r="L929" s="481"/>
      <c r="M929" s="481"/>
      <c r="N929" s="481"/>
      <c r="O929" s="481"/>
      <c r="P929" s="481"/>
      <c r="Q929" s="481"/>
      <c r="R929" s="481"/>
      <c r="S929" s="481"/>
      <c r="T929" s="481"/>
      <c r="U929" s="481"/>
      <c r="V929" s="481"/>
      <c r="W929" s="481"/>
      <c r="X929" s="481"/>
      <c r="Y929" s="481"/>
      <c r="Z929" s="481"/>
      <c r="AA929" s="481"/>
      <c r="AB929" s="481"/>
    </row>
    <row r="930">
      <c r="A930" s="481"/>
      <c r="B930" s="481"/>
      <c r="C930" s="481"/>
      <c r="D930" s="483"/>
      <c r="E930" s="481"/>
      <c r="F930" s="483"/>
      <c r="G930" s="481"/>
      <c r="H930" s="481"/>
      <c r="I930" s="481"/>
      <c r="J930" s="481"/>
      <c r="K930" s="481"/>
      <c r="L930" s="481"/>
      <c r="M930" s="481"/>
      <c r="N930" s="481"/>
      <c r="O930" s="481"/>
      <c r="P930" s="481"/>
      <c r="Q930" s="481"/>
      <c r="R930" s="481"/>
      <c r="S930" s="481"/>
      <c r="T930" s="481"/>
      <c r="U930" s="481"/>
      <c r="V930" s="481"/>
      <c r="W930" s="481"/>
      <c r="X930" s="481"/>
      <c r="Y930" s="481"/>
      <c r="Z930" s="481"/>
      <c r="AA930" s="481"/>
      <c r="AB930" s="481"/>
    </row>
    <row r="931">
      <c r="A931" s="481"/>
      <c r="B931" s="481"/>
      <c r="C931" s="481"/>
      <c r="D931" s="483"/>
      <c r="E931" s="481"/>
      <c r="F931" s="483"/>
      <c r="G931" s="481"/>
      <c r="H931" s="481"/>
      <c r="I931" s="481"/>
      <c r="J931" s="481"/>
      <c r="K931" s="481"/>
      <c r="L931" s="481"/>
      <c r="M931" s="481"/>
      <c r="N931" s="481"/>
      <c r="O931" s="481"/>
      <c r="P931" s="481"/>
      <c r="Q931" s="481"/>
      <c r="R931" s="481"/>
      <c r="S931" s="481"/>
      <c r="T931" s="481"/>
      <c r="U931" s="481"/>
      <c r="V931" s="481"/>
      <c r="W931" s="481"/>
      <c r="X931" s="481"/>
      <c r="Y931" s="481"/>
      <c r="Z931" s="481"/>
      <c r="AA931" s="481"/>
      <c r="AB931" s="481"/>
    </row>
    <row r="932">
      <c r="A932" s="481"/>
      <c r="B932" s="481"/>
      <c r="C932" s="481"/>
      <c r="D932" s="483"/>
      <c r="E932" s="481"/>
      <c r="F932" s="483"/>
      <c r="G932" s="481"/>
      <c r="H932" s="481"/>
      <c r="I932" s="481"/>
      <c r="J932" s="481"/>
      <c r="K932" s="481"/>
      <c r="L932" s="481"/>
      <c r="M932" s="481"/>
      <c r="N932" s="481"/>
      <c r="O932" s="481"/>
      <c r="P932" s="481"/>
      <c r="Q932" s="481"/>
      <c r="R932" s="481"/>
      <c r="S932" s="481"/>
      <c r="T932" s="481"/>
      <c r="U932" s="481"/>
      <c r="V932" s="481"/>
      <c r="W932" s="481"/>
      <c r="X932" s="481"/>
      <c r="Y932" s="481"/>
      <c r="Z932" s="481"/>
      <c r="AA932" s="481"/>
      <c r="AB932" s="481"/>
    </row>
    <row r="933">
      <c r="A933" s="481"/>
      <c r="B933" s="481"/>
      <c r="C933" s="481"/>
      <c r="D933" s="483"/>
      <c r="E933" s="481"/>
      <c r="F933" s="483"/>
      <c r="G933" s="481"/>
      <c r="H933" s="481"/>
      <c r="I933" s="481"/>
      <c r="J933" s="481"/>
      <c r="K933" s="481"/>
      <c r="L933" s="481"/>
      <c r="M933" s="481"/>
      <c r="N933" s="481"/>
      <c r="O933" s="481"/>
      <c r="P933" s="481"/>
      <c r="Q933" s="481"/>
      <c r="R933" s="481"/>
      <c r="S933" s="481"/>
      <c r="T933" s="481"/>
      <c r="U933" s="481"/>
      <c r="V933" s="481"/>
      <c r="W933" s="481"/>
      <c r="X933" s="481"/>
      <c r="Y933" s="481"/>
      <c r="Z933" s="481"/>
      <c r="AA933" s="481"/>
      <c r="AB933" s="481"/>
    </row>
    <row r="934">
      <c r="A934" s="481"/>
      <c r="B934" s="481"/>
      <c r="C934" s="481"/>
      <c r="D934" s="483"/>
      <c r="E934" s="481"/>
      <c r="F934" s="483"/>
      <c r="G934" s="481"/>
      <c r="H934" s="481"/>
      <c r="I934" s="481"/>
      <c r="J934" s="481"/>
      <c r="K934" s="481"/>
      <c r="L934" s="481"/>
      <c r="M934" s="481"/>
      <c r="N934" s="481"/>
      <c r="O934" s="481"/>
      <c r="P934" s="481"/>
      <c r="Q934" s="481"/>
      <c r="R934" s="481"/>
      <c r="S934" s="481"/>
      <c r="T934" s="481"/>
      <c r="U934" s="481"/>
      <c r="V934" s="481"/>
      <c r="W934" s="481"/>
      <c r="X934" s="481"/>
      <c r="Y934" s="481"/>
      <c r="Z934" s="481"/>
      <c r="AA934" s="481"/>
      <c r="AB934" s="481"/>
    </row>
    <row r="935">
      <c r="A935" s="481"/>
      <c r="B935" s="481"/>
      <c r="C935" s="481"/>
      <c r="D935" s="483"/>
      <c r="E935" s="481"/>
      <c r="F935" s="483"/>
      <c r="G935" s="481"/>
      <c r="H935" s="481"/>
      <c r="I935" s="481"/>
      <c r="J935" s="481"/>
      <c r="K935" s="481"/>
      <c r="L935" s="481"/>
      <c r="M935" s="481"/>
      <c r="N935" s="481"/>
      <c r="O935" s="481"/>
      <c r="P935" s="481"/>
      <c r="Q935" s="481"/>
      <c r="R935" s="481"/>
      <c r="S935" s="481"/>
      <c r="T935" s="481"/>
      <c r="U935" s="481"/>
      <c r="V935" s="481"/>
      <c r="W935" s="481"/>
      <c r="X935" s="481"/>
      <c r="Y935" s="481"/>
      <c r="Z935" s="481"/>
      <c r="AA935" s="481"/>
      <c r="AB935" s="481"/>
    </row>
    <row r="936">
      <c r="A936" s="481"/>
      <c r="B936" s="481"/>
      <c r="C936" s="481"/>
      <c r="D936" s="483"/>
      <c r="E936" s="481"/>
      <c r="F936" s="483"/>
      <c r="G936" s="481"/>
      <c r="H936" s="481"/>
      <c r="I936" s="481"/>
      <c r="J936" s="481"/>
      <c r="K936" s="481"/>
      <c r="L936" s="481"/>
      <c r="M936" s="481"/>
      <c r="N936" s="481"/>
      <c r="O936" s="481"/>
      <c r="P936" s="481"/>
      <c r="Q936" s="481"/>
      <c r="R936" s="481"/>
      <c r="S936" s="481"/>
      <c r="T936" s="481"/>
      <c r="U936" s="481"/>
      <c r="V936" s="481"/>
      <c r="W936" s="481"/>
      <c r="X936" s="481"/>
      <c r="Y936" s="481"/>
      <c r="Z936" s="481"/>
      <c r="AA936" s="481"/>
      <c r="AB936" s="481"/>
    </row>
    <row r="937">
      <c r="A937" s="481"/>
      <c r="B937" s="481"/>
      <c r="C937" s="481"/>
      <c r="D937" s="483"/>
      <c r="E937" s="481"/>
      <c r="F937" s="483"/>
      <c r="G937" s="481"/>
      <c r="H937" s="481"/>
      <c r="I937" s="481"/>
      <c r="J937" s="481"/>
      <c r="K937" s="481"/>
      <c r="L937" s="481"/>
      <c r="M937" s="481"/>
      <c r="N937" s="481"/>
      <c r="O937" s="481"/>
      <c r="P937" s="481"/>
      <c r="Q937" s="481"/>
      <c r="R937" s="481"/>
      <c r="S937" s="481"/>
      <c r="T937" s="481"/>
      <c r="U937" s="481"/>
      <c r="V937" s="481"/>
      <c r="W937" s="481"/>
      <c r="X937" s="481"/>
      <c r="Y937" s="481"/>
      <c r="Z937" s="481"/>
      <c r="AA937" s="481"/>
      <c r="AB937" s="481"/>
    </row>
    <row r="938">
      <c r="A938" s="481"/>
      <c r="B938" s="481"/>
      <c r="C938" s="481"/>
      <c r="D938" s="483"/>
      <c r="E938" s="481"/>
      <c r="F938" s="483"/>
      <c r="G938" s="481"/>
      <c r="H938" s="481"/>
      <c r="I938" s="481"/>
      <c r="J938" s="481"/>
      <c r="K938" s="481"/>
      <c r="L938" s="481"/>
      <c r="M938" s="481"/>
      <c r="N938" s="481"/>
      <c r="O938" s="481"/>
      <c r="P938" s="481"/>
      <c r="Q938" s="481"/>
      <c r="R938" s="481"/>
      <c r="S938" s="481"/>
      <c r="T938" s="481"/>
      <c r="U938" s="481"/>
      <c r="V938" s="481"/>
      <c r="W938" s="481"/>
      <c r="X938" s="481"/>
      <c r="Y938" s="481"/>
      <c r="Z938" s="481"/>
      <c r="AA938" s="481"/>
      <c r="AB938" s="481"/>
    </row>
    <row r="939">
      <c r="A939" s="481"/>
      <c r="B939" s="481"/>
      <c r="C939" s="481"/>
      <c r="D939" s="483"/>
      <c r="E939" s="481"/>
      <c r="F939" s="483"/>
      <c r="G939" s="481"/>
      <c r="H939" s="481"/>
      <c r="I939" s="481"/>
      <c r="J939" s="481"/>
      <c r="K939" s="481"/>
      <c r="L939" s="481"/>
      <c r="M939" s="481"/>
      <c r="N939" s="481"/>
      <c r="O939" s="481"/>
      <c r="P939" s="481"/>
      <c r="Q939" s="481"/>
      <c r="R939" s="481"/>
      <c r="S939" s="481"/>
      <c r="T939" s="481"/>
      <c r="U939" s="481"/>
      <c r="V939" s="481"/>
      <c r="W939" s="481"/>
      <c r="X939" s="481"/>
      <c r="Y939" s="481"/>
      <c r="Z939" s="481"/>
      <c r="AA939" s="481"/>
      <c r="AB939" s="481"/>
    </row>
    <row r="940">
      <c r="A940" s="481"/>
      <c r="B940" s="481"/>
      <c r="C940" s="481"/>
      <c r="D940" s="483"/>
      <c r="E940" s="481"/>
      <c r="F940" s="483"/>
      <c r="G940" s="481"/>
      <c r="H940" s="481"/>
      <c r="I940" s="481"/>
      <c r="J940" s="481"/>
      <c r="K940" s="481"/>
      <c r="L940" s="481"/>
      <c r="M940" s="481"/>
      <c r="N940" s="481"/>
      <c r="O940" s="481"/>
      <c r="P940" s="481"/>
      <c r="Q940" s="481"/>
      <c r="R940" s="481"/>
      <c r="S940" s="481"/>
      <c r="T940" s="481"/>
      <c r="U940" s="481"/>
      <c r="V940" s="481"/>
      <c r="W940" s="481"/>
      <c r="X940" s="481"/>
      <c r="Y940" s="481"/>
      <c r="Z940" s="481"/>
      <c r="AA940" s="481"/>
      <c r="AB940" s="481"/>
    </row>
    <row r="941">
      <c r="A941" s="481"/>
      <c r="B941" s="481"/>
      <c r="C941" s="481"/>
      <c r="D941" s="483"/>
      <c r="E941" s="481"/>
      <c r="F941" s="483"/>
      <c r="G941" s="481"/>
      <c r="H941" s="481"/>
      <c r="I941" s="481"/>
      <c r="J941" s="481"/>
      <c r="K941" s="481"/>
      <c r="L941" s="481"/>
      <c r="M941" s="481"/>
      <c r="N941" s="481"/>
      <c r="O941" s="481"/>
      <c r="P941" s="481"/>
      <c r="Q941" s="481"/>
      <c r="R941" s="481"/>
      <c r="S941" s="481"/>
      <c r="T941" s="481"/>
      <c r="U941" s="481"/>
      <c r="V941" s="481"/>
      <c r="W941" s="481"/>
      <c r="X941" s="481"/>
      <c r="Y941" s="481"/>
      <c r="Z941" s="481"/>
      <c r="AA941" s="481"/>
      <c r="AB941" s="481"/>
    </row>
    <row r="942">
      <c r="A942" s="481"/>
      <c r="B942" s="481"/>
      <c r="C942" s="481"/>
      <c r="D942" s="483"/>
      <c r="E942" s="481"/>
      <c r="F942" s="483"/>
      <c r="G942" s="481"/>
      <c r="H942" s="481"/>
      <c r="I942" s="481"/>
      <c r="J942" s="481"/>
      <c r="K942" s="481"/>
      <c r="L942" s="481"/>
      <c r="M942" s="481"/>
      <c r="N942" s="481"/>
      <c r="O942" s="481"/>
      <c r="P942" s="481"/>
      <c r="Q942" s="481"/>
      <c r="R942" s="481"/>
      <c r="S942" s="481"/>
      <c r="T942" s="481"/>
      <c r="U942" s="481"/>
      <c r="V942" s="481"/>
      <c r="W942" s="481"/>
      <c r="X942" s="481"/>
      <c r="Y942" s="481"/>
      <c r="Z942" s="481"/>
      <c r="AA942" s="481"/>
      <c r="AB942" s="481"/>
    </row>
    <row r="943">
      <c r="A943" s="481"/>
      <c r="B943" s="481"/>
      <c r="C943" s="481"/>
      <c r="D943" s="483"/>
      <c r="E943" s="481"/>
      <c r="F943" s="483"/>
      <c r="G943" s="481"/>
      <c r="H943" s="481"/>
      <c r="I943" s="481"/>
      <c r="J943" s="481"/>
      <c r="K943" s="481"/>
      <c r="L943" s="481"/>
      <c r="M943" s="481"/>
      <c r="N943" s="481"/>
      <c r="O943" s="481"/>
      <c r="P943" s="481"/>
      <c r="Q943" s="481"/>
      <c r="R943" s="481"/>
      <c r="S943" s="481"/>
      <c r="T943" s="481"/>
      <c r="U943" s="481"/>
      <c r="V943" s="481"/>
      <c r="W943" s="481"/>
      <c r="X943" s="481"/>
      <c r="Y943" s="481"/>
      <c r="Z943" s="481"/>
      <c r="AA943" s="481"/>
      <c r="AB943" s="481"/>
    </row>
    <row r="944">
      <c r="A944" s="481"/>
      <c r="B944" s="481"/>
      <c r="C944" s="481"/>
      <c r="D944" s="483"/>
      <c r="E944" s="481"/>
      <c r="F944" s="483"/>
      <c r="G944" s="481"/>
      <c r="H944" s="481"/>
      <c r="I944" s="481"/>
      <c r="J944" s="481"/>
      <c r="K944" s="481"/>
      <c r="L944" s="481"/>
      <c r="M944" s="481"/>
      <c r="N944" s="481"/>
      <c r="O944" s="481"/>
      <c r="P944" s="481"/>
      <c r="Q944" s="481"/>
      <c r="R944" s="481"/>
      <c r="S944" s="481"/>
      <c r="T944" s="481"/>
      <c r="U944" s="481"/>
      <c r="V944" s="481"/>
      <c r="W944" s="481"/>
      <c r="X944" s="481"/>
      <c r="Y944" s="481"/>
      <c r="Z944" s="481"/>
      <c r="AA944" s="481"/>
      <c r="AB944" s="481"/>
    </row>
    <row r="945">
      <c r="A945" s="481"/>
      <c r="B945" s="481"/>
      <c r="C945" s="481"/>
      <c r="D945" s="483"/>
      <c r="E945" s="481"/>
      <c r="F945" s="483"/>
      <c r="G945" s="481"/>
      <c r="H945" s="481"/>
      <c r="I945" s="481"/>
      <c r="J945" s="481"/>
      <c r="K945" s="481"/>
      <c r="L945" s="481"/>
      <c r="M945" s="481"/>
      <c r="N945" s="481"/>
      <c r="O945" s="481"/>
      <c r="P945" s="481"/>
      <c r="Q945" s="481"/>
      <c r="R945" s="481"/>
      <c r="S945" s="481"/>
      <c r="T945" s="481"/>
      <c r="U945" s="481"/>
      <c r="V945" s="481"/>
      <c r="W945" s="481"/>
      <c r="X945" s="481"/>
      <c r="Y945" s="481"/>
      <c r="Z945" s="481"/>
      <c r="AA945" s="481"/>
      <c r="AB945" s="481"/>
    </row>
    <row r="946">
      <c r="A946" s="481"/>
      <c r="B946" s="481"/>
      <c r="C946" s="481"/>
      <c r="D946" s="483"/>
      <c r="E946" s="481"/>
      <c r="F946" s="483"/>
      <c r="G946" s="481"/>
      <c r="H946" s="481"/>
      <c r="I946" s="481"/>
      <c r="J946" s="481"/>
      <c r="K946" s="481"/>
      <c r="L946" s="481"/>
      <c r="M946" s="481"/>
      <c r="N946" s="481"/>
      <c r="O946" s="481"/>
      <c r="P946" s="481"/>
      <c r="Q946" s="481"/>
      <c r="R946" s="481"/>
      <c r="S946" s="481"/>
      <c r="T946" s="481"/>
      <c r="U946" s="481"/>
      <c r="V946" s="481"/>
      <c r="W946" s="481"/>
      <c r="X946" s="481"/>
      <c r="Y946" s="481"/>
      <c r="Z946" s="481"/>
      <c r="AA946" s="481"/>
      <c r="AB946" s="481"/>
    </row>
    <row r="947">
      <c r="A947" s="481"/>
      <c r="B947" s="481"/>
      <c r="C947" s="481"/>
      <c r="D947" s="483"/>
      <c r="E947" s="481"/>
      <c r="F947" s="483"/>
      <c r="G947" s="481"/>
      <c r="H947" s="481"/>
      <c r="I947" s="481"/>
      <c r="J947" s="481"/>
      <c r="K947" s="481"/>
      <c r="L947" s="481"/>
      <c r="M947" s="481"/>
      <c r="N947" s="481"/>
      <c r="O947" s="481"/>
      <c r="P947" s="481"/>
      <c r="Q947" s="481"/>
      <c r="R947" s="481"/>
      <c r="S947" s="481"/>
      <c r="T947" s="481"/>
      <c r="U947" s="481"/>
      <c r="V947" s="481"/>
      <c r="W947" s="481"/>
      <c r="X947" s="481"/>
      <c r="Y947" s="481"/>
      <c r="Z947" s="481"/>
      <c r="AA947" s="481"/>
      <c r="AB947" s="481"/>
    </row>
    <row r="948">
      <c r="A948" s="481"/>
      <c r="B948" s="481"/>
      <c r="C948" s="481"/>
      <c r="D948" s="483"/>
      <c r="E948" s="481"/>
      <c r="F948" s="483"/>
      <c r="G948" s="481"/>
      <c r="H948" s="481"/>
      <c r="I948" s="481"/>
      <c r="J948" s="481"/>
      <c r="K948" s="481"/>
      <c r="L948" s="481"/>
      <c r="M948" s="481"/>
      <c r="N948" s="481"/>
      <c r="O948" s="481"/>
      <c r="P948" s="481"/>
      <c r="Q948" s="481"/>
      <c r="R948" s="481"/>
      <c r="S948" s="481"/>
      <c r="T948" s="481"/>
      <c r="U948" s="481"/>
      <c r="V948" s="481"/>
      <c r="W948" s="481"/>
      <c r="X948" s="481"/>
      <c r="Y948" s="481"/>
      <c r="Z948" s="481"/>
      <c r="AA948" s="481"/>
      <c r="AB948" s="481"/>
    </row>
    <row r="949">
      <c r="A949" s="481"/>
      <c r="B949" s="481"/>
      <c r="C949" s="481"/>
      <c r="D949" s="483"/>
      <c r="E949" s="481"/>
      <c r="F949" s="483"/>
      <c r="G949" s="481"/>
      <c r="H949" s="481"/>
      <c r="I949" s="481"/>
      <c r="J949" s="481"/>
      <c r="K949" s="481"/>
      <c r="L949" s="481"/>
      <c r="M949" s="481"/>
      <c r="N949" s="481"/>
      <c r="O949" s="481"/>
      <c r="P949" s="481"/>
      <c r="Q949" s="481"/>
      <c r="R949" s="481"/>
      <c r="S949" s="481"/>
      <c r="T949" s="481"/>
      <c r="U949" s="481"/>
      <c r="V949" s="481"/>
      <c r="W949" s="481"/>
      <c r="X949" s="481"/>
      <c r="Y949" s="481"/>
      <c r="Z949" s="481"/>
      <c r="AA949" s="481"/>
      <c r="AB949" s="481"/>
    </row>
    <row r="950">
      <c r="A950" s="481"/>
      <c r="B950" s="481"/>
      <c r="C950" s="481"/>
      <c r="D950" s="483"/>
      <c r="E950" s="481"/>
      <c r="F950" s="483"/>
      <c r="G950" s="481"/>
      <c r="H950" s="481"/>
      <c r="I950" s="481"/>
      <c r="J950" s="481"/>
      <c r="K950" s="481"/>
      <c r="L950" s="481"/>
      <c r="M950" s="481"/>
      <c r="N950" s="481"/>
      <c r="O950" s="481"/>
      <c r="P950" s="481"/>
      <c r="Q950" s="481"/>
      <c r="R950" s="481"/>
      <c r="S950" s="481"/>
      <c r="T950" s="481"/>
      <c r="U950" s="481"/>
      <c r="V950" s="481"/>
      <c r="W950" s="481"/>
      <c r="X950" s="481"/>
      <c r="Y950" s="481"/>
      <c r="Z950" s="481"/>
      <c r="AA950" s="481"/>
      <c r="AB950" s="481"/>
    </row>
    <row r="951">
      <c r="A951" s="481"/>
      <c r="B951" s="481"/>
      <c r="C951" s="481"/>
      <c r="D951" s="483"/>
      <c r="E951" s="481"/>
      <c r="F951" s="483"/>
      <c r="G951" s="481"/>
      <c r="H951" s="481"/>
      <c r="I951" s="481"/>
      <c r="J951" s="481"/>
      <c r="K951" s="481"/>
      <c r="L951" s="481"/>
      <c r="M951" s="481"/>
      <c r="N951" s="481"/>
      <c r="O951" s="481"/>
      <c r="P951" s="481"/>
      <c r="Q951" s="481"/>
      <c r="R951" s="481"/>
      <c r="S951" s="481"/>
      <c r="T951" s="481"/>
      <c r="U951" s="481"/>
      <c r="V951" s="481"/>
      <c r="W951" s="481"/>
      <c r="X951" s="481"/>
      <c r="Y951" s="481"/>
      <c r="Z951" s="481"/>
      <c r="AA951" s="481"/>
      <c r="AB951" s="481"/>
    </row>
    <row r="952">
      <c r="A952" s="481"/>
      <c r="B952" s="481"/>
      <c r="C952" s="481"/>
      <c r="D952" s="483"/>
      <c r="E952" s="481"/>
      <c r="F952" s="483"/>
      <c r="G952" s="481"/>
      <c r="H952" s="481"/>
      <c r="I952" s="481"/>
      <c r="J952" s="481"/>
      <c r="K952" s="481"/>
      <c r="L952" s="481"/>
      <c r="M952" s="481"/>
      <c r="N952" s="481"/>
      <c r="O952" s="481"/>
      <c r="P952" s="481"/>
      <c r="Q952" s="481"/>
      <c r="R952" s="481"/>
      <c r="S952" s="481"/>
      <c r="T952" s="481"/>
      <c r="U952" s="481"/>
      <c r="V952" s="481"/>
      <c r="W952" s="481"/>
      <c r="X952" s="481"/>
      <c r="Y952" s="481"/>
      <c r="Z952" s="481"/>
      <c r="AA952" s="481"/>
      <c r="AB952" s="481"/>
    </row>
    <row r="953">
      <c r="A953" s="481"/>
      <c r="B953" s="481"/>
      <c r="C953" s="481"/>
      <c r="D953" s="483"/>
      <c r="E953" s="481"/>
      <c r="F953" s="483"/>
      <c r="G953" s="481"/>
      <c r="H953" s="481"/>
      <c r="I953" s="481"/>
      <c r="J953" s="481"/>
      <c r="K953" s="481"/>
      <c r="L953" s="481"/>
      <c r="M953" s="481"/>
      <c r="N953" s="481"/>
      <c r="O953" s="481"/>
      <c r="P953" s="481"/>
      <c r="Q953" s="481"/>
      <c r="R953" s="481"/>
      <c r="S953" s="481"/>
      <c r="T953" s="481"/>
      <c r="U953" s="481"/>
      <c r="V953" s="481"/>
      <c r="W953" s="481"/>
      <c r="X953" s="481"/>
      <c r="Y953" s="481"/>
      <c r="Z953" s="481"/>
      <c r="AA953" s="481"/>
      <c r="AB953" s="481"/>
    </row>
    <row r="954">
      <c r="A954" s="481"/>
      <c r="B954" s="481"/>
      <c r="C954" s="481"/>
      <c r="D954" s="483"/>
      <c r="E954" s="481"/>
      <c r="F954" s="483"/>
      <c r="G954" s="481"/>
      <c r="H954" s="481"/>
      <c r="I954" s="481"/>
      <c r="J954" s="481"/>
      <c r="K954" s="481"/>
      <c r="L954" s="481"/>
      <c r="M954" s="481"/>
      <c r="N954" s="481"/>
      <c r="O954" s="481"/>
      <c r="P954" s="481"/>
      <c r="Q954" s="481"/>
      <c r="R954" s="481"/>
      <c r="S954" s="481"/>
      <c r="T954" s="481"/>
      <c r="U954" s="481"/>
      <c r="V954" s="481"/>
      <c r="W954" s="481"/>
      <c r="X954" s="481"/>
      <c r="Y954" s="481"/>
      <c r="Z954" s="481"/>
      <c r="AA954" s="481"/>
      <c r="AB954" s="481"/>
    </row>
    <row r="955">
      <c r="A955" s="481"/>
      <c r="B955" s="481"/>
      <c r="C955" s="481"/>
      <c r="D955" s="483"/>
      <c r="E955" s="481"/>
      <c r="F955" s="483"/>
      <c r="G955" s="481"/>
      <c r="H955" s="481"/>
      <c r="I955" s="481"/>
      <c r="J955" s="481"/>
      <c r="K955" s="481"/>
      <c r="L955" s="481"/>
      <c r="M955" s="481"/>
      <c r="N955" s="481"/>
      <c r="O955" s="481"/>
      <c r="P955" s="481"/>
      <c r="Q955" s="481"/>
      <c r="R955" s="481"/>
      <c r="S955" s="481"/>
      <c r="T955" s="481"/>
      <c r="U955" s="481"/>
      <c r="V955" s="481"/>
      <c r="W955" s="481"/>
      <c r="X955" s="481"/>
      <c r="Y955" s="481"/>
      <c r="Z955" s="481"/>
      <c r="AA955" s="481"/>
      <c r="AB955" s="481"/>
    </row>
    <row r="956">
      <c r="A956" s="481"/>
      <c r="B956" s="481"/>
      <c r="C956" s="481"/>
      <c r="D956" s="483"/>
      <c r="E956" s="481"/>
      <c r="F956" s="483"/>
      <c r="G956" s="481"/>
      <c r="H956" s="481"/>
      <c r="I956" s="481"/>
      <c r="J956" s="481"/>
      <c r="K956" s="481"/>
      <c r="L956" s="481"/>
      <c r="M956" s="481"/>
      <c r="N956" s="481"/>
      <c r="O956" s="481"/>
      <c r="P956" s="481"/>
      <c r="Q956" s="481"/>
      <c r="R956" s="481"/>
      <c r="S956" s="481"/>
      <c r="T956" s="481"/>
      <c r="U956" s="481"/>
      <c r="V956" s="481"/>
      <c r="W956" s="481"/>
      <c r="X956" s="481"/>
      <c r="Y956" s="481"/>
      <c r="Z956" s="481"/>
      <c r="AA956" s="481"/>
      <c r="AB956" s="481"/>
    </row>
    <row r="957">
      <c r="A957" s="481"/>
      <c r="B957" s="481"/>
      <c r="C957" s="481"/>
      <c r="D957" s="483"/>
      <c r="E957" s="481"/>
      <c r="F957" s="483"/>
      <c r="G957" s="481"/>
      <c r="H957" s="481"/>
      <c r="I957" s="481"/>
      <c r="J957" s="481"/>
      <c r="K957" s="481"/>
      <c r="L957" s="481"/>
      <c r="M957" s="481"/>
      <c r="N957" s="481"/>
      <c r="O957" s="481"/>
      <c r="P957" s="481"/>
      <c r="Q957" s="481"/>
      <c r="R957" s="481"/>
      <c r="S957" s="481"/>
      <c r="T957" s="481"/>
      <c r="U957" s="481"/>
      <c r="V957" s="481"/>
      <c r="W957" s="481"/>
      <c r="X957" s="481"/>
      <c r="Y957" s="481"/>
      <c r="Z957" s="481"/>
      <c r="AA957" s="481"/>
      <c r="AB957" s="481"/>
    </row>
    <row r="958">
      <c r="A958" s="481"/>
      <c r="B958" s="481"/>
      <c r="C958" s="481"/>
      <c r="D958" s="483"/>
      <c r="E958" s="481"/>
      <c r="F958" s="483"/>
      <c r="G958" s="481"/>
      <c r="H958" s="481"/>
      <c r="I958" s="481"/>
      <c r="J958" s="481"/>
      <c r="K958" s="481"/>
      <c r="L958" s="481"/>
      <c r="M958" s="481"/>
      <c r="N958" s="481"/>
      <c r="O958" s="481"/>
      <c r="P958" s="481"/>
      <c r="Q958" s="481"/>
      <c r="R958" s="481"/>
      <c r="S958" s="481"/>
      <c r="T958" s="481"/>
      <c r="U958" s="481"/>
      <c r="V958" s="481"/>
      <c r="W958" s="481"/>
      <c r="X958" s="481"/>
      <c r="Y958" s="481"/>
      <c r="Z958" s="481"/>
      <c r="AA958" s="481"/>
      <c r="AB958" s="481"/>
    </row>
    <row r="959">
      <c r="A959" s="481"/>
      <c r="B959" s="481"/>
      <c r="C959" s="481"/>
      <c r="D959" s="483"/>
      <c r="E959" s="481"/>
      <c r="F959" s="483"/>
      <c r="G959" s="481"/>
      <c r="H959" s="481"/>
      <c r="I959" s="481"/>
      <c r="J959" s="481"/>
      <c r="K959" s="481"/>
      <c r="L959" s="481"/>
      <c r="M959" s="481"/>
      <c r="N959" s="481"/>
      <c r="O959" s="481"/>
      <c r="P959" s="481"/>
      <c r="Q959" s="481"/>
      <c r="R959" s="481"/>
      <c r="S959" s="481"/>
      <c r="T959" s="481"/>
      <c r="U959" s="481"/>
      <c r="V959" s="481"/>
      <c r="W959" s="481"/>
      <c r="X959" s="481"/>
      <c r="Y959" s="481"/>
      <c r="Z959" s="481"/>
      <c r="AA959" s="481"/>
      <c r="AB959" s="481"/>
    </row>
    <row r="960">
      <c r="A960" s="481"/>
      <c r="B960" s="481"/>
      <c r="C960" s="481"/>
      <c r="D960" s="483"/>
      <c r="E960" s="481"/>
      <c r="F960" s="483"/>
      <c r="G960" s="481"/>
      <c r="H960" s="481"/>
      <c r="I960" s="481"/>
      <c r="J960" s="481"/>
      <c r="K960" s="481"/>
      <c r="L960" s="481"/>
      <c r="M960" s="481"/>
      <c r="N960" s="481"/>
      <c r="O960" s="481"/>
      <c r="P960" s="481"/>
      <c r="Q960" s="481"/>
      <c r="R960" s="481"/>
      <c r="S960" s="481"/>
      <c r="T960" s="481"/>
      <c r="U960" s="481"/>
      <c r="V960" s="481"/>
      <c r="W960" s="481"/>
      <c r="X960" s="481"/>
      <c r="Y960" s="481"/>
      <c r="Z960" s="481"/>
      <c r="AA960" s="481"/>
      <c r="AB960" s="481"/>
    </row>
    <row r="961">
      <c r="A961" s="481"/>
      <c r="B961" s="481"/>
      <c r="C961" s="481"/>
      <c r="D961" s="483"/>
      <c r="E961" s="481"/>
      <c r="F961" s="483"/>
      <c r="G961" s="481"/>
      <c r="H961" s="481"/>
      <c r="I961" s="481"/>
      <c r="J961" s="481"/>
      <c r="K961" s="481"/>
      <c r="L961" s="481"/>
      <c r="M961" s="481"/>
      <c r="N961" s="481"/>
      <c r="O961" s="481"/>
      <c r="P961" s="481"/>
      <c r="Q961" s="481"/>
      <c r="R961" s="481"/>
      <c r="S961" s="481"/>
      <c r="T961" s="481"/>
      <c r="U961" s="481"/>
      <c r="V961" s="481"/>
      <c r="W961" s="481"/>
      <c r="X961" s="481"/>
      <c r="Y961" s="481"/>
      <c r="Z961" s="481"/>
      <c r="AA961" s="481"/>
      <c r="AB961" s="481"/>
    </row>
    <row r="962">
      <c r="A962" s="481"/>
      <c r="B962" s="481"/>
      <c r="C962" s="481"/>
      <c r="D962" s="483"/>
      <c r="E962" s="481"/>
      <c r="F962" s="483"/>
      <c r="G962" s="481"/>
      <c r="H962" s="481"/>
      <c r="I962" s="481"/>
      <c r="J962" s="481"/>
      <c r="K962" s="481"/>
      <c r="L962" s="481"/>
      <c r="M962" s="481"/>
      <c r="N962" s="481"/>
      <c r="O962" s="481"/>
      <c r="P962" s="481"/>
      <c r="Q962" s="481"/>
      <c r="R962" s="481"/>
      <c r="S962" s="481"/>
      <c r="T962" s="481"/>
      <c r="U962" s="481"/>
      <c r="V962" s="481"/>
      <c r="W962" s="481"/>
      <c r="X962" s="481"/>
      <c r="Y962" s="481"/>
      <c r="Z962" s="481"/>
      <c r="AA962" s="481"/>
      <c r="AB962" s="481"/>
    </row>
    <row r="963">
      <c r="A963" s="481"/>
      <c r="B963" s="481"/>
      <c r="C963" s="481"/>
      <c r="D963" s="483"/>
      <c r="E963" s="481"/>
      <c r="F963" s="483"/>
      <c r="G963" s="481"/>
      <c r="H963" s="481"/>
      <c r="I963" s="481"/>
      <c r="J963" s="481"/>
      <c r="K963" s="481"/>
      <c r="L963" s="481"/>
      <c r="M963" s="481"/>
      <c r="N963" s="481"/>
      <c r="O963" s="481"/>
      <c r="P963" s="481"/>
      <c r="Q963" s="481"/>
      <c r="R963" s="481"/>
      <c r="S963" s="481"/>
      <c r="T963" s="481"/>
      <c r="U963" s="481"/>
      <c r="V963" s="481"/>
      <c r="W963" s="481"/>
      <c r="X963" s="481"/>
      <c r="Y963" s="481"/>
      <c r="Z963" s="481"/>
      <c r="AA963" s="481"/>
      <c r="AB963" s="481"/>
    </row>
    <row r="964">
      <c r="A964" s="481"/>
      <c r="B964" s="481"/>
      <c r="C964" s="481"/>
      <c r="D964" s="483"/>
      <c r="E964" s="481"/>
      <c r="F964" s="483"/>
      <c r="G964" s="481"/>
      <c r="H964" s="481"/>
      <c r="I964" s="481"/>
      <c r="J964" s="481"/>
      <c r="K964" s="481"/>
      <c r="L964" s="481"/>
      <c r="M964" s="481"/>
      <c r="N964" s="481"/>
      <c r="O964" s="481"/>
      <c r="P964" s="481"/>
      <c r="Q964" s="481"/>
      <c r="R964" s="481"/>
      <c r="S964" s="481"/>
      <c r="T964" s="481"/>
      <c r="U964" s="481"/>
      <c r="V964" s="481"/>
      <c r="W964" s="481"/>
      <c r="X964" s="481"/>
      <c r="Y964" s="481"/>
      <c r="Z964" s="481"/>
      <c r="AA964" s="481"/>
      <c r="AB964" s="481"/>
    </row>
    <row r="965">
      <c r="A965" s="481"/>
      <c r="B965" s="481"/>
      <c r="C965" s="481"/>
      <c r="D965" s="483"/>
      <c r="E965" s="481"/>
      <c r="F965" s="483"/>
      <c r="G965" s="481"/>
      <c r="H965" s="481"/>
      <c r="I965" s="481"/>
      <c r="J965" s="481"/>
      <c r="K965" s="481"/>
      <c r="L965" s="481"/>
      <c r="M965" s="481"/>
      <c r="N965" s="481"/>
      <c r="O965" s="481"/>
      <c r="P965" s="481"/>
      <c r="Q965" s="481"/>
      <c r="R965" s="481"/>
      <c r="S965" s="481"/>
      <c r="T965" s="481"/>
      <c r="U965" s="481"/>
      <c r="V965" s="481"/>
      <c r="W965" s="481"/>
      <c r="X965" s="481"/>
      <c r="Y965" s="481"/>
      <c r="Z965" s="481"/>
      <c r="AA965" s="481"/>
      <c r="AB965" s="481"/>
    </row>
    <row r="966">
      <c r="A966" s="481"/>
      <c r="B966" s="481"/>
      <c r="C966" s="481"/>
      <c r="D966" s="483"/>
      <c r="E966" s="481"/>
      <c r="F966" s="483"/>
      <c r="G966" s="481"/>
      <c r="H966" s="481"/>
      <c r="I966" s="481"/>
      <c r="J966" s="481"/>
      <c r="K966" s="481"/>
      <c r="L966" s="481"/>
      <c r="M966" s="481"/>
      <c r="N966" s="481"/>
      <c r="O966" s="481"/>
      <c r="P966" s="481"/>
      <c r="Q966" s="481"/>
      <c r="R966" s="481"/>
      <c r="S966" s="481"/>
      <c r="T966" s="481"/>
      <c r="U966" s="481"/>
      <c r="V966" s="481"/>
      <c r="W966" s="481"/>
      <c r="X966" s="481"/>
      <c r="Y966" s="481"/>
      <c r="Z966" s="481"/>
      <c r="AA966" s="481"/>
      <c r="AB966" s="481"/>
    </row>
    <row r="967">
      <c r="A967" s="481"/>
      <c r="B967" s="481"/>
      <c r="C967" s="481"/>
      <c r="D967" s="483"/>
      <c r="E967" s="481"/>
      <c r="F967" s="483"/>
      <c r="G967" s="481"/>
      <c r="H967" s="481"/>
      <c r="I967" s="481"/>
      <c r="J967" s="481"/>
      <c r="K967" s="481"/>
      <c r="L967" s="481"/>
      <c r="M967" s="481"/>
      <c r="N967" s="481"/>
      <c r="O967" s="481"/>
      <c r="P967" s="481"/>
      <c r="Q967" s="481"/>
      <c r="R967" s="481"/>
      <c r="S967" s="481"/>
      <c r="T967" s="481"/>
      <c r="U967" s="481"/>
      <c r="V967" s="481"/>
      <c r="W967" s="481"/>
      <c r="X967" s="481"/>
      <c r="Y967" s="481"/>
      <c r="Z967" s="481"/>
      <c r="AA967" s="481"/>
      <c r="AB967" s="481"/>
    </row>
    <row r="968">
      <c r="A968" s="481"/>
      <c r="B968" s="481"/>
      <c r="C968" s="481"/>
      <c r="D968" s="483"/>
      <c r="E968" s="481"/>
      <c r="F968" s="483"/>
      <c r="G968" s="481"/>
      <c r="H968" s="481"/>
      <c r="I968" s="481"/>
      <c r="J968" s="481"/>
      <c r="K968" s="481"/>
      <c r="L968" s="481"/>
      <c r="M968" s="481"/>
      <c r="N968" s="481"/>
      <c r="O968" s="481"/>
      <c r="P968" s="481"/>
      <c r="Q968" s="481"/>
      <c r="R968" s="481"/>
      <c r="S968" s="481"/>
      <c r="T968" s="481"/>
      <c r="U968" s="481"/>
      <c r="V968" s="481"/>
      <c r="W968" s="481"/>
      <c r="X968" s="481"/>
      <c r="Y968" s="481"/>
      <c r="Z968" s="481"/>
      <c r="AA968" s="481"/>
      <c r="AB968" s="481"/>
    </row>
    <row r="969">
      <c r="A969" s="481"/>
      <c r="B969" s="481"/>
      <c r="C969" s="481"/>
      <c r="D969" s="483"/>
      <c r="E969" s="481"/>
      <c r="F969" s="483"/>
      <c r="G969" s="481"/>
      <c r="H969" s="481"/>
      <c r="I969" s="481"/>
      <c r="J969" s="481"/>
      <c r="K969" s="481"/>
      <c r="L969" s="481"/>
      <c r="M969" s="481"/>
      <c r="N969" s="481"/>
      <c r="O969" s="481"/>
      <c r="P969" s="481"/>
      <c r="Q969" s="481"/>
      <c r="R969" s="481"/>
      <c r="S969" s="481"/>
      <c r="T969" s="481"/>
      <c r="U969" s="481"/>
      <c r="V969" s="481"/>
      <c r="W969" s="481"/>
      <c r="X969" s="481"/>
      <c r="Y969" s="481"/>
      <c r="Z969" s="481"/>
      <c r="AA969" s="481"/>
      <c r="AB969" s="481"/>
    </row>
    <row r="970">
      <c r="A970" s="481"/>
      <c r="B970" s="481"/>
      <c r="C970" s="481"/>
      <c r="D970" s="483"/>
      <c r="E970" s="481"/>
      <c r="F970" s="483"/>
      <c r="G970" s="481"/>
      <c r="H970" s="481"/>
      <c r="I970" s="481"/>
      <c r="J970" s="481"/>
      <c r="K970" s="481"/>
      <c r="L970" s="481"/>
      <c r="M970" s="481"/>
      <c r="N970" s="481"/>
      <c r="O970" s="481"/>
      <c r="P970" s="481"/>
      <c r="Q970" s="481"/>
      <c r="R970" s="481"/>
      <c r="S970" s="481"/>
      <c r="T970" s="481"/>
      <c r="U970" s="481"/>
      <c r="V970" s="481"/>
      <c r="W970" s="481"/>
      <c r="X970" s="481"/>
      <c r="Y970" s="481"/>
      <c r="Z970" s="481"/>
      <c r="AA970" s="481"/>
      <c r="AB970" s="481"/>
    </row>
    <row r="971">
      <c r="A971" s="481"/>
      <c r="B971" s="481"/>
      <c r="C971" s="481"/>
      <c r="D971" s="483"/>
      <c r="E971" s="481"/>
      <c r="F971" s="483"/>
      <c r="G971" s="481"/>
      <c r="H971" s="481"/>
      <c r="I971" s="481"/>
      <c r="J971" s="481"/>
      <c r="K971" s="481"/>
      <c r="L971" s="481"/>
      <c r="M971" s="481"/>
      <c r="N971" s="481"/>
      <c r="O971" s="481"/>
      <c r="P971" s="481"/>
      <c r="Q971" s="481"/>
      <c r="R971" s="481"/>
      <c r="S971" s="481"/>
      <c r="T971" s="481"/>
      <c r="U971" s="481"/>
      <c r="V971" s="481"/>
      <c r="W971" s="481"/>
      <c r="X971" s="481"/>
      <c r="Y971" s="481"/>
      <c r="Z971" s="481"/>
      <c r="AA971" s="481"/>
      <c r="AB971" s="481"/>
    </row>
    <row r="972">
      <c r="A972" s="481"/>
      <c r="B972" s="481"/>
      <c r="C972" s="481"/>
      <c r="D972" s="483"/>
      <c r="E972" s="481"/>
      <c r="F972" s="483"/>
      <c r="G972" s="481"/>
      <c r="H972" s="481"/>
      <c r="I972" s="481"/>
      <c r="J972" s="481"/>
      <c r="K972" s="481"/>
      <c r="L972" s="481"/>
      <c r="M972" s="481"/>
      <c r="N972" s="481"/>
      <c r="O972" s="481"/>
      <c r="P972" s="481"/>
      <c r="Q972" s="481"/>
      <c r="R972" s="481"/>
      <c r="S972" s="481"/>
      <c r="T972" s="481"/>
      <c r="U972" s="481"/>
      <c r="V972" s="481"/>
      <c r="W972" s="481"/>
      <c r="X972" s="481"/>
      <c r="Y972" s="481"/>
      <c r="Z972" s="481"/>
      <c r="AA972" s="481"/>
      <c r="AB972" s="481"/>
    </row>
    <row r="973">
      <c r="A973" s="481"/>
      <c r="B973" s="481"/>
      <c r="C973" s="481"/>
      <c r="D973" s="483"/>
      <c r="E973" s="481"/>
      <c r="F973" s="483"/>
      <c r="G973" s="481"/>
      <c r="H973" s="481"/>
      <c r="I973" s="481"/>
      <c r="J973" s="481"/>
      <c r="K973" s="481"/>
      <c r="L973" s="481"/>
      <c r="M973" s="481"/>
      <c r="N973" s="481"/>
      <c r="O973" s="481"/>
      <c r="P973" s="481"/>
      <c r="Q973" s="481"/>
      <c r="R973" s="481"/>
      <c r="S973" s="481"/>
      <c r="T973" s="481"/>
      <c r="U973" s="481"/>
      <c r="V973" s="481"/>
      <c r="W973" s="481"/>
      <c r="X973" s="481"/>
      <c r="Y973" s="481"/>
      <c r="Z973" s="481"/>
      <c r="AA973" s="481"/>
      <c r="AB973" s="481"/>
    </row>
    <row r="974">
      <c r="A974" s="481"/>
      <c r="B974" s="481"/>
      <c r="C974" s="481"/>
      <c r="D974" s="483"/>
      <c r="E974" s="481"/>
      <c r="F974" s="483"/>
      <c r="G974" s="481"/>
      <c r="H974" s="481"/>
      <c r="I974" s="481"/>
      <c r="J974" s="481"/>
      <c r="K974" s="481"/>
      <c r="L974" s="481"/>
      <c r="M974" s="481"/>
      <c r="N974" s="481"/>
      <c r="O974" s="481"/>
      <c r="P974" s="481"/>
      <c r="Q974" s="481"/>
      <c r="R974" s="481"/>
      <c r="S974" s="481"/>
      <c r="T974" s="481"/>
      <c r="U974" s="481"/>
      <c r="V974" s="481"/>
      <c r="W974" s="481"/>
      <c r="X974" s="481"/>
      <c r="Y974" s="481"/>
      <c r="Z974" s="481"/>
      <c r="AA974" s="481"/>
      <c r="AB974" s="481"/>
    </row>
    <row r="975">
      <c r="A975" s="481"/>
      <c r="B975" s="481"/>
      <c r="C975" s="481"/>
      <c r="D975" s="483"/>
      <c r="E975" s="481"/>
      <c r="F975" s="483"/>
      <c r="G975" s="481"/>
      <c r="H975" s="481"/>
      <c r="I975" s="481"/>
      <c r="J975" s="481"/>
      <c r="K975" s="481"/>
      <c r="L975" s="481"/>
      <c r="M975" s="481"/>
      <c r="N975" s="481"/>
      <c r="O975" s="481"/>
      <c r="P975" s="481"/>
      <c r="Q975" s="481"/>
      <c r="R975" s="481"/>
      <c r="S975" s="481"/>
      <c r="T975" s="481"/>
      <c r="U975" s="481"/>
      <c r="V975" s="481"/>
      <c r="W975" s="481"/>
      <c r="X975" s="481"/>
      <c r="Y975" s="481"/>
      <c r="Z975" s="481"/>
      <c r="AA975" s="481"/>
      <c r="AB975" s="481"/>
    </row>
    <row r="976">
      <c r="A976" s="481"/>
      <c r="B976" s="481"/>
      <c r="C976" s="481"/>
      <c r="D976" s="483"/>
      <c r="E976" s="481"/>
      <c r="F976" s="483"/>
      <c r="G976" s="481"/>
      <c r="H976" s="481"/>
      <c r="I976" s="481"/>
      <c r="J976" s="481"/>
      <c r="K976" s="481"/>
      <c r="L976" s="481"/>
      <c r="M976" s="481"/>
      <c r="N976" s="481"/>
      <c r="O976" s="481"/>
      <c r="P976" s="481"/>
      <c r="Q976" s="481"/>
      <c r="R976" s="481"/>
      <c r="S976" s="481"/>
      <c r="T976" s="481"/>
      <c r="U976" s="481"/>
      <c r="V976" s="481"/>
      <c r="W976" s="481"/>
      <c r="X976" s="481"/>
      <c r="Y976" s="481"/>
      <c r="Z976" s="481"/>
      <c r="AA976" s="481"/>
      <c r="AB976" s="481"/>
    </row>
    <row r="977">
      <c r="A977" s="481"/>
      <c r="B977" s="481"/>
      <c r="C977" s="481"/>
      <c r="D977" s="483"/>
      <c r="E977" s="481"/>
      <c r="F977" s="483"/>
      <c r="G977" s="481"/>
      <c r="H977" s="481"/>
      <c r="I977" s="481"/>
      <c r="J977" s="481"/>
      <c r="K977" s="481"/>
      <c r="L977" s="481"/>
      <c r="M977" s="481"/>
      <c r="N977" s="481"/>
      <c r="O977" s="481"/>
      <c r="P977" s="481"/>
      <c r="Q977" s="481"/>
      <c r="R977" s="481"/>
      <c r="S977" s="481"/>
      <c r="T977" s="481"/>
      <c r="U977" s="481"/>
      <c r="V977" s="481"/>
      <c r="W977" s="481"/>
      <c r="X977" s="481"/>
      <c r="Y977" s="481"/>
      <c r="Z977" s="481"/>
      <c r="AA977" s="481"/>
      <c r="AB977" s="481"/>
    </row>
    <row r="978">
      <c r="A978" s="481"/>
      <c r="B978" s="481"/>
      <c r="C978" s="481"/>
      <c r="D978" s="483"/>
      <c r="E978" s="481"/>
      <c r="F978" s="483"/>
      <c r="G978" s="481"/>
      <c r="H978" s="481"/>
      <c r="I978" s="481"/>
      <c r="J978" s="481"/>
      <c r="K978" s="481"/>
      <c r="L978" s="481"/>
      <c r="M978" s="481"/>
      <c r="N978" s="481"/>
      <c r="O978" s="481"/>
      <c r="P978" s="481"/>
      <c r="Q978" s="481"/>
      <c r="R978" s="481"/>
      <c r="S978" s="481"/>
      <c r="T978" s="481"/>
      <c r="U978" s="481"/>
      <c r="V978" s="481"/>
      <c r="W978" s="481"/>
      <c r="X978" s="481"/>
      <c r="Y978" s="481"/>
      <c r="Z978" s="481"/>
      <c r="AA978" s="481"/>
      <c r="AB978" s="481"/>
    </row>
    <row r="979">
      <c r="A979" s="481"/>
      <c r="B979" s="481"/>
      <c r="C979" s="481"/>
      <c r="D979" s="483"/>
      <c r="E979" s="481"/>
      <c r="F979" s="483"/>
      <c r="G979" s="481"/>
      <c r="H979" s="481"/>
      <c r="I979" s="481"/>
      <c r="J979" s="481"/>
      <c r="K979" s="481"/>
      <c r="L979" s="481"/>
      <c r="M979" s="481"/>
      <c r="N979" s="481"/>
      <c r="O979" s="481"/>
      <c r="P979" s="481"/>
      <c r="Q979" s="481"/>
      <c r="R979" s="481"/>
      <c r="S979" s="481"/>
      <c r="T979" s="481"/>
      <c r="U979" s="481"/>
      <c r="V979" s="481"/>
      <c r="W979" s="481"/>
      <c r="X979" s="481"/>
      <c r="Y979" s="481"/>
      <c r="Z979" s="481"/>
      <c r="AA979" s="481"/>
      <c r="AB979" s="481"/>
    </row>
    <row r="980">
      <c r="A980" s="481"/>
      <c r="B980" s="481"/>
      <c r="C980" s="481"/>
      <c r="D980" s="483"/>
      <c r="E980" s="481"/>
      <c r="F980" s="483"/>
      <c r="G980" s="481"/>
      <c r="H980" s="481"/>
      <c r="I980" s="481"/>
      <c r="J980" s="481"/>
      <c r="K980" s="481"/>
      <c r="L980" s="481"/>
      <c r="M980" s="481"/>
      <c r="N980" s="481"/>
      <c r="O980" s="481"/>
      <c r="P980" s="481"/>
      <c r="Q980" s="481"/>
      <c r="R980" s="481"/>
      <c r="S980" s="481"/>
      <c r="T980" s="481"/>
      <c r="U980" s="481"/>
      <c r="V980" s="481"/>
      <c r="W980" s="481"/>
      <c r="X980" s="481"/>
      <c r="Y980" s="481"/>
      <c r="Z980" s="481"/>
      <c r="AA980" s="481"/>
      <c r="AB980" s="481"/>
    </row>
    <row r="981">
      <c r="A981" s="481"/>
      <c r="B981" s="481"/>
      <c r="C981" s="481"/>
      <c r="D981" s="483"/>
      <c r="E981" s="481"/>
      <c r="F981" s="483"/>
      <c r="G981" s="481"/>
      <c r="H981" s="481"/>
      <c r="I981" s="481"/>
      <c r="J981" s="481"/>
      <c r="K981" s="481"/>
      <c r="L981" s="481"/>
      <c r="M981" s="481"/>
      <c r="N981" s="481"/>
      <c r="O981" s="481"/>
      <c r="P981" s="481"/>
      <c r="Q981" s="481"/>
      <c r="R981" s="481"/>
      <c r="S981" s="481"/>
      <c r="T981" s="481"/>
      <c r="U981" s="481"/>
      <c r="V981" s="481"/>
      <c r="W981" s="481"/>
      <c r="X981" s="481"/>
      <c r="Y981" s="481"/>
      <c r="Z981" s="481"/>
      <c r="AA981" s="481"/>
      <c r="AB981" s="481"/>
    </row>
    <row r="982">
      <c r="A982" s="481"/>
      <c r="B982" s="481"/>
      <c r="C982" s="481"/>
      <c r="D982" s="483"/>
      <c r="E982" s="481"/>
      <c r="F982" s="483"/>
      <c r="G982" s="481"/>
      <c r="H982" s="481"/>
      <c r="I982" s="481"/>
      <c r="J982" s="481"/>
      <c r="K982" s="481"/>
      <c r="L982" s="481"/>
      <c r="M982" s="481"/>
      <c r="N982" s="481"/>
      <c r="O982" s="481"/>
      <c r="P982" s="481"/>
      <c r="Q982" s="481"/>
      <c r="R982" s="481"/>
      <c r="S982" s="481"/>
      <c r="T982" s="481"/>
      <c r="U982" s="481"/>
      <c r="V982" s="481"/>
      <c r="W982" s="481"/>
      <c r="X982" s="481"/>
      <c r="Y982" s="481"/>
      <c r="Z982" s="481"/>
      <c r="AA982" s="481"/>
      <c r="AB982" s="481"/>
    </row>
    <row r="983">
      <c r="A983" s="481"/>
      <c r="B983" s="481"/>
      <c r="C983" s="481"/>
      <c r="D983" s="483"/>
      <c r="E983" s="481"/>
      <c r="F983" s="483"/>
      <c r="G983" s="481"/>
      <c r="H983" s="481"/>
      <c r="I983" s="481"/>
      <c r="J983" s="481"/>
      <c r="K983" s="481"/>
      <c r="L983" s="481"/>
      <c r="M983" s="481"/>
      <c r="N983" s="481"/>
      <c r="O983" s="481"/>
      <c r="P983" s="481"/>
      <c r="Q983" s="481"/>
      <c r="R983" s="481"/>
      <c r="S983" s="481"/>
      <c r="T983" s="481"/>
      <c r="U983" s="481"/>
      <c r="V983" s="481"/>
      <c r="W983" s="481"/>
      <c r="X983" s="481"/>
      <c r="Y983" s="481"/>
      <c r="Z983" s="481"/>
      <c r="AA983" s="481"/>
      <c r="AB983" s="481"/>
    </row>
    <row r="984">
      <c r="A984" s="481"/>
      <c r="B984" s="481"/>
      <c r="C984" s="481"/>
      <c r="D984" s="483"/>
      <c r="E984" s="481"/>
      <c r="F984" s="483"/>
      <c r="G984" s="481"/>
      <c r="H984" s="481"/>
      <c r="I984" s="481"/>
      <c r="J984" s="481"/>
      <c r="K984" s="481"/>
      <c r="L984" s="481"/>
      <c r="M984" s="481"/>
      <c r="N984" s="481"/>
      <c r="O984" s="481"/>
      <c r="P984" s="481"/>
      <c r="Q984" s="481"/>
      <c r="R984" s="481"/>
      <c r="S984" s="481"/>
      <c r="T984" s="481"/>
      <c r="U984" s="481"/>
      <c r="V984" s="481"/>
      <c r="W984" s="481"/>
      <c r="X984" s="481"/>
      <c r="Y984" s="481"/>
      <c r="Z984" s="481"/>
      <c r="AA984" s="481"/>
      <c r="AB984" s="481"/>
    </row>
    <row r="985">
      <c r="A985" s="481"/>
      <c r="B985" s="481"/>
      <c r="C985" s="481"/>
      <c r="D985" s="483"/>
      <c r="E985" s="481"/>
      <c r="F985" s="483"/>
      <c r="G985" s="481"/>
      <c r="H985" s="481"/>
      <c r="I985" s="481"/>
      <c r="J985" s="481"/>
      <c r="K985" s="481"/>
      <c r="L985" s="481"/>
      <c r="M985" s="481"/>
      <c r="N985" s="481"/>
      <c r="O985" s="481"/>
      <c r="P985" s="481"/>
      <c r="Q985" s="481"/>
      <c r="R985" s="481"/>
      <c r="S985" s="481"/>
      <c r="T985" s="481"/>
      <c r="U985" s="481"/>
      <c r="V985" s="481"/>
      <c r="W985" s="481"/>
      <c r="X985" s="481"/>
      <c r="Y985" s="481"/>
      <c r="Z985" s="481"/>
      <c r="AA985" s="481"/>
      <c r="AB985" s="481"/>
    </row>
    <row r="986">
      <c r="A986" s="481"/>
      <c r="B986" s="481"/>
      <c r="C986" s="481"/>
      <c r="D986" s="483"/>
      <c r="E986" s="481"/>
      <c r="F986" s="483"/>
      <c r="G986" s="481"/>
      <c r="H986" s="481"/>
      <c r="I986" s="481"/>
      <c r="J986" s="481"/>
      <c r="K986" s="481"/>
      <c r="L986" s="481"/>
      <c r="M986" s="481"/>
      <c r="N986" s="481"/>
      <c r="O986" s="481"/>
      <c r="P986" s="481"/>
      <c r="Q986" s="481"/>
      <c r="R986" s="481"/>
      <c r="S986" s="481"/>
      <c r="T986" s="481"/>
      <c r="U986" s="481"/>
      <c r="V986" s="481"/>
      <c r="W986" s="481"/>
      <c r="X986" s="481"/>
      <c r="Y986" s="481"/>
      <c r="Z986" s="481"/>
      <c r="AA986" s="481"/>
      <c r="AB986" s="481"/>
    </row>
    <row r="987">
      <c r="A987" s="481"/>
      <c r="B987" s="481"/>
      <c r="C987" s="481"/>
      <c r="D987" s="483"/>
      <c r="E987" s="481"/>
      <c r="F987" s="483"/>
      <c r="G987" s="481"/>
      <c r="H987" s="481"/>
      <c r="I987" s="481"/>
      <c r="J987" s="481"/>
      <c r="K987" s="481"/>
      <c r="L987" s="481"/>
      <c r="M987" s="481"/>
      <c r="N987" s="481"/>
      <c r="O987" s="481"/>
      <c r="P987" s="481"/>
      <c r="Q987" s="481"/>
      <c r="R987" s="481"/>
      <c r="S987" s="481"/>
      <c r="T987" s="481"/>
      <c r="U987" s="481"/>
      <c r="V987" s="481"/>
      <c r="W987" s="481"/>
      <c r="X987" s="481"/>
      <c r="Y987" s="481"/>
      <c r="Z987" s="481"/>
      <c r="AA987" s="481"/>
      <c r="AB987" s="481"/>
    </row>
  </sheetData>
  <mergeCells count="3">
    <mergeCell ref="C1:R2"/>
    <mergeCell ref="S1:S3"/>
    <mergeCell ref="B4:S4"/>
  </mergeCells>
  <printOptions/>
  <pageMargins bottom="0.75" footer="0.0" header="0.0" left="0.7" right="0.7" top="0.75"/>
  <pageSetup fitToHeight="0" orientation="landscape"/>
  <drawing r:id="rId1"/>
</worksheet>
</file>